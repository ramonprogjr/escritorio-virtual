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Hoje" sheetId="1" r:id="rId5"/>
    <sheet state="visible" name="📊 Dashboard" sheetId="2" r:id="rId6"/>
    <sheet state="hidden" name="AUX_ItensContrato" sheetId="3" r:id="rId7"/>
    <sheet state="hidden" name="Dashboard_OLD" sheetId="4" r:id="rId8"/>
    <sheet state="visible" name="Gestao" sheetId="5" r:id="rId9"/>
    <sheet state="visible" name="Detalhamento" sheetId="6" r:id="rId10"/>
    <sheet state="visible" name="Executiva" sheetId="7" r:id="rId11"/>
    <sheet state="visible" name="Compatibilizacao" sheetId="8" r:id="rId12"/>
    <sheet state="hidden" name="SC_OLD" sheetId="9" r:id="rId13"/>
    <sheet state="visible" name="SC" sheetId="10" r:id="rId14"/>
    <sheet state="visible" name="Inventario" sheetId="11" r:id="rId15"/>
    <sheet state="visible" name="Pessoas" sheetId="12" r:id="rId16"/>
    <sheet state="visible" name="Fornecedores" sheetId="13" r:id="rId17"/>
    <sheet state="visible" name="Orcamentos" sheetId="14" r:id="rId18"/>
    <sheet state="visible" name="Pagamentos" sheetId="15" r:id="rId19"/>
    <sheet state="visible" name="Leia-me" sheetId="16" r:id="rId20"/>
    <sheet state="hidden" name="AUX_Segmentos" sheetId="17" r:id="rId21"/>
    <sheet state="hidden" name="AUX_Pessoas" sheetId="18" r:id="rId22"/>
    <sheet state="hidden" name="Catalogo" sheetId="19" r:id="rId23"/>
    <sheet state="hidden" name="Inventario_BACKUP" sheetId="20" r:id="rId24"/>
  </sheets>
  <definedNames>
    <definedName hidden="1" localSheetId="4" name="_xlnm._FilterDatabase">Gestao!$A$7:$O$303</definedName>
    <definedName hidden="1" localSheetId="5" name="_xlnm._FilterDatabase">Detalhamento!$A$7:$P$1183</definedName>
    <definedName hidden="1" localSheetId="8" name="_xlnm._FilterDatabase">SC_OLD!$A$5:$L$205</definedName>
    <definedName hidden="1" localSheetId="10" name="_xlnm._FilterDatabase">Inventario!$A$5:$H$605</definedName>
    <definedName hidden="1" localSheetId="11" name="_xlnm._FilterDatabase">Pessoas!$B$5:$M$106</definedName>
    <definedName hidden="1" localSheetId="12" name="_xlnm._FilterDatabase">Fornecedores!$A$7:$F$200</definedName>
    <definedName hidden="1" localSheetId="13" name="_xlnm._FilterDatabase">Orcamentos!$A$5:$K$1005</definedName>
    <definedName hidden="1" localSheetId="14" name="_xlnm._FilterDatabase">Pagamentos!$A$7:$V$600</definedName>
    <definedName hidden="1" localSheetId="19" name="_xlnm._FilterDatabase">Inventario_BACKUP!$A$5:$H$605</definedName>
  </definedNames>
  <calcPr/>
</workbook>
</file>

<file path=xl/sharedStrings.xml><?xml version="1.0" encoding="utf-8"?>
<sst xmlns="http://schemas.openxmlformats.org/spreadsheetml/2006/main" count="18929" uniqueCount="2389">
  <si>
    <t>🏗️ PAINEL DA OBRA - Consulado Geral da Itália</t>
  </si>
  <si>
    <t>🚨 Atrasados</t>
  </si>
  <si>
    <t>⏳ Em andamento</t>
  </si>
  <si>
    <t>📅 A iniciar</t>
  </si>
  <si>
    <t>✅ Concluídos</t>
  </si>
  <si>
    <t>📋 Subitens total</t>
  </si>
  <si>
    <t>💼 Subitens hoje</t>
  </si>
  <si>
    <t>🚨  SUBITENS ATRASADOS</t>
  </si>
  <si>
    <t>Item Principal</t>
  </si>
  <si>
    <t>Subitem</t>
  </si>
  <si>
    <t>Atividade</t>
  </si>
  <si>
    <t>Descrição</t>
  </si>
  <si>
    <t>Término</t>
  </si>
  <si>
    <t>Status</t>
  </si>
  <si>
    <t>📅  PRÓXIMOS 15 DIAS</t>
  </si>
  <si>
    <t>Início</t>
  </si>
  <si>
    <t>💰  PAGAMENTOS A FAZER (próx. 7 dias)</t>
  </si>
  <si>
    <t>Tipo</t>
  </si>
  <si>
    <t>Beneficiário</t>
  </si>
  <si>
    <t>Valor</t>
  </si>
  <si>
    <t>Vencimento</t>
  </si>
  <si>
    <t>📊 PAINEL DA OBRA — Consulado Geral da Itália</t>
  </si>
  <si>
    <t>Avanço · Prazos · Materiais — atualizado automático</t>
  </si>
  <si>
    <t>ATRASADOS</t>
  </si>
  <si>
    <t>EM ANDAMENTO</t>
  </si>
  <si>
    <t>A INICIAR</t>
  </si>
  <si>
    <t>CONCLUÍDOS</t>
  </si>
  <si>
    <t>SUBITENS</t>
  </si>
  <si>
    <t>% AVANÇO</t>
  </si>
  <si>
    <t>📈 AVANÇO POR DISCIPLINA</t>
  </si>
  <si>
    <t>⏰ PRÓXIMOS VENCIMENTOS</t>
  </si>
  <si>
    <t>🧱 ESTOQUE ATUAL</t>
  </si>
  <si>
    <t>Disciplina</t>
  </si>
  <si>
    <t>Subitens</t>
  </si>
  <si>
    <t>% Avanço</t>
  </si>
  <si>
    <t>Volume</t>
  </si>
  <si>
    <t>Item</t>
  </si>
  <si>
    <t>Material</t>
  </si>
  <si>
    <t>Categoria</t>
  </si>
  <si>
    <t>Estoque</t>
  </si>
  <si>
    <t>Preliminares</t>
  </si>
  <si>
    <t>Civil</t>
  </si>
  <si>
    <t>1.3</t>
  </si>
  <si>
    <t>Mobilização de canteiro e equipes e deslocamento</t>
  </si>
  <si>
    <t/>
  </si>
  <si>
    <t>Demolições</t>
  </si>
  <si>
    <t>1.4</t>
  </si>
  <si>
    <t>Tapume de vedacao ou protecao, executado com chap…</t>
  </si>
  <si>
    <t>Revestimento</t>
  </si>
  <si>
    <t>1.5</t>
  </si>
  <si>
    <t>Limpeza permanente de obra</t>
  </si>
  <si>
    <t>Pintura</t>
  </si>
  <si>
    <t>2.1</t>
  </si>
  <si>
    <t>Demolicão manual de alvenaria de tijolos furados,…</t>
  </si>
  <si>
    <t>Elétrica</t>
  </si>
  <si>
    <t>2.2</t>
  </si>
  <si>
    <t>Demolição controlada e monitrada para rebaixament…</t>
  </si>
  <si>
    <t>Hidráulica</t>
  </si>
  <si>
    <t>2.3</t>
  </si>
  <si>
    <t>Caçamba para entulho 4m³</t>
  </si>
  <si>
    <t>Instalacoes</t>
  </si>
  <si>
    <t>2.4</t>
  </si>
  <si>
    <t>Transporte de entulho e grades</t>
  </si>
  <si>
    <t>Esquadrias</t>
  </si>
  <si>
    <t>2.5</t>
  </si>
  <si>
    <t>Serralheria</t>
  </si>
  <si>
    <t>2.6</t>
  </si>
  <si>
    <t>Transporte de entulho</t>
  </si>
  <si>
    <t>Forro</t>
  </si>
  <si>
    <t>2.7</t>
  </si>
  <si>
    <t>Montagem e desmontagem de andaime direcional estr…</t>
  </si>
  <si>
    <t>Climatizacao</t>
  </si>
  <si>
    <t>3.1</t>
  </si>
  <si>
    <t>Construção do prolongamento da caixa do elevador</t>
  </si>
  <si>
    <t>Impermeabilizacao</t>
  </si>
  <si>
    <t>3.2</t>
  </si>
  <si>
    <t>Construção da laje de cobertura da torre com Alça…</t>
  </si>
  <si>
    <t>Elevadores</t>
  </si>
  <si>
    <t>3.3</t>
  </si>
  <si>
    <t>Cintas intermediárias em todos os andares</t>
  </si>
  <si>
    <t>Limpeza</t>
  </si>
  <si>
    <t>3.4</t>
  </si>
  <si>
    <t>Fechamento das laterais e fundos em alvenaria no …</t>
  </si>
  <si>
    <t>3.5</t>
  </si>
  <si>
    <t>Rebocamento no prolongamento da torre</t>
  </si>
  <si>
    <t>🔴 BLOQUEIOS (itens parados)</t>
  </si>
  <si>
    <t>💰 MATERIAL / COMPRAS</t>
  </si>
  <si>
    <t>🔗 COMPATIBILIZAÇÃO</t>
  </si>
  <si>
    <t>Motivo</t>
  </si>
  <si>
    <t>Qtd</t>
  </si>
  <si>
    <t>Indicador</t>
  </si>
  <si>
    <t>Falta pessoa</t>
  </si>
  <si>
    <t>Total material (qtd x valor)</t>
  </si>
  <si>
    <t>Itens de contrato</t>
  </si>
  <si>
    <t>Falta documento</t>
  </si>
  <si>
    <t>Lançamentos de compra</t>
  </si>
  <si>
    <t>Com orçamento</t>
  </si>
  <si>
    <t>Falta material</t>
  </si>
  <si>
    <t>Itens em estoque (&gt;0)</t>
  </si>
  <si>
    <t>SEM orçamento</t>
  </si>
  <si>
    <t>Falta ferramenta</t>
  </si>
  <si>
    <t>% cobertura</t>
  </si>
  <si>
    <t>Falta equipamento</t>
  </si>
  <si>
    <t>NOVO</t>
  </si>
  <si>
    <t>4.13</t>
  </si>
  <si>
    <t>4.14</t>
  </si>
  <si>
    <t>4.15</t>
  </si>
  <si>
    <t>4.16</t>
  </si>
  <si>
    <t>4.17</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</si>
  <si>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</si>
  <si>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</si>
  <si>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</si>
  <si>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</si>
  <si>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</si>
  <si>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</si>
  <si>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</si>
  <si>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</si>
  <si>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</si>
  <si>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</si>
  <si>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</si>
  <si>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</si>
  <si>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</si>
  <si>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</si>
  <si>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</si>
  <si>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</si>
  <si>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</si>
  <si>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</si>
  <si>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</si>
  <si>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</si>
  <si>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</si>
  <si>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</si>
  <si>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</si>
  <si>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</si>
  <si>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</si>
  <si>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</si>
  <si>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</si>
  <si>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</si>
  <si>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</si>
  <si>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</si>
  <si>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</si>
  <si>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</si>
  <si>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</si>
  <si>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</si>
  <si>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</si>
  <si>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</si>
  <si>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</si>
  <si>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</si>
  <si>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</si>
  <si>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</si>
  <si>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</si>
  <si>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</si>
  <si>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</si>
  <si>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</si>
  <si>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</si>
  <si>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</si>
  <si>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</si>
  <si>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</si>
  <si>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</si>
  <si>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</si>
  <si>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</si>
  <si>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</si>
  <si>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</si>
  <si>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</si>
  <si>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</si>
  <si>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</si>
  <si>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</si>
  <si>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</si>
  <si>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</si>
  <si>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</si>
  <si>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</si>
  <si>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</si>
  <si>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 DASHBOARD DA OBRA</t>
  </si>
  <si>
    <t>% AVANÇO FÍSICO</t>
  </si>
  <si>
    <t>ETAPAS CONCLUÍDAS</t>
  </si>
  <si>
    <t>ITENS ATRASADOS</t>
  </si>
  <si>
    <t>ENTREGAS 30 DIAS</t>
  </si>
  <si>
    <t>PAGO / PREVISTO</t>
  </si>
  <si>
    <t>PROGRESSO POR STATUS — etapas</t>
  </si>
  <si>
    <t>POR SEGMENTO — etapas</t>
  </si>
  <si>
    <t>%</t>
  </si>
  <si>
    <t>Barra</t>
  </si>
  <si>
    <t>Segmento</t>
  </si>
  <si>
    <t>Etapas</t>
  </si>
  <si>
    <t>Concl.</t>
  </si>
  <si>
    <t>Concluído</t>
  </si>
  <si>
    <t>Em andamento</t>
  </si>
  <si>
    <t>Estrutura</t>
  </si>
  <si>
    <t>A iniciar</t>
  </si>
  <si>
    <t>Hidraulica</t>
  </si>
  <si>
    <t>POR ANDAR / ÁREA — itens (Gestão)</t>
  </si>
  <si>
    <t>Eletrica</t>
  </si>
  <si>
    <t>Área</t>
  </si>
  <si>
    <t>Itens</t>
  </si>
  <si>
    <t>Atrasado</t>
  </si>
  <si>
    <t>Em and.</t>
  </si>
  <si>
    <t>Andar 8</t>
  </si>
  <si>
    <t>Andar 9</t>
  </si>
  <si>
    <t>Roof Top</t>
  </si>
  <si>
    <t>M1 - Novo Arquivo</t>
  </si>
  <si>
    <t>Halls - M1/Terreo/M2</t>
  </si>
  <si>
    <t>Halls - Subsolos</t>
  </si>
  <si>
    <t>⚠️ ITENS ATRASADOS (Gestão)</t>
  </si>
  <si>
    <t>FINANCEIRO (consolidado)</t>
  </si>
  <si>
    <t>Previsto (R$)</t>
  </si>
  <si>
    <t>Real / Devido (R$)</t>
  </si>
  <si>
    <t>Pago (R$)</t>
  </si>
  <si>
    <t>Saldo (R$)</t>
  </si>
  <si>
    <t>A pagar (R$)</t>
  </si>
  <si>
    <t>Vencendo 7 dias (R$)</t>
  </si>
  <si>
    <t>Pagamentos atrasados (R$)</t>
  </si>
  <si>
    <t>📅 PRÓXIMAS ENTREGAS (30 dias)</t>
  </si>
  <si>
    <t>NICE
ENGENHARIA</t>
  </si>
  <si>
    <t>Plano de Obra - Consulado Geral da Itália</t>
  </si>
  <si>
    <t>GESTÃO  -  visão geral por item. Inclui rotina de aditivos.</t>
  </si>
  <si>
    <t>Total de itens</t>
  </si>
  <si>
    <t>Atrasados</t>
  </si>
  <si>
    <t>Finalizados</t>
  </si>
  <si>
    <t>Avanco da obra</t>
  </si>
  <si>
    <t>Andar / Área</t>
  </si>
  <si>
    <t>Situação</t>
  </si>
  <si>
    <t>Andamento</t>
  </si>
  <si>
    <t>% Avanco</t>
  </si>
  <si>
    <t>Pessoas (status)</t>
  </si>
  <si>
    <t>Docs (status)</t>
  </si>
  <si>
    <t>Materiais (status)</t>
  </si>
  <si>
    <t>Ferramentas (status)</t>
  </si>
  <si>
    <t>Equipamentos (status)</t>
  </si>
  <si>
    <t>Observações</t>
  </si>
  <si>
    <t>1.1</t>
  </si>
  <si>
    <t>Gerenciamento técnico de obra - 2 Engenheiros (40h/mês) , assistente tecnico (40h/mês) , mestre de obra (160h/mês)</t>
  </si>
  <si>
    <t>Original</t>
  </si>
  <si>
    <t>1.2</t>
  </si>
  <si>
    <t>Emissão de ART Obra(Anotação de responsabilidade técnica)</t>
  </si>
  <si>
    <t>Tapume de vedacao ou protecao, executado com chapas de compensado, tipo chapa resinada ou similar, com 6mm de espessura, exclusive pintura. Proteção chegada elvadores;.</t>
  </si>
  <si>
    <t>Demolicão manual de alvenaria de tijolos furados, contrapiso de 5 cm no deposito 5, inclusive empilhamento dentro do canteiro de servico.</t>
  </si>
  <si>
    <t>Demolição controlada e monitrada para rebaixamento da laje e abertura na laje superior e dos vãos de portas nos andares</t>
  </si>
  <si>
    <t>Montagem e desmontagem de andaime direcional estrutural com chumbadores e plataforma</t>
  </si>
  <si>
    <t>Construção da laje de cobertura da torre com Alça para içamento do pistão</t>
  </si>
  <si>
    <t>Fechamento das laterais e fundos em alvenaria no prolongamento da torre</t>
  </si>
  <si>
    <t>3.6</t>
  </si>
  <si>
    <t>Pintura de cor clara em toda a parte interna da torre do elevador</t>
  </si>
  <si>
    <t>4.1</t>
  </si>
  <si>
    <t>Instalações de conduítes para sistema eletrico</t>
  </si>
  <si>
    <t>4.2</t>
  </si>
  <si>
    <t>Instalação de dutos para passagem de fiação e mangueira e passagem dos fios e fios 16 mm</t>
  </si>
  <si>
    <t>4.3</t>
  </si>
  <si>
    <t>Disjuntor trifásico 100 A no quadro geral da edificação</t>
  </si>
  <si>
    <t>4.4</t>
  </si>
  <si>
    <t>Ligação de força 220 V trifásico com chave seccionadora</t>
  </si>
  <si>
    <t>4.5</t>
  </si>
  <si>
    <t>Iluminação da caixa (arandelas, tubulação, luminárias e interruptores)</t>
  </si>
  <si>
    <t>4.6</t>
  </si>
  <si>
    <t>Instalação de tomadas e interruptores e alimentação elétrica</t>
  </si>
  <si>
    <t>4.7</t>
  </si>
  <si>
    <t>Instalação de luz de emergência</t>
  </si>
  <si>
    <t>4.8</t>
  </si>
  <si>
    <t>Cabo Flexível PP Extensão 3x25mm Rolo Com 100 Metros- Prismyan afumex</t>
  </si>
  <si>
    <t>4.9</t>
  </si>
  <si>
    <t>Desmontagem sistema eletrico e de iluminação existente, com recupero das lampadas</t>
  </si>
  <si>
    <t>4.10</t>
  </si>
  <si>
    <t>Disjuntores 32A</t>
  </si>
  <si>
    <t>4.11</t>
  </si>
  <si>
    <t>Cabo Flexível PP Extensão 3x4mm Rolo Com 100 Metros - Prismyan afumex</t>
  </si>
  <si>
    <t>4.12</t>
  </si>
  <si>
    <t>Cabo Flexível PP Extensão 3x2,5mm Rolo Com 100 Metros- Prismyan afumex</t>
  </si>
  <si>
    <t>Fornecimento e instalação de infraestrutura, Eletroduto Galvanizado Pre Zincado Leve 3/4,</t>
  </si>
  <si>
    <t>Caixas de passagem e interruptores 4x2 galvanizado</t>
  </si>
  <si>
    <t>Fornecimento Luminária Led com suporte 60 cm 9w 6500k</t>
  </si>
  <si>
    <t>Fornecimento Luminária Led com suporte 120 cm 18w 6500k</t>
  </si>
  <si>
    <t>Instalação luminarias</t>
  </si>
  <si>
    <t>11</t>
  </si>
  <si>
    <t>Elevador 1 - 17 andares - 8 pessoas - Estrutura de vidro roof top</t>
  </si>
  <si>
    <t>12</t>
  </si>
  <si>
    <t>Intervenções nos halls dos elevadores - fase - elevador 1 - 17 andares</t>
  </si>
  <si>
    <t>Elevador 2 - 15 andar andares- 8 pessoas</t>
  </si>
  <si>
    <t>12.1</t>
  </si>
  <si>
    <t>Intervenções nos halls dos elevadores - fase - elevador 2 - 15 andares</t>
  </si>
  <si>
    <t>13</t>
  </si>
  <si>
    <t>Elevador 3 - 6 andares - 4 pessoas</t>
  </si>
  <si>
    <t>14</t>
  </si>
  <si>
    <t>Intervenções nos halls dos elevadores - fase - elevador 3 - 7 andares</t>
  </si>
  <si>
    <t>13.1</t>
  </si>
  <si>
    <t>Desmontagem/ Montagem e Test</t>
  </si>
  <si>
    <t>5.1</t>
  </si>
  <si>
    <t>5.2</t>
  </si>
  <si>
    <t>Demolição controlada e monitrada para rebaixamento da laje e abertura na laje e paredes em concreto armado</t>
  </si>
  <si>
    <t>5.3</t>
  </si>
  <si>
    <t>5.4</t>
  </si>
  <si>
    <t>5.5</t>
  </si>
  <si>
    <t>5.6</t>
  </si>
  <si>
    <t>Montagem e desmontagem de andaime direcional estrutural com chumbadores e plataforma e sistema de decida</t>
  </si>
  <si>
    <t>5.7</t>
  </si>
  <si>
    <t>Retiro porta existente.</t>
  </si>
  <si>
    <t>5.8</t>
  </si>
  <si>
    <t>Demolição controlada e monitorada do cocreto para abertura das novas portas</t>
  </si>
  <si>
    <t>5.9</t>
  </si>
  <si>
    <t>Demolição do suporte em concreto do velho sistema de ar-condicionado e nivelamento bruto do piso</t>
  </si>
  <si>
    <t>5.10</t>
  </si>
  <si>
    <t>Ampliamento laje +36,55</t>
  </si>
  <si>
    <t>5.11</t>
  </si>
  <si>
    <t>Realização da nova janela considerando as aberturas já existentes e os fechamentos com tijolos onde necessarios.</t>
  </si>
  <si>
    <t>5.12</t>
  </si>
  <si>
    <t>Recupero com lixamento física de paredes e tetos</t>
  </si>
  <si>
    <t>Construção da separação das duas novas portas e da parede de separação do novo corredor verso externo.</t>
  </si>
  <si>
    <t>Reforma sistema de elétrica e hidráulica a vista existente com substitução e embutimento no forro o na parede ex area tecnica</t>
  </si>
  <si>
    <t>Fornecimento e execução de parede em alvenaria com bloco cimentício, considerando chapisco e reboco (desonerado)</t>
  </si>
  <si>
    <t>Forro mineral modular, em placas 625x625 mm ou 625x1250 mm, com acabamento texturizado branco, espessura média de 15 a 20 mm, com propriedades acústicas e térmicas, instalado em estrutura metálica tipo T (aparen­te), com nivelamento e alinhamento conforme projeto. Incluso todos os materiais, cortes, arremates, peças de fixação e mão de obra.</t>
  </si>
  <si>
    <t>Fornecimento e instalação de forro de gesso acartonado tipo RU (resistente à umidade – cor verde), fixado em estrutura metálica galvanizada (perfil F530, montantes e guias), com parafusos apropriados, fita telada nas juntas e aplicação de massa para tratamento de emendas. Indicado para áreas úmidas como banheiros e lavabos. Incluso todos os materiais, mão de obra, fixações, nivelamento e limpeza da área. Execução conforme normas técnicas da ABNT e boas práticas de instalação.</t>
  </si>
  <si>
    <t>Novo reboco nas paredes e no teto.</t>
  </si>
  <si>
    <t>Nivelamento fino do piso.</t>
  </si>
  <si>
    <t>Azulejo para piso 60 x 60 ou diferente completo de argamassa e rejunte</t>
  </si>
  <si>
    <t>Rivestimento banheiro azulejo 40x40 ou diferente,piso e parede completo de argamassa e rejunte</t>
  </si>
  <si>
    <t>Azulejo para piso 40 x 40 da externo completo de argamassa e rejunte -Escada</t>
  </si>
  <si>
    <t>Piso elevado drenante Ref. Concrefit e Braston</t>
  </si>
  <si>
    <t>Serviço de preparação de superfície interna para pintura, incluindo limpeza, lixamento, correção de imperfeições com massa corrida (1 a 2 demãos, conforme necessidade), nivelamento da superfície e aplicação de fundo preparador, quando necessário. Incluso todo o material, ferramentas e mão de obra especializada. Execução conforme normas da ABNT e padrão de acabamento especificado em projeto.</t>
  </si>
  <si>
    <t>Pintura em paredes e tetos internos com tinta látex PVA ou acrílica (conforme especificação), incluindo 2 a 3 demãos com rolo e pincel, acabamento fosco ou acetinado. Superfície previamente preparada com lixamento, correções com massa corrida e aplicação de fundo preparador, quando necessário. Incluso todos os materiais, proteção das áreas, ferramentas e mão de obra especializada. Execução conforme normas da ABNT.</t>
  </si>
  <si>
    <t>Serviço de preparação de superfície externa para pintura, incluindo limpeza manual ou com lavadora de alta pressão, remoção de partes soltas, lixamento, raspagem de tinta antiga, correções com massa acrílica (onde necessário), aplicação de fundo preparador ou selador acrílico, conforme tipo de substrato. Incluso materiais, ferramentas e mão de obra qualificada. Execução conforme normas técnicas da ABNT.</t>
  </si>
  <si>
    <t>Pintura em área externa com tinta acrílica premium para fachadas, incluindo preparo da superfície (limpeza, lixamento, correção com massa acrílica onde necessário), aplicação de selador acrílico e 2 demãos de tinta, com acabamento fosco ou semi-brilho, conforme especificações do projeto. Serviço realizado com andaime, equipamentos de segurança e mão de obra especializada. Todos os materiais e insumos inclusos. Execução conforme normas técnicas da ABNT.</t>
  </si>
  <si>
    <t>Instalações portas completa</t>
  </si>
  <si>
    <t>Instalações nova janela em alumínio perfil Gold e vidro 10 mm</t>
  </si>
  <si>
    <t>Instalação esquadrias spbre trilho perfil Gold vidro 10 mm</t>
  </si>
  <si>
    <t>Brize externo drenagem a vista</t>
  </si>
  <si>
    <t>Fornecimento e instalação de QUADRO DE DITRIBUÇÃO completo, embutido ou sobreposto, em caixa metálica ou termoplástica, com porta, pintura eletrostática e grau de proteção mínimo IP40. Equipado com disjuntores termomagnéticos monopolares, bipolares ou tripolares conforme projeto, barramentos de fase, neutro e terra, trilho DIN, identificação dos circuitos e acessórios. Inclusos todos os materiais, componentes, mão de obra para montagem, fixação, aterramento, testes e conformidade com as normas técnicas vigentes (NBR 5410 e NR-10).</t>
  </si>
  <si>
    <t>Execução de ponto elétrico completo embutido, composto por 1 tomada 2P+T 20A, 220V e 1 ponto de luz (sem luminária), com fornecimento e instalação de eletrodutos rígidos PVC, caixas de embutir, cabos de cobre ( 25 tomadas + 25 ponto de luz) antichama (fase, neutro e terra), conectores, suporte e espelho. Inclui instalação da infraestrutura embutida em alvenaria, passagem dos condutores, fixação dos mecanismos, identificação dos circuitos e testes de funcionamento, conforme NBR 5410 e NR-10.</t>
  </si>
  <si>
    <t>Ponto de água fria em PVC Marrom</t>
  </si>
  <si>
    <t>Ponto de esgoto em PVC branco 50mm ou 100mm</t>
  </si>
  <si>
    <t>Louças sanitárias com gabinete em MDF ultra</t>
  </si>
  <si>
    <t>Metais sanitários</t>
  </si>
  <si>
    <t>Revestimento de parede em madeira ripada cumarú</t>
  </si>
  <si>
    <t>Luminárias 50w tipo embutido quadrado (ref.: embutido quadrado PAR 20 50w, Labluz)</t>
  </si>
  <si>
    <t>Luminária Calha Embutir 2 Lâmpadas LED T8</t>
  </si>
  <si>
    <t>Fita de LED IP68 à prova de água</t>
  </si>
  <si>
    <t>Iluminação esterna com Fita e Led</t>
  </si>
  <si>
    <t>Fornecimento e instalação de corrimão em alumínio anodizado ou pintado (conforme especificação), com seção tubular ou retangular, fixado em suportes metálicos ou diretamente na alvenaria ou guarda-corpo, resistente às intempéries e adequado para uso externo. Incluso materiais, suportes, parafusos, buchas, mão de obra para instalação e acabamento final. Execução conforme normas de acessibilidade (NBR 9050) e segurança.</t>
  </si>
  <si>
    <t>Ar condicionado split - Cassete/split - 24.000 BTUs - Sistema completo + material + rede frigorígena e rede elétrica</t>
  </si>
  <si>
    <t>REMOÇÃO,MANUTENÇÂO,LIMPEZA E NOVA INSTALAÇÃO DE CONDENSADORAS EXISTENTES NO LOCAL DETERMINADO EM PROJETO (FAÇADAS) COM REAPROVEITAMENTO E INTERLIGAÇÃO COM AS EVAPORADORAS COM DOS DUTOS EM COBRE E PROTEÇÕES ELASTOMÉRICAS PROTETOR TUBOS ISOLANTE TÉRMICO CINZA REF.WESTAFLEXEXISTENTES</t>
  </si>
  <si>
    <t>Serviço de adequação de impermeabilização em área externa, incluindo demolição pontual do revestimento existente (se necessário), regularização da base com argamassa, aplicação de primer e manta asfáltica ou impermeabilizante cimentício bicomponente, com reforço em áreas de ralos e cantos. Inclusa instalação ou substituição de ralos de descida em PVC ou inox, conexões e vedação com anel de estanqueidade. Incluso todos os materiais, equipamentos e mão de obra especializada. Execução conforme normas da ABNT (NBR 9575 e NBR 9574)</t>
  </si>
  <si>
    <t>Execução de revestimento de shaft com estrutura interna em MDF de 25 mm, tratado contra umidade, com fixação mecânica ou colada, e acabamento externo em chapa de aço inox escovado (AISI 304), incluindo recortes, molduras, arremates, parafusos, dobradiças (quando houver porta de inspeção) e demais ferragens. Incluso todos os materiais, mão de obra especializada, transporte e limpeza da área. Execução conforme projeto e normas técnicas vigentes.</t>
  </si>
  <si>
    <t>Serviço de adequação e pintura de armário de combate a incêndio existente, incluindo lixamento, remoção de ferrugem, limpeza, tratamento anticorrosivo e aplicação de tinta esmalte sintético na cor padrão (vermelho segurança), com acabamento brilhante ou acetinado. Inclusa a substituição ou ajuste de dobradiças, fechos, vidros e adesivos de sinalização, conforme necessidade. Todos os materiais e mão de obra inclusos. Execução conforme normas do Corpo de Bombeiros e ABNT (NBR 12693).</t>
  </si>
  <si>
    <t>Limpeza permanente de obra e Final</t>
  </si>
  <si>
    <t>6.1</t>
  </si>
  <si>
    <t>6.2</t>
  </si>
  <si>
    <t>6.3</t>
  </si>
  <si>
    <t>6.4</t>
  </si>
  <si>
    <t>6.5</t>
  </si>
  <si>
    <t>6.6</t>
  </si>
  <si>
    <t>6.7</t>
  </si>
  <si>
    <t>6.8</t>
  </si>
  <si>
    <t>6.9</t>
  </si>
  <si>
    <t>6.10</t>
  </si>
  <si>
    <t>6.11</t>
  </si>
  <si>
    <t>6.12</t>
  </si>
  <si>
    <t>Rivestimento banheiro azulejo 40x40 ou diferente piso e parede completo de argamassa e rejunte</t>
  </si>
  <si>
    <t>Iluminação esterna com Fita e Led IP68 à prova de água</t>
  </si>
  <si>
    <t>Execução de impermeabilização em área externa (lajes, sacadas, terraços ou calçadas), incluindo limpeza da base, regularização com argamassa, aplicação de primer e impermeabilizante tipo manta asfáltica com acabamento aluminizado ou cimento polimérico bicomponente, conforme especificação do projeto. Inclui reforço em ralos, cantos e rodapés, teste de estanqueidade e proteção mecânica (argamassa ou contrapiso). Incluso todos os materiais, ferramentas e mão de obra especializada. Execução conforme NBR 9574 e NBR 9575.</t>
  </si>
  <si>
    <t>Instalaçõa suporte VIDRO imbutido TIPO FARAONE -Parapeito</t>
  </si>
  <si>
    <t>Vidros TEMPERADOS 10 MM - Parapeito</t>
  </si>
  <si>
    <t>7.1</t>
  </si>
  <si>
    <t>7.2</t>
  </si>
  <si>
    <t>7.3</t>
  </si>
  <si>
    <t>7.4</t>
  </si>
  <si>
    <t>7.5</t>
  </si>
  <si>
    <t>7.6</t>
  </si>
  <si>
    <t>7.7</t>
  </si>
  <si>
    <t>7.8</t>
  </si>
  <si>
    <t>7.9</t>
  </si>
  <si>
    <t>BALIZADORES DE SOLO WAY RING 1W 360° REF. STELLA COM CAIXA PARA INSTALAÇÃO</t>
  </si>
  <si>
    <t>7.10</t>
  </si>
  <si>
    <t>7.11</t>
  </si>
  <si>
    <t>7.12</t>
  </si>
  <si>
    <t>8.1</t>
  </si>
  <si>
    <t>8.2</t>
  </si>
  <si>
    <t>8.3</t>
  </si>
  <si>
    <t>8.4</t>
  </si>
  <si>
    <t>8.5</t>
  </si>
  <si>
    <t>8.6</t>
  </si>
  <si>
    <t>8.7</t>
  </si>
  <si>
    <t>8.8</t>
  </si>
  <si>
    <t>8.9</t>
  </si>
  <si>
    <t>8.10</t>
  </si>
  <si>
    <t>8.11</t>
  </si>
  <si>
    <t>Instalações nova janela pequena em alumínio perfil Gold e vidro 10 mm</t>
  </si>
  <si>
    <t>8.12</t>
  </si>
  <si>
    <t>Execução de ponto elétrico completo embutido, composto por 1 tomada 2P+T 20A, 220V e 1 ponto de luz (sem luminária), com fornecimento e instalação de eletrodutos rígidos PVC, caixas de embutir, cabos de cobre ( 6 tomadas + 12 ponto de luz) antichama (fase, neutro e terra), conectores, suporte e espelho. Inclui instalação da infraestrutura embutida em alvenaria, passagem dos condutores, fixação dos mecanismos, identificação dos circuitos e testes de funcionamento, conforme NBR 5410 e NR-10.</t>
  </si>
  <si>
    <t>9.1</t>
  </si>
  <si>
    <t>Demolicão manual de forro , inclusive empilhamento dentro do canteiro de servico.</t>
  </si>
  <si>
    <t>9.2</t>
  </si>
  <si>
    <t>Retiro porta existente Combate Incendio</t>
  </si>
  <si>
    <t>9.3</t>
  </si>
  <si>
    <t>Instalações nova janela pequena em alumínio perfil Gold e vidro 10 mm - ESCADA</t>
  </si>
  <si>
    <t>9.4</t>
  </si>
  <si>
    <t>Fornecimento e instalação de forro de gesso acartonado, fixado em estrutura metálica galvanizada (perfil F530, montantes e guias), com parafusos apropriados, fita telada nas juntas e aplicação de massa para tratamento de emendas. Indicado para áreas úmidas como banheiros e lavabos. Incluso todos os materiais, mão de obra, fixações, nivelamento e limpeza da área. Execução conforme normas técnicas da ABNT e boas práticas de instalação.</t>
  </si>
  <si>
    <t>9.5</t>
  </si>
  <si>
    <t>Desmontagem e montagem Luminária Calha Embutir 2 Lâmpadas LED T8</t>
  </si>
  <si>
    <t>9.6</t>
  </si>
  <si>
    <t>9.7</t>
  </si>
  <si>
    <t>Porta em vidro laminado , rei 120 , com estrutura e trilho para porta a correr , mecanismoautomatizado integrado e ao sistema combate incendio , controle de acesso</t>
  </si>
  <si>
    <t>9.8</t>
  </si>
  <si>
    <t>9.9</t>
  </si>
  <si>
    <t>9.10</t>
  </si>
  <si>
    <t>Controle de acesso portas de madeiras T, M1 e M2 integrado ao sistema comabte incendio</t>
  </si>
  <si>
    <t>10.1</t>
  </si>
  <si>
    <t>10.2</t>
  </si>
  <si>
    <t>+ ADICIONAR NOVO ITEM (ADITIVO)  -  preencha as celulas com * abaixo, copie esta linha de inputs (clique no numero da linha), e cole na proxima linha vazia da tabela acima</t>
  </si>
  <si>
    <t>Item *</t>
  </si>
  <si>
    <t>Atividade *</t>
  </si>
  <si>
    <t>Andar *</t>
  </si>
  <si>
    <t>Início *</t>
  </si>
  <si>
    <t>Término *</t>
  </si>
  <si>
    <t>(auto)</t>
  </si>
  <si>
    <t>Obs.</t>
  </si>
  <si>
    <t>(Aditivo)</t>
  </si>
  <si>
    <t>20.01</t>
  </si>
  <si>
    <t>Fechamento do entre poço do elevador com estrutura metálica</t>
  </si>
  <si>
    <t>Aditivo</t>
  </si>
  <si>
    <t>Como usar:  preencha as celulas marcadas com * acima  -&gt;  selecione a linha 206 inteira (clique no numero "206" a esquerda)  -&gt;  Ctrl+C  -&gt;  clique na primeira linha vazia da tabela (linha 174 em diante)  -&gt;  Ctrl+V  -&gt;  pronto, o aditivo entra com tarja laranja, Tipo=Aditivo, e todas as formulas funcionando.</t>
  </si>
  <si>
    <t>Plano de Obra - Consulado Geral da Italia</t>
  </si>
  <si>
    <t>DETALHAMENTO - subitens. Cores: vermelho=atrasado, laranja=3 dias, amarelo=15 dias.</t>
  </si>
  <si>
    <t>Urgentes 3d</t>
  </si>
  <si>
    <t>Prox 15 dias</t>
  </si>
  <si>
    <t>Total</t>
  </si>
  <si>
    <t>Pessoa/Docs pend</t>
  </si>
  <si>
    <t>Mat/Fer/Eqp pend</t>
  </si>
  <si>
    <t>Descricao da etapa</t>
  </si>
  <si>
    <t>Inicio</t>
  </si>
  <si>
    <t>Termino</t>
  </si>
  <si>
    <t>Pessoa Resp.</t>
  </si>
  <si>
    <t>Pessoa OK?</t>
  </si>
  <si>
    <t>Docs OK?</t>
  </si>
  <si>
    <t>Materiais OK?</t>
  </si>
  <si>
    <t>Ferramentas OK?</t>
  </si>
  <si>
    <t>Equipamentos OK?</t>
  </si>
  <si>
    <t>Observacoes</t>
  </si>
  <si>
    <t>Gerenciamento técnico da obra: 2 engenheiros (40 h/mês cada), assistente técnico (40 h/mês) e mestre de obras (160 h/mês), com planejamento, controle de execução, medições e segurança do trabalho. Mão de obra por conta do contratado.</t>
  </si>
  <si>
    <t>Emissão da ART (Anotação de Responsabilidade Técnica) da obra junto ao CREA, conforme contrato. Por conta do contratado.</t>
  </si>
  <si>
    <t>1.3.1</t>
  </si>
  <si>
    <t>Mobilização de canteiro e equipes: áreas de apoio/depósito, organização do canteiro e deslocamento de equipes e equipamentos para início da obra. Mão de obra e equipamentos por conta do contratado.</t>
  </si>
  <si>
    <t>1.4.1</t>
  </si>
  <si>
    <t>Execução de tapume de vedação/proteção em chapas de compensado resinado de 6 mm (exclusive pintura), inclusive proteção na chegada dos elevadores. Material pelo contratante; mão de obra e ferramentas pelo contratado.</t>
  </si>
  <si>
    <t>Limpeza permanente da obra durante toda a execução, com remoção contínua de resíduos e movimentação do entulho para descarte. Mão de obra, ferramentas e equipamentos por conta do contratado.</t>
  </si>
  <si>
    <t>Isolamento, sinalizacao e protecao da area e das instalacoes remanescentes</t>
  </si>
  <si>
    <t>Marcacao dos limites de demolicao conforme projeto</t>
  </si>
  <si>
    <t>Desligamento/protecao de pontos eletricos e hidraulicos na area</t>
  </si>
  <si>
    <t>Demolição manual de alvenaria de tijolos furados e remoção do contrapiso (~5 cm) sem danificar a laje estrutural, com isolamento e proteção da área; entulho ensacado (sacos de 25 L) e empilhado no canteiro. Mão de obra, ferramentas e equipamentos por conta do contratado.</t>
  </si>
  <si>
    <t>Remocao do contrapiso de 5 cm sem danificar a laje estrutural</t>
  </si>
  <si>
    <t>Empilhamento e ensacamento do entulho dentro do canteiro, sacos de 25 litros.</t>
  </si>
  <si>
    <t>Limpeza e conferencia final da area demolida</t>
  </si>
  <si>
    <t>Analise estrutural e definicao do plano de demolicao controlada</t>
  </si>
  <si>
    <t>Escoramento previo da laje/estrutura conforme projeto</t>
  </si>
  <si>
    <t xml:space="preserve">Isolamento da area e monitoramento </t>
  </si>
  <si>
    <t>Corte com serra/disco delimitando as aberturas na laje e paredes</t>
  </si>
  <si>
    <t>Demolição controlada e monitorada de concreto armado (laje e paredes) com corte a serra/disco, escoramento prévio, demolição em pequenas seções e tratamento das armaduras, conforme projeto. Mão de obra, ferramentas e equipamentos por conta do contratado.</t>
  </si>
  <si>
    <t>Corte e tratamento das armaduras expostas</t>
  </si>
  <si>
    <t>Remocao do entulho e limpeza</t>
  </si>
  <si>
    <t>Verificacao estrutural pos-demolicao</t>
  </si>
  <si>
    <t>Locação, posicionamento e retirada de caçamba estacionária de 4 m³ em local autorizado, com sinalização e destinação final licenciada do entulho. Caçamba, transporte e equipamentos por conta do contratado.</t>
  </si>
  <si>
    <t>Sinalizacao e protecao do entorno da cacamba</t>
  </si>
  <si>
    <t>Preenchimento com entulho respeitando o limite de carga</t>
  </si>
  <si>
    <t>Cobertura/contencao da carga para transporte</t>
  </si>
  <si>
    <t>Retirada e destinacao final licenciada</t>
  </si>
  <si>
    <t>Triagem e separacao do entulho (alvenaria, metais/grades, reciclaveis)</t>
  </si>
  <si>
    <t>Ensacamento e acondicionamento dos residuos</t>
  </si>
  <si>
    <t>Transporte vertical ate o ponto de coleta</t>
  </si>
  <si>
    <t>Carregamento na cacamba/veiculo</t>
  </si>
  <si>
    <t>Triagem, ensacamento (sacos de 25 L), transporte vertical e destinação final licenciada do entulho e grades, conforme legislação. Mão de obra e equipamentos por conta do contratado.</t>
  </si>
  <si>
    <t>Ensacamento e acondicionamento do entulho</t>
  </si>
  <si>
    <t>Ensacamento (sacos de 25 L), transporte vertical e destinação final licenciada do entulho, conforme legislação. Mão de obra e equipamentos por conta do contratado.</t>
  </si>
  <si>
    <t>Carregamento e destinacao final licenciada</t>
  </si>
  <si>
    <t>Projeto e dimensionamento do andaime e dos pontos de ancoragem</t>
  </si>
  <si>
    <t>Instalacao dos chumbadores e ancoragens na estrutura</t>
  </si>
  <si>
    <t>Montagem e desmontagem de andaime direcional estrutural com chumbadores, plataformas de trabalho, guarda-corpos e sistema de descida, conforme NR-18 e NR-35. Andaime, mão de obra e equipamentos por conta do contratado.</t>
  </si>
  <si>
    <t>Instalacao das plataformas de trabalho e guarda-corpos</t>
  </si>
  <si>
    <t>Montagem do sistema de descida/acesso</t>
  </si>
  <si>
    <t>Inspecao e liberacao de seguranca (checklist NR-18/NR-35)</t>
  </si>
  <si>
    <t>Desmontagem e remocao do andaime ao final</t>
  </si>
  <si>
    <t>Locacao e marcacao do prolongamento da caixa do elevador (eixos, prumo)</t>
  </si>
  <si>
    <t>Execucao de formas/estrutura conforme projeto</t>
  </si>
  <si>
    <t>Construção do prolongamento da caixa do elevador: locação, forma/estrutura, elevação da alvenaria/estrutura, amarração com a estrutura existente e conferência de prumo e cura. Material pelo contratante; mão de obra, ferramentas e equipamentos pelo contratado.</t>
  </si>
  <si>
    <t>Encunhamento/amarracao com a estrutura existente</t>
  </si>
  <si>
    <t>Conferencia de prumo, esquadro e cura</t>
  </si>
  <si>
    <t>Execucao de formas e escoramento da laje de cobertura da torre</t>
  </si>
  <si>
    <t>Montagem da armadura conforme projeto estrutural</t>
  </si>
  <si>
    <t>Instalacao da alca de icamento do pistao</t>
  </si>
  <si>
    <t>Construção da laje de cobertura da torre com alça de içamento do pistão: forma e escoramento, armação conforme projeto, instalação da alça, concretagem estrutural, cura úmida e desforma. Material pelo contratante; mão de obra, ferramentas e equipamentos pelo contratado.</t>
  </si>
  <si>
    <t>Cura umida controlada</t>
  </si>
  <si>
    <t>Desforma e retirada do escoramento no prazo</t>
  </si>
  <si>
    <t>Marcacao das cintas intermediarias em todos os andares</t>
  </si>
  <si>
    <t>Execucao de formas</t>
  </si>
  <si>
    <t>Montagem da armadura das cintas</t>
  </si>
  <si>
    <t>Execução de cintas intermediárias em todos os andares: forma, armação, concretagem e adensamento, com cura e conferência. Material pelo contratante; mão de obra, ferramentas e equipamentos pelo contratado.</t>
  </si>
  <si>
    <t>Cura e conferencia</t>
  </si>
  <si>
    <t>Locacao e marcacao do fechamento das laterais e fundos</t>
  </si>
  <si>
    <t>Fechamento das laterais e fundos do prolongamento da torre em alvenaria, com assentamento de blocos, amarração à estrutura e conferência de prumo e esquadro. Material pelo contratante; mão de obra, ferramentas e equipamentos pelo contratado.</t>
  </si>
  <si>
    <t>Encunhamento/amarracao com a estrutura</t>
  </si>
  <si>
    <t>Conferencia de prumo e esquadro</t>
  </si>
  <si>
    <t>Preparo e limpeza das superficies</t>
  </si>
  <si>
    <t>Chapisco de aderencia</t>
  </si>
  <si>
    <t>Execucao de taliscas/mestras para guia de espessura</t>
  </si>
  <si>
    <t>Rebocamento do prolongamento da torre: chapisco de aderência, taliscas/mestras e reboco de ~2 cm sarrafeado e desempenado, com cura e conferência de prumo e planeza. Material pelo contratante; mão de obra, ferramentas e equipamentos pelo contratado.</t>
  </si>
  <si>
    <t>Sarrafeamento e desempeno</t>
  </si>
  <si>
    <t>Cura e conferencia de planeza e prumo</t>
  </si>
  <si>
    <t>Limpeza e lixamento de toda a parte interna da torre</t>
  </si>
  <si>
    <t>Correcao de imperfeicoes e regularizacao</t>
  </si>
  <si>
    <t>Aplicacao de fundo selador</t>
  </si>
  <si>
    <t>Pintura interna da torre do elevador em cor clara, com limpeza/lixamento, correção de imperfeições e fundo selador, mínimo 3 demãos até cobrimento uniforme. REF. Suvinil, Coral ou equivalente. Material pelo contratante; mão de obra, ferramentas e equipamentos pelo contratado.</t>
  </si>
  <si>
    <t>Conferencia de uniformidade e retoques</t>
  </si>
  <si>
    <t>4.1.1</t>
  </si>
  <si>
    <t>Instalação de conduítes/eletrodutos para o sistema elétrico da caixa do elevador, conforme projeto. Material pelo contratante; mão de obra e ferramentas pelo contratado.</t>
  </si>
  <si>
    <t>4.2.1</t>
  </si>
  <si>
    <t>Instalação de dutos e passagem dos cabos (fios 16 mm) conforme projeto. Material pelo contratante; mão de obra e ferramentas pelo contratado.</t>
  </si>
  <si>
    <t>4.3.1</t>
  </si>
  <si>
    <t>Fornecimento e instalação de disjuntor trifásico 100 A no quadro geral, conforme NBR 5410 e NR-10. Material pelo contratante; mão de obra e ferramentas pelo contratado.</t>
  </si>
  <si>
    <t>4.4.1</t>
  </si>
  <si>
    <t>Execução da ligação de força 220 V trifásico com chave seccionadora, conforme NBR 5410 e NR-10. Material pelo contratante; mão de obra e ferramentas pelo contratado.</t>
  </si>
  <si>
    <t>4.5.1</t>
  </si>
  <si>
    <t>Execução da iluminação da caixa do elevador (arandelas, tubulação, luminárias e interruptores), com ligações e teste. Material pelo contratante; mão de obra e ferramentas pelo contratado.</t>
  </si>
  <si>
    <t>4.6.1</t>
  </si>
  <si>
    <t>Instalação de tomadas, interruptores e alimentação elétrica, com testes de funcionamento, conforme NBR 5410 e NR-10. Material pelo contratante; mão de obra e ferramentas pelo contratado.</t>
  </si>
  <si>
    <t>4.7.1</t>
  </si>
  <si>
    <t>Instalação de luz de emergência na caixa do elevador, com autonomia conforme norma e teste de funcionamento. Material pelo contratante; mão de obra e ferramentas pelo contratado.</t>
  </si>
  <si>
    <t>4.8.1</t>
  </si>
  <si>
    <t>Fornecimento e lançamento de cabo flexível PP 3x25 mm² (REF. Prysmian Afumex ou equivalente), conforme projeto. Material pelo contratante; mão de obra e ferramentas pelo contratado.</t>
  </si>
  <si>
    <t>4.9.1</t>
  </si>
  <si>
    <t>Desmontagem do sistema elétrico e de iluminação existente, com reaproveitamento das lâmpadas e descarte adequado. Mão de obra e ferramentas por conta do contratado.</t>
  </si>
  <si>
    <t>4.10.1</t>
  </si>
  <si>
    <t>Fornecimento e instalação de disjuntores 32 A, conforme NBR 5410 e NR-10. Material pelo contratante; mão de obra e ferramentas pelo contratado.</t>
  </si>
  <si>
    <t>4.11.1</t>
  </si>
  <si>
    <t>Fornecimento e lançamento de cabo flexível PP 3x4 mm² (REF. Prysmian Afumex ou equivalente), conforme projeto. Material pelo contratante; mão de obra e ferramentas pelo contratado.</t>
  </si>
  <si>
    <t>4.12.1</t>
  </si>
  <si>
    <t>Fornecimento e lançamento de cabo flexível PP 3x2,5 mm² (REF. Prysmian Afumex ou equivalente), conforme projeto. Material pelo contratante; mão de obra e ferramentas pelo contratado.</t>
  </si>
  <si>
    <t>4.13.1</t>
  </si>
  <si>
    <t>Fornecimento e instalação de infraestrutura em eletroduto galvanizado pré-zincado leve 3/4, conforme projeto. Material pelo contratante; mão de obra e ferramentas pelo contratado.</t>
  </si>
  <si>
    <t>4.14.1</t>
  </si>
  <si>
    <t>Instalação de caixas de passagem e interruptores 4x2 galvanizadas, conforme projeto. Material pelo contratante; mão de obra e ferramentas pelo contratado.</t>
  </si>
  <si>
    <t>4.15.1</t>
  </si>
  <si>
    <t>Luminária LED com suporte 60 cm, 9 W, 6500 K, fornecida e instalada conforme projeto. Material pelo contratante; mão de obra e ferramentas pelo contratado.</t>
  </si>
  <si>
    <t>4.16.1</t>
  </si>
  <si>
    <t>Luminária LED com suporte 120 cm, 18 W, 6500 K, fornecida e instalada conforme projeto. Material pelo contratante; mão de obra e ferramentas pelo contratado.</t>
  </si>
  <si>
    <t>4.17.1</t>
  </si>
  <si>
    <t>Instalação das luminárias na caixa do elevador, com fixação, conexão elétrica e teste de acendimento. Material pelo contratante; mão de obra e ferramentas pelo contratado.</t>
  </si>
  <si>
    <t>Empilhamento e ensacamento do entulho dentro do canteiro</t>
  </si>
  <si>
    <t>Ensacamento e acondicionamento dos residuos, saco de 25 litros</t>
  </si>
  <si>
    <t>Carregamento no veiculo/cacamba</t>
  </si>
  <si>
    <t>Remoção completa de portas e janelas existentes (folhas e batentes), com regularização dos vãos e descarte dos resíduos (sacos de 25 L). Mão de obra e ferramentas por conta do contratado.</t>
  </si>
  <si>
    <t>Remoção completa de 2 janelas</t>
  </si>
  <si>
    <t>Regularização do vão da porta de acesso a area externa (unico em parede que não será demolida)</t>
  </si>
  <si>
    <t>Remoção de residuos</t>
  </si>
  <si>
    <t>Armazenamento e descarte dos residuos, sacos 25 litros</t>
  </si>
  <si>
    <t>Demolição controlada e monitorada do concreto para abertura das novas portas</t>
  </si>
  <si>
    <t>Marcação dos vãos das 3 novas portas conforme projeto</t>
  </si>
  <si>
    <t>Conferência estrutural, escoramento e isolamento da area</t>
  </si>
  <si>
    <t>Corte diamantado do contorno com serra apropriada</t>
  </si>
  <si>
    <t>Demolição controlada e monitorada de concreto para abertura dos vãos das novas portas, com corte diamantado, corte de armaduras, reforço de bordas quando necessário e regularização dos vãos. Mão de obra, ferramentas e equipamentos por conta do contratado.</t>
  </si>
  <si>
    <t>Execucao de reforco da bordas quando necessario</t>
  </si>
  <si>
    <t>Regularização completa dos vãos</t>
  </si>
  <si>
    <t>Remocao do entulho em sacos de 25 litros e limpeza</t>
  </si>
  <si>
    <t>Verificação da estrutura para demolicao do suporte/base em concreto</t>
  </si>
  <si>
    <t>Demolição do suporte/base em concreto do antigo sistema de ar-condicionado com martelete e nivelamento bruto do piso, com remoção do entulho. Mão de obra, ferramentas e equipamentos por conta do contratado.</t>
  </si>
  <si>
    <t>Remocao do entulho, ensacamento sacos de 25 litros</t>
  </si>
  <si>
    <t>Nivelamento bruto do piso (demolição até nivel desejado)</t>
  </si>
  <si>
    <t>Limpeza da area</t>
  </si>
  <si>
    <t>Conferencia de cotas e marcação da ampliacao (cota +36,55)</t>
  </si>
  <si>
    <t>Perfuração com broca 20mm para ancoragem dos arranques de 16mm</t>
  </si>
  <si>
    <t>Chumbamento dos arranques com chumbador químico</t>
  </si>
  <si>
    <t>Montagem da forma e escoramento</t>
  </si>
  <si>
    <t>Montagem da armação da laje com aço 16mm conforme definido previamente</t>
  </si>
  <si>
    <t>Ampliação da laje na cota +36,55: perfuração e chumbamento químico de arranques (aço 16 mm), forma e escoramento, armação, concretagem com concreto aditivado impermeabilizante e vibrado, e cura úmida controlada. Material pelo contratante; mão de obra, ferramentas e equipamentos pelo contratado.</t>
  </si>
  <si>
    <t>Cura umida controlada por 3 dias</t>
  </si>
  <si>
    <t>Marcacao do vao da nova janela conforme projeto</t>
  </si>
  <si>
    <t>Abertura do vão da nova janela com corte diamantado e demolição controlada do concreto, corte de armaduras e regularização do vão, conforme aberturas existentes. Mão de obra, ferramentas e equipamentos por conta do contratado.</t>
  </si>
  <si>
    <t>Inspeção das superficies para mapeamento dos pontos de patologia no concreto</t>
  </si>
  <si>
    <t>Remoção das partes de concreto soltas</t>
  </si>
  <si>
    <t>Recuperação das armaduras que apresentarem corrosão, sendo necessário a remoção do concreto ao redor da armadura até conseguir visualizar a parte sem corrosão da mesma, realizar lixamento até recuperação natural da cor do aço e aplicar protetor de armadura a base de zinco</t>
  </si>
  <si>
    <t>Recuperação das áreas de concreto danificadas/removidas com argamassa de reparo estrutural</t>
  </si>
  <si>
    <t>Lixamento mecanico com esmerilhadeira e disco de desbaste para concreto em toda a superficie para remoção do verniz do concreto, sem remoção de concreto</t>
  </si>
  <si>
    <t>Demolição leve ou lixamento mecanico com esmerilhadeira e disco de desbaste para concreto nos pontos em que o concreto se encontra com dentes ou bordas para remoção das mesmas</t>
  </si>
  <si>
    <t>Limpeza das superfícies para remoção das sujidades e particulas soltas</t>
  </si>
  <si>
    <t>Aplicação de fundo preparador de paredes</t>
  </si>
  <si>
    <t>Recuperação de paredes e tetos em concreto: tratamento de armaduras corroídas (lixamento e primer de zinco), reparo com argamassa estrutural, lixamento mecânico do verniz do concreto e regularização com argamassa AC-III sobre fundo preparador. Material pelo contratante; mão de obra, ferramentas e equipamentos pelo contratado.</t>
  </si>
  <si>
    <t>Limpeza completa da área</t>
  </si>
  <si>
    <t>Preparo e limpeza da base para assentamento da alvenaria</t>
  </si>
  <si>
    <t>Execução da primeira fiada, conferindo nível, esquadro e prumo; utilizando nível a laser, esquadro e trena</t>
  </si>
  <si>
    <t>Execução de alvenaria de separação das novas portas e do corredor, com blocos assentados nivelados e aprumados, encunhamento, chapisco e reboco de ~2 cm sarrafeado e desempenado. Material pelo contratante; mão de obra, ferramentas e equipamentos pelo contratado.</t>
  </si>
  <si>
    <t>Execução de encunhamento superior entre alvenaria e estrutura; utilizando colher de pedreiro e desempenadeira</t>
  </si>
  <si>
    <t>Aplicação de chapisco, utilizando colher de pedreiro ou chapisco rolado com auxilio de rolo de textura alta</t>
  </si>
  <si>
    <t>Execução de reboco com espessura de 2 cm, sarrafeado e desempenado; utilizando régua, colher de pedreiro e desempenadeira</t>
  </si>
  <si>
    <t>Limpeza final e liberação da área</t>
  </si>
  <si>
    <t>Estudo e levantamento das interferências no caminho de passagem das infras de eletrica e de hidraulica</t>
  </si>
  <si>
    <t>Levantamento e desligamento das instalações elétricas existentes; utilizando chave de teste, alicate e chave de fenda</t>
  </si>
  <si>
    <t>Remoção da tubulação e fiação existente para substituição; utilizando alicate, serra manual, chave inglesa e martelo</t>
  </si>
  <si>
    <t>Desligamento dos pontos hidraulicos existentes</t>
  </si>
  <si>
    <t>Remoção das instalações e pontos hidraulicos existentes</t>
  </si>
  <si>
    <t>Marcação dos novos pontos de elétrica, rede e hidraulica</t>
  </si>
  <si>
    <t>Abertura de rasgos em paredes e lajes para embutimento das tubulações de agua e conduites de elétrica e rede; utilizando martelete, talhadeira, serra copo e trena</t>
  </si>
  <si>
    <t>Substituição das instalações elétricas e hidráulicas aparentes por rede embutida: abertura de rasgos, tubulações de água, conduítes e caixas chumbadas, com teste de estanqueidade, conforme NBR 5410, NR-10 e NBR 5626. Material pelo contratante; mão de obra, ferramentas e equipamentos pelo contratado.</t>
  </si>
  <si>
    <t>Instalação e chumbamento das caixinhas 4x4 e 4x2 de elétrica e de rede, conforme  projeto; com argamassa de areia e cimento ou gesso</t>
  </si>
  <si>
    <t>Instalação e chumbamento dos novos pontos de hidraulica, conforme projeto; com argamassa de areia e cimento</t>
  </si>
  <si>
    <t>Teste da rede hidraulica para garantia da estanqueidade da tubulação</t>
  </si>
  <si>
    <t>Limpeza e liberação da área</t>
  </si>
  <si>
    <t>Locação e marcação das 2 paredes de alvenaria estrutural (clara boia); utilizando trena, linha de pedreiro e nível a laser</t>
  </si>
  <si>
    <t>Preparo da superfície e limpeza da base de assentamento</t>
  </si>
  <si>
    <t>Marcação e perfuração da laje com broca de 12 mm para chumbamento das barras de aço de 10mm, uma em cada abertura do bloco</t>
  </si>
  <si>
    <t>Execução de parede em alvenaria de blocos cimentícios, com primeira fiada nivelada/aprumada, elevação com argamassa e grauteamento a cada 4 fiadas, encunhamento, chapisco e reboco de ~2 cm sarrafeado e desempenado. Material pelo contratante; mão de obra, ferramentas e equipamentos pelo contratado.</t>
  </si>
  <si>
    <t>Locação e marcação do nível e alinhamento do forro, conforme projeto; utilizando trena, linha de pedreiro e nível a laser</t>
  </si>
  <si>
    <t>Locação da modulação e marcação dos pontos de fixação utilizando trena e linha de marcação</t>
  </si>
  <si>
    <t>Fixação das cantoneiras perimetrais com furadeira/parafusadeira</t>
  </si>
  <si>
    <t>Instalação dos pontos de ancoragem e tirantes de sustentação utilizando furadeira e chumbadores</t>
  </si>
  <si>
    <t>Montagem da estrutura metálica tipo T principal e secundária</t>
  </si>
  <si>
    <t>Nivelamento, alinhamento e esquadro da estrutura utilizando nível a laser e esquadro</t>
  </si>
  <si>
    <t>Instalação de forro mineral modular em placas 625x625/625x1250 mm, acabamento texturizado branco, em estrutura metálica tipo T aparente nivelada e alinhada, com cantoneiras perimetrais, tirantes e arremates. REF. Armstrong, OWA ou equivalente. Material pelo contratante; mão de obra, ferramentas e equipamentos pelo contratado.</t>
  </si>
  <si>
    <t>Medição, corte e instalação das placas de bordo e placas com interferências utilizando trena e estilete</t>
  </si>
  <si>
    <t>Execução dos arremantes e ajustes finais, conferência do nivelamento, alinhamento e encaixe das placas utilizando nível a laser</t>
  </si>
  <si>
    <t>Fixação das tabicas, niveladas, utilizando parafusadeira, broca, chumbador e nível a laser</t>
  </si>
  <si>
    <t>Fixação dos pendurais/tirantes; utilizando parafusadeira, broca, chumbador e nível a laser</t>
  </si>
  <si>
    <t>Montagem dos perfis metalicos galvanizados F530, ajuste e travamento da estrutura metálica de suporte; utilizando régua, alicate e nível a laser</t>
  </si>
  <si>
    <t>Instalação de forro em gesso acartonado RU (resistente à umidade) sobre estrutura metálica galvanizada (perfil F530, montantes e guias), com fita telada nas juntas e tratamento de emendas (2 a 3 demãos de massa), nivelado e alinhado. Material pelo contratante; mão de obra, ferramentas e equipamentos pelo contratado.</t>
  </si>
  <si>
    <t>Aplicação de fita telada em todas as juntas e encontros; utilizando espátula e estilete</t>
  </si>
  <si>
    <t>Tratamento das emendas e cabeças dos parafusos com massa própria para gesso (2 a 3 demãos); utilizando espátula e desempenadeira</t>
  </si>
  <si>
    <t>Conferência final de nível, alinhamento e planicidade; utilizando régua e nível a laser</t>
  </si>
  <si>
    <t>Limpeza total da área e remoção de resíduos; utilizando vassoura, pá e pano úmido</t>
  </si>
  <si>
    <t>Execução de reboco em paredes e teto, espessura ~2 cm, sarrafeado e desempenado (regularização considerada no recupero do item 5.12). Material pelo contratante; mão de obra e ferramentas pelo contratado.</t>
  </si>
  <si>
    <t>Considerado dentro do item 5.12</t>
  </si>
  <si>
    <t>Definição dos niveis conforme projeto, com auxilio de nivel a laser</t>
  </si>
  <si>
    <t xml:space="preserve">Limpeza completa da superfície, remoção de resíduos, poeira e materiais soltos; utilizando vassoura, pá </t>
  </si>
  <si>
    <t>Umidificação da base para garantir aderência do material; utilizando rolo, broxa ou esguicho</t>
  </si>
  <si>
    <t>Aplicação de ponte aderencia utilizando bianco e cimento espalhando sobre todo o piso com auxilio de vassoura</t>
  </si>
  <si>
    <t>Execução de taliscas e mestras para definição de nível e espessura; utilizando régua de alumínio, trena e nível a laser</t>
  </si>
  <si>
    <t>Nivelamento fino do piso com contrapiso sarrafeado e desempenado sobre ponte de aderência, com taliscas/mestras e caimentos conforme projeto. Material pelo contratante; mão de obra, ferramentas e equipamentos pelo contratado.</t>
  </si>
  <si>
    <t>Limpeza total da área e remoção de sobras de material; utilizando vassoura, pano úmido e pá</t>
  </si>
  <si>
    <t>Limpeza e preparação da base, removendo poeira, resíduos e materiais soltos; utilizando vassoura, pá.</t>
  </si>
  <si>
    <t>Conferência do nivelamento e esquadro da área; utilizando trena, esquadro e nível a laser</t>
  </si>
  <si>
    <t>Definição e marcação da paginação do piso conforme projeto; utilizando trena, linha de pedreiro, esquadro e nível a laser</t>
  </si>
  <si>
    <t>Preparo da argamassa colante conforme especificação do fabricante; utilizando balde e misturador elétrico</t>
  </si>
  <si>
    <t>Aplicação da argamassa colante em dupla colagem (base e peças); utilizando desempenadeira dentada</t>
  </si>
  <si>
    <t>Assentamento de revestimento de piso 60x60 cm com argamassa colante AC-III em dupla colagem, espaçadores/niveladores, paginação conforme projeto e rejunte. REF. Portobello, Eliane ou equivalente. Material pelo contratante; mão de obra, ferramentas e equipamentos pelo contratado.</t>
  </si>
  <si>
    <t>Limpeza das juntas para remoção do excesso de argamassa, aplicação do rejunte realizando a limpeza das peças; utilizando desempenadeira de borracha e pano umido</t>
  </si>
  <si>
    <t>Limpeza final da área e remoção de resíduos</t>
  </si>
  <si>
    <t>Assentamento de revestimento cerâmico 40x40 cm em piso e paredes de banheiro, com argamassa colante AC-III em dupla colagem, espaçadores/niveladores e rejunte, paginação conforme projeto. REF. Portobello, Eliane ou equivalente. Material pelo contratante; mão de obra, ferramentas e equipamentos pelo contratado.</t>
  </si>
  <si>
    <t>Assentamento de revestimento 40x40 cm em piso externo de escada, com argamassa colante AC-III em dupla colagem, espaçadores/niveladores e rejunte, conforme paginação. Material pelo contratante; mão de obra, ferramentas e equipamentos pelo contratado.</t>
  </si>
  <si>
    <t xml:space="preserve">Limpeza e preparação da base, removendo poeira, resíduos e materiais soltos; utilizando vassoura, pá </t>
  </si>
  <si>
    <t>Conferência dos níveis, caimentos e pontos de drenagem; utilizando trena, régua e nível a laser</t>
  </si>
  <si>
    <t>Locação e marcação da modulação das placas conforme projeto; utilizando trena, linha de pedreiro e nível a laser</t>
  </si>
  <si>
    <t>Marcação dos pontos de apoio e posicionamento dos pedestais conforme modulação; utilizando trena, linha de pedreiro e nível a laser</t>
  </si>
  <si>
    <t>Instalação e regulagem dos pedestais de sustentação; utilizando chave de ajuste, trena e nível a laser</t>
  </si>
  <si>
    <t>Conferência do nivelamento e alinhamento dos pedestais; utilizando régua de alumínio e nível a laser</t>
  </si>
  <si>
    <t>Instalação de piso elevado drenante (REF. Concrefit, Braston ou equivalente) sobre pedestais reguláveis nivelados, com modulação e caimentos conforme projeto e teste de drenagem. Material pelo contratante; mão de obra, ferramentas e equipamentos pelo contratado.</t>
  </si>
  <si>
    <t>Teste de escoamento da água e verificação do funcionamento da drenagem</t>
  </si>
  <si>
    <t>Proteção dos ambientes com papelão ou papel kraft e lona plástica, conforme necessidade e disponibilidade</t>
  </si>
  <si>
    <t>Limpeza das superfícies para remoção de sujidades e partículas soltas.</t>
  </si>
  <si>
    <t>Aplicação de seladora sobre o reboco/regularização</t>
  </si>
  <si>
    <t>Preparação de superfície interna para pintura: limpeza, selador, massa corrida (1 a 2 demãos), lixamento e correção de imperfeições, deixando a superfície pronta para pintura. Material pelo contratante; mão de obra, ferramentas e equipamentos pelo contratado.</t>
  </si>
  <si>
    <t>Lixamento da massa corrida e correção de imperfeições</t>
  </si>
  <si>
    <t>Lixamento das correções</t>
  </si>
  <si>
    <t>Conferencia da superficie pronta para pintura</t>
  </si>
  <si>
    <t>Limpeza da obra, com auxilio de vassoura e pá</t>
  </si>
  <si>
    <t>Conferência da superfície preparada (item 5.24): planicidade, ausência de pó e cura da massa.</t>
  </si>
  <si>
    <t>Proteção de pisos, esquadrias e áreas adjacentes com lona plástica, papel kraft e fita crepe.</t>
  </si>
  <si>
    <t>Pintura de paredes e teto com tinta látex acrílica fosca, na cor definida pelo contratante, mínimo 3 demãos até cobrimento uniforme. REF. Suvinil, Coral ou equivalente. Material pelo contratante; mão de obra, ferramentas e equipamentos pelo contratado.</t>
  </si>
  <si>
    <t>Limpeza final e remoção das proteções.</t>
  </si>
  <si>
    <t>Preparação de superfície externa para pintura: limpeza/lavagem, lixamento, raspagem, correção com massa acrílica e selador acrílico conforme o substrato. Material pelo contratante; mão de obra, ferramentas e equipamentos pelo contratado.</t>
  </si>
  <si>
    <t>Conferência da preparação da superficie (item 5.24)</t>
  </si>
  <si>
    <t>Proteção das areas adjacentes com papelão ou papel kraft e lona plástica, conforme necessidade e disponibilidade</t>
  </si>
  <si>
    <t>Pintura de fachada com tinta acrílica premium para áreas externas, na cor definida pelo contratante, mínimo 2 demãos sobre selador acrílico, acabamento fosco ou semibrilho. REF. Suvinil, Coral ou equivalente. Material pelo contratante; mão de obra, ferramentas e equipamentos pelo contratado.</t>
  </si>
  <si>
    <t>Limpeza da obra</t>
  </si>
  <si>
    <t>Conferencia do vao (prumo, nivel e dimensoes) das 6 portas existentes no 8º pavimento, sendo uma delas uma porta corta fogo e as demais portas comuns</t>
  </si>
  <si>
    <t>Instalacao do batente/marco nivelado e aprumado</t>
  </si>
  <si>
    <t>Instalação completa de portas: batente/marco nivelado e aprumado, folha, dobradiças, fechadura e ferragens, com regulagem, guarnições e teste de funcionamento. Material pelo contratante; mão de obra e ferramentas pelo contratado.</t>
  </si>
  <si>
    <t>Instalacao de fechadura e ferragens</t>
  </si>
  <si>
    <t>Regulagem de folgas e colocacao das guarnicoes</t>
  </si>
  <si>
    <t>Teste de abertura e fechamento</t>
  </si>
  <si>
    <t>Conferencia do vao e do contramarco</t>
  </si>
  <si>
    <t>Instalacao do contramarco nivelado e aprumado</t>
  </si>
  <si>
    <t>Instalação de janela em alumínio perfil Gold com vidro 10 mm sobre contramarco nivelado e aprumado, com calafetagem/vedação em silicone e regulagem de folhas e ferragens. Material pelo contratante; mão de obra e ferramentas pelo contratado.</t>
  </si>
  <si>
    <t>Calafetagem/vedacao com silicone</t>
  </si>
  <si>
    <t>Regulagem de folhas e ferragens</t>
  </si>
  <si>
    <t>Conferencia do vão (clara boia)</t>
  </si>
  <si>
    <t>Fixacao do quadro/perfil Gold com trilho nivelado</t>
  </si>
  <si>
    <t>Instalação de esquadria de correr sobre trilho, perfil Gold com vidro 10 mm, nivelada, com vedação/calafetagem e regulagem do deslize e ferragens. Material pelo contratante; mão de obra e ferramentas pelo contratado.</t>
  </si>
  <si>
    <t>Vedacao e calafetagem</t>
  </si>
  <si>
    <t>Regulagem do deslize e ferragens</t>
  </si>
  <si>
    <t>Teste de funcionamento</t>
  </si>
  <si>
    <t>Conferencia das fixacoes e do alinhamento de projeto</t>
  </si>
  <si>
    <t>Instalacao dos suportes/estrutura do brise</t>
  </si>
  <si>
    <t>Instalação de brise externo com drenagem aparente: suportes/estrutura fixados e elementos montados alinhados e nivelados, garantindo escoamento. Material pelo contratante; mão de obra e ferramentas pelo contratado.</t>
  </si>
  <si>
    <t>Garantia de drenagem/escoamento aparente</t>
  </si>
  <si>
    <t>Fixacao definitiva e conferencia</t>
  </si>
  <si>
    <t>Marcacao do local do quadro conforme projeto</t>
  </si>
  <si>
    <t>Fixacao da caixa (embutida ou sobreposta)</t>
  </si>
  <si>
    <t>Instalação de quadro de distribuição (embutido ou sobreposto, IP40 mínimo) com disjuntores, DR, DPS, barramentos, trilho DIN, identificação de circuitos, aterramento e testes, conforme NBR 5410 e NR-10. Material pelo contratante; mão de obra e ferramentas pelo contratado.</t>
  </si>
  <si>
    <t>Conexao e identificacao dos circuitos</t>
  </si>
  <si>
    <t>Aperto e organizacao da fiacao</t>
  </si>
  <si>
    <t>Testes de protecao (DR/DPS) e energizacao</t>
  </si>
  <si>
    <t>Identificacao final do quadro com diagrama</t>
  </si>
  <si>
    <t>Marcacao dos pontos conforme projeto</t>
  </si>
  <si>
    <t>Passagem dos cabos (fase, neutro e terra) por circuito, conforme projeto</t>
  </si>
  <si>
    <t>Execução de pontos elétricos embutidos (tomadas 2P+T 20A/220V e pontos de luz) com eletrodutos, caixas, cabeamento antichama (fase, neutro e terra), conectores e espelhos, com identificação e testes, conforme NBR 5410 e NR-10. Material pelo contratante; mão de obra e ferramentas pelo contratado.</t>
  </si>
  <si>
    <t>Conexoes, identificacao e teste de funcionamento</t>
  </si>
  <si>
    <t>Execução de pontos de água fria em tubulação de PVC marrom soldável, embutidos, com teste de estanqueidade, conforme NBR 5626 (executados junto ao item 5.14). Material pelo contratante; mão de obra e ferramentas pelo contratado.</t>
  </si>
  <si>
    <t>Item 5.14.10</t>
  </si>
  <si>
    <t>Execução de pontos de esgoto em tubulação de PVC série normal 50/100 mm, com caimento e vedação, conforme NBR 8160 (executados junto ao item 5.14). Material pelo contratante; mão de obra e ferramentas pelo contratado.</t>
  </si>
  <si>
    <t>Conferencia dos pontos hidraulicos e de fixacao</t>
  </si>
  <si>
    <t>Instalação de louças sanitárias com gabinete em MDF ultra (vaso e cuba), com vedação, ligações de água e esgoto e teste de estanqueidade. Material pelo contratante; mão de obra e ferramentas pelo contratado.</t>
  </si>
  <si>
    <t>Instalacao do gabinete em MDF ultra e cuba</t>
  </si>
  <si>
    <t>Conexao de agua e esgoto (sifao e ligacoes)</t>
  </si>
  <si>
    <t>Vedacao com silicone e regulagem</t>
  </si>
  <si>
    <t>Teste de funcionamento e estanqueidade</t>
  </si>
  <si>
    <t>Instalação de metais sanitários (torneiras/misturadores, registros, acabamentos e acessórios), com teste de funcionamento e estanqueidade. Material pelo contratante; mão de obra e ferramentas pelo contratado.</t>
  </si>
  <si>
    <t>Instalacao de registros e acabamentos</t>
  </si>
  <si>
    <t>Instalacao dos acessorios (ducha, chuveiro, etc.)</t>
  </si>
  <si>
    <t>Conferencia e preparo da base</t>
  </si>
  <si>
    <t>Instalacao da estrutura/sarrafos de fixacao</t>
  </si>
  <si>
    <t>Instalação de revestimento de parede em madeira ripada de cumaru impermeabilizada, sobre estrutura/sarrafos, alinhada e nivelada com espaçamento uniforme, com arremates e acabamento (verniz/óleo). Material pelo contratante; mão de obra e ferramentas pelo contratado.</t>
  </si>
  <si>
    <t>Arremates e cantos</t>
  </si>
  <si>
    <t>Aplicacao de acabamento (verniz/oleo) e conferencia</t>
  </si>
  <si>
    <t>Conferencia dos pontos, conforme projeto</t>
  </si>
  <si>
    <t>Instalação de luminárias 50 W tipo embutido quadrado (REF. Labluz PAR20 ou equivalente), com fixação, conexão elétrica, nivelamento e teste de acendimento. Material pelo contratante; mão de obra e ferramentas pelo contratado.</t>
  </si>
  <si>
    <t>Conexao eletrica</t>
  </si>
  <si>
    <t>Alinhamento e nivelamento</t>
  </si>
  <si>
    <t>Teste de acendimento</t>
  </si>
  <si>
    <t>Conferencia dos pontos,conforme projeto</t>
  </si>
  <si>
    <t>Instalação de luminária tipo calha de embutir para 2 lâmpadas LED T8, com fixação/embutimento, conexão elétrica e teste de acendimento. Material pelo contratante; mão de obra e ferramentas pelo contratado.</t>
  </si>
  <si>
    <t>Instalacao das lampadas LED T8</t>
  </si>
  <si>
    <t>Teste de acendimento e alinhamento</t>
  </si>
  <si>
    <t>Conferencia do percurso e pontos de alimentacao, conforme projeto</t>
  </si>
  <si>
    <t>Instalacao do perfil/suporte da fita</t>
  </si>
  <si>
    <t>Instalação de fita LED IP68 (à prova de água) em perfil/suporte, com fonte e conexões protegidas e teste de acendimento e vedação. Material pelo contratante; mão de obra e ferramentas pelo contratado.</t>
  </si>
  <si>
    <t>Instalacao da fonte e conexoes</t>
  </si>
  <si>
    <t>Teste de acendimento e vedacao</t>
  </si>
  <si>
    <t>Conferencia do percurso externo e da alimentacao</t>
  </si>
  <si>
    <t>Instalacao de perfis/suportes adequados a area externa</t>
  </si>
  <si>
    <t>Instalação de iluminação externa com fita LED IP68 à prova de água e luminárias, em perfis/suportes adequados, com fonte protegida e teste de acendimento e estanqueidade. Material pelo contratante; mão de obra e ferramentas pelo contratado.</t>
  </si>
  <si>
    <t>Conexoes e fonte protegida</t>
  </si>
  <si>
    <t>Teste de acendimento e estanqueidade</t>
  </si>
  <si>
    <t>Marcação dos pontos de fixação, conforme projeto, na escada de acesso do 8º pavimento para o 9º pavimento</t>
  </si>
  <si>
    <t>Instalacao dos suportes/chumbadores</t>
  </si>
  <si>
    <t>Instalação de corrimão em alumínio anodizado ou pintado, fixado em suportes/chumbadores, nivelado e alinhado, conforme NBR 9050. Material pelo contratante; mão de obra e ferramentas pelo contratado.</t>
  </si>
  <si>
    <t>Fixacao definitiva e conferencia de rigidez</t>
  </si>
  <si>
    <t>Arremates e acabamento</t>
  </si>
  <si>
    <t>Locacao das unidades (evaporadora/cassete e condensadora)</t>
  </si>
  <si>
    <t>Execução da rede frigorigena em cobre isolado, com a espessura necessaria para o correto funcionamento do sistema por completo</t>
  </si>
  <si>
    <t>Instalação das tubulações de dreno com caimento e teste de escoamento</t>
  </si>
  <si>
    <t>Instalação de ar-condicionado split/cassete 24.000 BTUs: rede frigorígena em cobre isolado, drenos com caimento, evaporadora e condensadora niveladas, ligações elétricas, vácuo, carga de gás e teste de funcionamento. Material pelo contratante; mão de obra e ferramentas pelo contratado.</t>
  </si>
  <si>
    <t>Instalacao da condensadora (base e ventilacao), no local definido em projeto</t>
  </si>
  <si>
    <t>Ligacoes eletricas com cabeamento correto para o funcionamento das maquinas</t>
  </si>
  <si>
    <t>Vacuo na rede e carga/complemento de gas</t>
  </si>
  <si>
    <t>Teste de funcionamento e balanceamento</t>
  </si>
  <si>
    <t>Recolhimento de gas e desconexao das condensadoras existentes</t>
  </si>
  <si>
    <t>Remocao das unidades do local atual</t>
  </si>
  <si>
    <t>Manutencao e limpeza das condensadoras</t>
  </si>
  <si>
    <t>Preparo da nova base/suporte conforme projeto</t>
  </si>
  <si>
    <t>Remoção, manutenção e limpeza das condensadoras existentes e reinstalação no local de projeto (fachadas), com reaproveitamento, interligação às evaporadoras por dutos de cobre com proteção elastomérica, vácuo, carga de gás e teste. Material pelo contratante; mão de obra e ferramentas pelo contratado.</t>
  </si>
  <si>
    <t>Reconexao da rede frigorigena e eletrica</t>
  </si>
  <si>
    <t>Vacuo, carga de gas e teste de funcionamento</t>
  </si>
  <si>
    <t>Demolicao pontual do revestimento existente se necessario</t>
  </si>
  <si>
    <t>Remoção da manta existente, caso seja necessário para nivelamento do piso</t>
  </si>
  <si>
    <t>Regularização da base realizando acabamento em meia cana no encontro do piso com a parede</t>
  </si>
  <si>
    <t>Aplicação de primer em toda a superficie</t>
  </si>
  <si>
    <t>Impermeabilização de área externa com manta asfáltica em dupla camada cruzada (4 mm + 3 mm) sobre primer, com regularização de base e meia-cana, reforço em ralos e cantos, teste de estanqueidade (lâmina de água mínima de 5 cm por 72 h) e proteção mecânica, conforme NBR 9574 e NBR 9575. Material pelo contratante; mão de obra, ferramentas e equipamentos pelo contratado.</t>
  </si>
  <si>
    <t>Teste de estanqueidade com lamina d'água de minimo 5 cm de altura por um periodo de 72 horas</t>
  </si>
  <si>
    <t>Protecao mecanica da manta</t>
  </si>
  <si>
    <t>Limpeza da área</t>
  </si>
  <si>
    <t>Conferencia do vao do shaft</t>
  </si>
  <si>
    <t>Montagem da estrutura interna em MDF 25 mm tratado contra umidade</t>
  </si>
  <si>
    <t>Fixacao mecanica da estrutura</t>
  </si>
  <si>
    <t>Execução de revestimento de shaft com estrutura interna em MDF 25 mm tratado contra umidade e acabamento externo em chapa de aço inox escovado AISI 304, com recortes, arremates, ferragens e porta de inspeção quando houver. Material pelo contratante; mão de obra e ferramentas pelo contratado.</t>
  </si>
  <si>
    <t>Instalação das portas</t>
  </si>
  <si>
    <t>Lixamento completo do armario para remoção da tinta existente e patologias</t>
  </si>
  <si>
    <t>Limpeza e desengraxe da superficie</t>
  </si>
  <si>
    <t xml:space="preserve">Tratamento da base com aplicação de fundo preparador ou primer </t>
  </si>
  <si>
    <t>Adequação e pintura de armário de combate a incêndio: lixamento, remoção de ferrugem, tratamento anticorrosivo e pintura em esmalte sintético vermelho-segurança, com substituição de ferragens e sinalização, conforme NBR 12693. Material pelo contratante; mão de obra e ferramentas pelo contratado.</t>
  </si>
  <si>
    <t>Recolocacao da sinalizacao/identificacao</t>
  </si>
  <si>
    <t>Conferencia final</t>
  </si>
  <si>
    <t>Limpeza permanente durante a execucao (remocao continua de residuos)</t>
  </si>
  <si>
    <t>Remocao de entulho e sobras de material</t>
  </si>
  <si>
    <t>Movimentação do entulho para o 4º subsolo e para a caçamba</t>
  </si>
  <si>
    <t>Limpeza fina final (vidros, pisos, louças e esquadrias) e limpeza permanente durante a execução, com remoção e movimentação do entulho para descarte e conferência de entrega. Mão de obra, ferramentas e equipamentos por conta do contratado.</t>
  </si>
  <si>
    <t xml:space="preserve">Conferencia completa da limpeza e entrega da obra </t>
  </si>
  <si>
    <t>Remoção completa de porta e janela existentes (folhas e batentes), com regularização do vão da porta, fechamento do vão da janela e descarte dos resíduos (sacos de 25 L). Mão de obra e ferramentas por conta do contratado.</t>
  </si>
  <si>
    <t>Remoção completa de 1 janelas</t>
  </si>
  <si>
    <t>Regularização do vão da porta e fechamento do vão da janela</t>
  </si>
  <si>
    <t>Execução da primeira fiada, conferindo nível, esquadro e prumo; utilizando nível a laser, esquadro e trena, ja deixando definidas os vãos das 9 novas portas</t>
  </si>
  <si>
    <t>Execução de parede em alvenaria de blocos cimentícios com os vãos das novas portas, primeira fiada nivelada/aprumada, elevação com argamassa, vergas sobre as portas, encunhamento, chapisco, reboco de ~2 cm sarrafeado e desempenado e requadração dos vãos. Material pelo contratante; mão de obra, ferramentas e equipamentos pelo contratado.</t>
  </si>
  <si>
    <t>Execução das vergas sobre as portas</t>
  </si>
  <si>
    <t xml:space="preserve">Execução das requadrações dos vãos das nove portas </t>
  </si>
  <si>
    <t>Tratamento das emendas e cabeças dos parafusos com massa própria para gesso; utilizando espátula e desempenadeira</t>
  </si>
  <si>
    <t>Considerar no item 5.12</t>
  </si>
  <si>
    <t>Conferência da preparação da superficie (item 6.16)</t>
  </si>
  <si>
    <t>Conferencia do vao (prumo, nivel e dimensoes) das 9 portas existentes no 9º pavimento</t>
  </si>
  <si>
    <t>Marcação dos pontos de fixação, conforme projeto, na escada de acesso do 9º pavimento para o 10º pavimento</t>
  </si>
  <si>
    <t>Conferencia do alinhamento e da cota do parapeito</t>
  </si>
  <si>
    <t>Instalação de suporte de vidro embutido tipo Faraone para parapeito: fixação e embutimento do perfil de base, nivelado e aprumado, preparado para receber os vidros, com conferência estrutural. Material pelo contratante; mão de obra e ferramentas pelo contratado.</t>
  </si>
  <si>
    <t>Nivelamento e aprumamento do sistema</t>
  </si>
  <si>
    <t>Preparacao do perfil para receber os vidros</t>
  </si>
  <si>
    <t>Conferencia estrutural da fixacao</t>
  </si>
  <si>
    <t>Conferencia das medidas e do suporte instalado</t>
  </si>
  <si>
    <t>Instalação de vidros temperados 10 mm em parapeito sobre suporte tipo Faraone, com calçamento, fixação, aprumamento, vedação/calafetagem e conferência final de segurança. Material pelo contratante; mão de obra e ferramentas pelo contratado.</t>
  </si>
  <si>
    <t>Calçamento e fixação conforme o sistema</t>
  </si>
  <si>
    <t>Aprumamento e nivelamento dos vidros</t>
  </si>
  <si>
    <t>Vedacao/calafetagem e acabamento</t>
  </si>
  <si>
    <t>Conferencia final de seguranca</t>
  </si>
  <si>
    <t>Remoção completa de porta existente (folhas e batentes) e descarte dos resíduos (sacos de 25 L). Mão de obra e ferramentas por conta do contratado.</t>
  </si>
  <si>
    <t>Conferencia dos pontos e da infraestrutura eletrica</t>
  </si>
  <si>
    <t>Instalação de balizadores de solo (REF. Stella Way Ring 1W 360° ou equivalente) com caixa embutida no piso, fixação nivelada, ligação elétrica e teste de acendimento e vedação. Material pelo contratante; mão de obra e ferramentas pelo contratado.</t>
  </si>
  <si>
    <t>Fixacao e nivelamento do balizador de solo</t>
  </si>
  <si>
    <t>Ligacao eletrica e direcionamento (360 graus)</t>
  </si>
  <si>
    <t>Teste de acendimento e vedacao contra agua</t>
  </si>
  <si>
    <t>Calcamento e fixacao conforme o sistema</t>
  </si>
  <si>
    <t>8.1.1</t>
  </si>
  <si>
    <t>Remoção completa de portas existentes (folhas e batentes), regularização do vão e descarte dos resíduos (sacos de 25 L). Mão de obra e ferramentas por conta do contratado.</t>
  </si>
  <si>
    <t>8.1.2</t>
  </si>
  <si>
    <t>8.1.3</t>
  </si>
  <si>
    <t>8.1.4</t>
  </si>
  <si>
    <t>8.1.5</t>
  </si>
  <si>
    <t>8.2.1</t>
  </si>
  <si>
    <t>8.2.2</t>
  </si>
  <si>
    <t>8.2.3</t>
  </si>
  <si>
    <t>8.2.4</t>
  </si>
  <si>
    <t>8.2.5</t>
  </si>
  <si>
    <t>Recuperação de paredes e tetos: lixamento mecânico para remoção do verniz do concreto, fundo preparador e regularização com argamassa AC-III desempenada. Material pelo contratante; mão de obra, ferramentas e equipamentos pelo contratado.</t>
  </si>
  <si>
    <t>8.2.6</t>
  </si>
  <si>
    <t>8.3.1</t>
  </si>
  <si>
    <t>8.3.2</t>
  </si>
  <si>
    <t>8.3.3</t>
  </si>
  <si>
    <t>8.3.4</t>
  </si>
  <si>
    <t>8.3.5</t>
  </si>
  <si>
    <t>8.3.6</t>
  </si>
  <si>
    <t>Marcação dos novos pontos de elétrica, rede e hidraulica, conforme projeto</t>
  </si>
  <si>
    <t>8.3.7</t>
  </si>
  <si>
    <t>8.3.8</t>
  </si>
  <si>
    <t>8.3.9</t>
  </si>
  <si>
    <t>8.3.10</t>
  </si>
  <si>
    <t>8.3.11</t>
  </si>
  <si>
    <t>8.3.12</t>
  </si>
  <si>
    <t>8.4.1</t>
  </si>
  <si>
    <t>8.4.2</t>
  </si>
  <si>
    <t>8.4.3</t>
  </si>
  <si>
    <t>8.4.4</t>
  </si>
  <si>
    <t>8.4.5</t>
  </si>
  <si>
    <t>8.4.6</t>
  </si>
  <si>
    <t>8.4.7</t>
  </si>
  <si>
    <t>8.4.8</t>
  </si>
  <si>
    <t>8.4.9</t>
  </si>
  <si>
    <t>8.4.10</t>
  </si>
  <si>
    <t>8.5.1</t>
  </si>
  <si>
    <t>8.5.2</t>
  </si>
  <si>
    <t>Demolição do revestimento existente, ensacamento e remoção do entulho, se necessario</t>
  </si>
  <si>
    <t>8.5.3</t>
  </si>
  <si>
    <t>8.5.4</t>
  </si>
  <si>
    <t>8.5.5</t>
  </si>
  <si>
    <t>8.5.6</t>
  </si>
  <si>
    <t>8.5.7</t>
  </si>
  <si>
    <t>8.5.8</t>
  </si>
  <si>
    <t>8.6.1</t>
  </si>
  <si>
    <t>8.6.2</t>
  </si>
  <si>
    <t>8.6.3</t>
  </si>
  <si>
    <t>8.6.4</t>
  </si>
  <si>
    <t>8.6.5</t>
  </si>
  <si>
    <t>8.6.6</t>
  </si>
  <si>
    <t>8.6.7</t>
  </si>
  <si>
    <t>8.6.8</t>
  </si>
  <si>
    <t>8.7.1</t>
  </si>
  <si>
    <t>8.7.2</t>
  </si>
  <si>
    <t>8.7.3</t>
  </si>
  <si>
    <t>8.7.4</t>
  </si>
  <si>
    <t>8.7.5</t>
  </si>
  <si>
    <t>8.7.6</t>
  </si>
  <si>
    <t>8.7.7</t>
  </si>
  <si>
    <t>8.7.8</t>
  </si>
  <si>
    <t>8.8.1</t>
  </si>
  <si>
    <t>Conferência da preparação da superficie (item 8.7)</t>
  </si>
  <si>
    <t>8.8.2</t>
  </si>
  <si>
    <t>8.8.3</t>
  </si>
  <si>
    <t>8.8.4</t>
  </si>
  <si>
    <t>8.9.1</t>
  </si>
  <si>
    <t>8.9.2</t>
  </si>
  <si>
    <t>8.9.3</t>
  </si>
  <si>
    <t>8.9.4</t>
  </si>
  <si>
    <t>8.9.5</t>
  </si>
  <si>
    <t>8.10.1</t>
  </si>
  <si>
    <t>Conferencia do vao (prumo, nivel e dimensoes) das portas e realização dos ajustes necessarios</t>
  </si>
  <si>
    <t>8.10.2</t>
  </si>
  <si>
    <t>8.10.3</t>
  </si>
  <si>
    <t>8.10.4</t>
  </si>
  <si>
    <t>8.10.5</t>
  </si>
  <si>
    <t>8.10.6</t>
  </si>
  <si>
    <t>8.11.1</t>
  </si>
  <si>
    <t>8.11.2</t>
  </si>
  <si>
    <t>8.11.3</t>
  </si>
  <si>
    <t>8.11.4</t>
  </si>
  <si>
    <t>8.11.5</t>
  </si>
  <si>
    <t>8.12.1</t>
  </si>
  <si>
    <t>8.12.2</t>
  </si>
  <si>
    <t>8.12.3</t>
  </si>
  <si>
    <t>8.12.4</t>
  </si>
  <si>
    <t>8.12.5</t>
  </si>
  <si>
    <t>9.1.1</t>
  </si>
  <si>
    <t>Demolição manual de forro, inclusive empilhamento dentro do canteiro de serviço</t>
  </si>
  <si>
    <t>Demolição manual do forro existente e da estrutura, com ensacamento e transporte do entulho ao 4º subsolo e limpeza da área. Mão de obra e ferramentas por conta do contratado.</t>
  </si>
  <si>
    <t>9.1.2</t>
  </si>
  <si>
    <t>Remoção da estrutura do forro</t>
  </si>
  <si>
    <t>9.1.3</t>
  </si>
  <si>
    <t>Ensacamento e transporte do entulho até o 4º Subsolo</t>
  </si>
  <si>
    <t>9.1.4</t>
  </si>
  <si>
    <t>Limpeza da area, com auxilio de vassoura e pá</t>
  </si>
  <si>
    <t>9.2.1</t>
  </si>
  <si>
    <t>Retiro porta existente combate incendio</t>
  </si>
  <si>
    <t>Remoção completa das portas corta-fogo existentes em frente aos elevadores (todos os andares), regularização dos vãos e descarte dos resíduos. Mão de obra e ferramentas por conta do contratado.</t>
  </si>
  <si>
    <t>9.2.2</t>
  </si>
  <si>
    <t>Regularização do vão da porta com argamassa de areia e cimento, mantendo as medidas conforme o projeto</t>
  </si>
  <si>
    <t>9.2.3</t>
  </si>
  <si>
    <t>9.2.4</t>
  </si>
  <si>
    <t>9.2.5</t>
  </si>
  <si>
    <t>9.3.1</t>
  </si>
  <si>
    <t>9.3.2</t>
  </si>
  <si>
    <t>9.3.3</t>
  </si>
  <si>
    <t>9.3.4</t>
  </si>
  <si>
    <t>9.3.5</t>
  </si>
  <si>
    <t>9.4.1</t>
  </si>
  <si>
    <t>Fornecimento e instalação de forro de gesso acartonado, fixado em estrutura metálica galvanizada (perfil F530, montantes e guias), com parafusos apropriados, fita telada nas juntas e aplicação de massa para tratamento de emendas.</t>
  </si>
  <si>
    <t>9.4.2</t>
  </si>
  <si>
    <t>9.4.3</t>
  </si>
  <si>
    <t>9.4.4</t>
  </si>
  <si>
    <t>9.4.5</t>
  </si>
  <si>
    <t>Instalação de forro em gesso acartonado sobre estrutura metálica galvanizada (perfil F530, montantes e guias), com fita telada nas juntas e tratamento de emendas, nivelado e alinhado. Material pelo contratante; mão de obra, ferramentas e equipamentos pelo contratado.</t>
  </si>
  <si>
    <t>9.4.6</t>
  </si>
  <si>
    <t>9.4.7</t>
  </si>
  <si>
    <t>9.4.8</t>
  </si>
  <si>
    <t>9.4.9</t>
  </si>
  <si>
    <t>9.5.1</t>
  </si>
  <si>
    <t>Desligamento dos cabos de energia das luminarias, com auxilio de alicate e isolamento dos cabos com fita isolante</t>
  </si>
  <si>
    <t>9.5.2</t>
  </si>
  <si>
    <t>Desmontagem e remoção das luminarias</t>
  </si>
  <si>
    <t>9.5.3</t>
  </si>
  <si>
    <t>Marcação do novo ponto de instalação conforme projeto</t>
  </si>
  <si>
    <t>9.5.4</t>
  </si>
  <si>
    <t>Desmontagem das luminárias existentes e montagem de luminária tipo calha de embutir para 2 lâmpadas LED T8, com fixação, conexão elétrica e teste de acendimento. Material pelo contratante; mão de obra e ferramentas pelo contratado.</t>
  </si>
  <si>
    <t>9.5.5</t>
  </si>
  <si>
    <t>9.5.6</t>
  </si>
  <si>
    <t>9.5.7</t>
  </si>
  <si>
    <t>9.6.1</t>
  </si>
  <si>
    <t>9.6.2</t>
  </si>
  <si>
    <t>9.6.3</t>
  </si>
  <si>
    <t>9.6.4</t>
  </si>
  <si>
    <t>9.6.5</t>
  </si>
  <si>
    <t>9.6.6</t>
  </si>
  <si>
    <t>9.7.1</t>
  </si>
  <si>
    <t>Porta em vidro laminado, rei 120, com estrutura e trilho para porta a correr, mecanismo automatizado integrado e ao sistema de combate incendio, controle de acesso</t>
  </si>
  <si>
    <t>Marcação dos pontos de elétrica, rede e automação</t>
  </si>
  <si>
    <t>9.7.2</t>
  </si>
  <si>
    <t>Realização dos cortes e chumbamento das infras para instalação de elétrica, rede e automação</t>
  </si>
  <si>
    <t>9.7.3</t>
  </si>
  <si>
    <t>Passagem dos cabos elétricos (fase, neutro e terra) por circuito, conforme projeto</t>
  </si>
  <si>
    <t>9.7.4</t>
  </si>
  <si>
    <t>Passagem dos cabos de rede e automação (fase, neutro e terra) por circuito, conforme projeto</t>
  </si>
  <si>
    <t>9.7.5</t>
  </si>
  <si>
    <t>Instalação de porta em vidro laminado REI 120, com estrutura e trilho para porta de correr, mecanismo automatizado integrado ao sistema de combate a incêndio e controle de acesso, com infraestrutura elétrica/rede e testes de funcionamento. Material pelo contratante; mão de obra e ferramentas pelo contratado.</t>
  </si>
  <si>
    <t>9.7.6</t>
  </si>
  <si>
    <t>Conexão dos circuitos, ao sistema de incendio e teste do funcionamento conforme solicitado</t>
  </si>
  <si>
    <t>9.8.1</t>
  </si>
  <si>
    <t>9.8.2</t>
  </si>
  <si>
    <t>9.8.3</t>
  </si>
  <si>
    <t>9.8.4</t>
  </si>
  <si>
    <t>9.8.5</t>
  </si>
  <si>
    <t>9.8.6</t>
  </si>
  <si>
    <t>9.8.7</t>
  </si>
  <si>
    <t>9.8.8</t>
  </si>
  <si>
    <t>9.9.1</t>
  </si>
  <si>
    <t>Conferência da preparação da superficie (item 9.8)</t>
  </si>
  <si>
    <t>9.9.2</t>
  </si>
  <si>
    <t>9.9.3</t>
  </si>
  <si>
    <t>9.9.4</t>
  </si>
  <si>
    <t>9.10.1</t>
  </si>
  <si>
    <t>Controle de acesso portas de madeiras T, M1 e M2 Integrado ao Sistema combate Incendio</t>
  </si>
  <si>
    <t>Instalação das infras necessarias para conexão do sistema de combate a incendio as portas de madeiras do Térreo, M1 e M2</t>
  </si>
  <si>
    <t>9.10.2</t>
  </si>
  <si>
    <t>Instalação de controle de acesso nas portas de madeira do Térreo, M1 e M2, integrado ao sistema de combate a incêndio, com infraestrutura e teste de funcionamento. Material pelo contratante; mão de obra e ferramentas pelo contratado.</t>
  </si>
  <si>
    <t>9.10.3</t>
  </si>
  <si>
    <t>Teste de funcionamento do controle de acesso e da integração ao sistema de combate de incendio</t>
  </si>
  <si>
    <t>10.1.1</t>
  </si>
  <si>
    <t>10.1.2</t>
  </si>
  <si>
    <t>10.1.3</t>
  </si>
  <si>
    <t>10.1.4</t>
  </si>
  <si>
    <t>10.1.5</t>
  </si>
  <si>
    <t>10.1.6</t>
  </si>
  <si>
    <t>10.1.7</t>
  </si>
  <si>
    <t>10.1.8</t>
  </si>
  <si>
    <t>10.2.1</t>
  </si>
  <si>
    <t>Conferência da preparação da superficie (item 10.1)</t>
  </si>
  <si>
    <t>10.2.2</t>
  </si>
  <si>
    <t>10.2.3</t>
  </si>
  <si>
    <t>10.2.4</t>
  </si>
  <si>
    <t>Contratacao e fornecimento do Elevador 1 com empresa especializada</t>
  </si>
  <si>
    <t>Instalacao de guias e trilhos na caixa do Elevador 1</t>
  </si>
  <si>
    <t>Fornecimento e instalação do Elevador 1 (17 andares, 8 pessoas, estrutura de vidro no roof top) por empresa especializada: guias e trilhos, cabine e estrutura, quadro de comando e cabeamento, ligações, testes, comissionamento e entrega com ART. Fornecimento, mão de obra e equipamentos por conta do contratado especializado.</t>
  </si>
  <si>
    <t>Instalacao do quadro de comando e cabeamento do Elevador 1</t>
  </si>
  <si>
    <t>Ligacoes eletricas e ajustes do Elevador 1</t>
  </si>
  <si>
    <t>Testes, comissionamento e inspecao de seguranca do Elevador 1</t>
  </si>
  <si>
    <t>Entrega do Elevador 1 com ART e documentacao tecnica</t>
  </si>
  <si>
    <t>Intervencoes nos halls dos elevadores - elevador 1 - 17 andares</t>
  </si>
  <si>
    <t>Protecao do hall e do entorno - Elevador 1</t>
  </si>
  <si>
    <t>Ajustes/demolicao pontual nos halls conforme projeto - Elevador 1</t>
  </si>
  <si>
    <t>Intervenções nos halls do Elevador 1 (17 andares): proteção, demolições pontuais, revestimento e acabamento das paredes, soleiras e acabamentos das portas de pavimento, pintura e arremates, com limpeza final. Material pelo contratante; mão de obra e ferramentas pelo contratado.</t>
  </si>
  <si>
    <t>Instalacao de soleiras e acabamentos das portas de pavimento - Elevador 1</t>
  </si>
  <si>
    <t>Pintura e arremates dos halls - Elevador 1</t>
  </si>
  <si>
    <t>Limpeza e conferencia final dos halls - Elevador 1</t>
  </si>
  <si>
    <t>Elevador 2 - 15 andares - 8 pessoas</t>
  </si>
  <si>
    <t>Contratacao e fornecimento do Elevador 2 com empresa especializada</t>
  </si>
  <si>
    <t>Instalacao de guias e trilhos na caixa do Elevador 2</t>
  </si>
  <si>
    <t>Fornecimento e instalação do Elevador 2 (15 andares, 8 pessoas) por empresa especializada: guias e trilhos, cabine e estrutura, quadro de comando e cabeamento, ligações, testes, comissionamento e entrega com ART. Fornecimento, mão de obra e equipamentos por conta do contratado especializado.</t>
  </si>
  <si>
    <t>Instalacao do quadro de comando e cabeamento do Elevador 2</t>
  </si>
  <si>
    <t>Ligacoes eletricas e ajustes do Elevador 2</t>
  </si>
  <si>
    <t>Testes, comissionamento e inspecao de seguranca do Elevador 2</t>
  </si>
  <si>
    <t>Entrega do Elevador 2 com ART e documentacao tecnica</t>
  </si>
  <si>
    <t>Intervencoes nos halls dos elevadores - elevador 2 - 15 andares</t>
  </si>
  <si>
    <t>Protecao do hall e do entorno - Elevador 2</t>
  </si>
  <si>
    <t>Ajustes/demolicao pontual nos halls conforme projeto - Elevador 2</t>
  </si>
  <si>
    <t>Intervenções nos halls do Elevador 2 (15 andares): proteção, demolições pontuais, revestimento e acabamento das paredes, soleiras e acabamentos das portas de pavimento, pintura e arremates, com limpeza final. Material pelo contratante; mão de obra e ferramentas pelo contratado.</t>
  </si>
  <si>
    <t>Instalacao de soleiras e acabamentos das portas de pavimento - Elevador 2</t>
  </si>
  <si>
    <t>Pintura e arremates dos halls - Elevador 2</t>
  </si>
  <si>
    <t>Limpeza e conferencia final dos halls - Elevador 2</t>
  </si>
  <si>
    <t>Contratacao e fornecimento do Elevador 3 com empresa especializada</t>
  </si>
  <si>
    <t>Instalacao de guias e trilhos na caixa do Elevador 3</t>
  </si>
  <si>
    <t>Fornecimento e instalação do Elevador 3 (6 andares, 4 pessoas) por empresa especializada: guias e trilhos, cabine e estrutura, quadro de comando e cabeamento, ligações, testes, comissionamento e entrega com ART. Fornecimento, mão de obra e equipamentos por conta do contratado especializado.</t>
  </si>
  <si>
    <t>Instalacao do quadro de comando e cabeamento do Elevador 3</t>
  </si>
  <si>
    <t>Ligacoes eletricas e ajustes do Elevador 3</t>
  </si>
  <si>
    <t>Testes, comissionamento e inspecao de seguranca do Elevador 3</t>
  </si>
  <si>
    <t>Entrega do Elevador 3 com ART e documentacao tecnica</t>
  </si>
  <si>
    <t>Desmontagem, montagem e teste dos elevadores</t>
  </si>
  <si>
    <t>Desmontagem do elevador/sistema existente</t>
  </si>
  <si>
    <t>Desmontagem do sistema/elevador existente, montagem do novo conjunto, ajustes e nivelamento, testes e comissionamento. Por conta do contratado especializado.</t>
  </si>
  <si>
    <t>Ajustes e nivelamento</t>
  </si>
  <si>
    <t>Testes, comissionamento e entrega</t>
  </si>
  <si>
    <t>Intervencoes nos halls dos elevadores - elevador 3 - 7 andares</t>
  </si>
  <si>
    <t>Protecao do hall e do entorno - Elevador 3</t>
  </si>
  <si>
    <t>Ajustes/demolicao pontual nos halls conforme projeto - Elevador 3</t>
  </si>
  <si>
    <t>Intervenções nos halls do Elevador 3 (7 andares): proteção, demolições pontuais, revestimento e acabamento das paredes, soleiras e acabamentos das portas de pavimento, pintura e arremates, com limpeza final. Material pelo contratante; mão de obra e ferramentas pelo contratado.</t>
  </si>
  <si>
    <t>Instalacao de soleiras e acabamentos das portas de pavimento - Elevador 3</t>
  </si>
  <si>
    <t>Pintura e arremates dos halls - Elevador 3</t>
  </si>
  <si>
    <t>Limpeza e conferencia final dos halls - Elevador 3</t>
  </si>
  <si>
    <t>Contratação de empresa terceirizada para a execução do fechamento do entre poços dos elevadores</t>
  </si>
  <si>
    <t>Entrega das documentações</t>
  </si>
  <si>
    <t>Entrega dos materiais e insumos</t>
  </si>
  <si>
    <t>Perfuração da estrutura com profundidade de 12 cm para o engastamento das barras de 10 mm</t>
  </si>
  <si>
    <t>Aplicação de chumbador químico e ancoragem das ferragens de 10mm, ficando 10 cm para o exterior do furo para a fixação das cantoneiras</t>
  </si>
  <si>
    <t>Solda das cantoneiras e perfil "L" no arranques</t>
  </si>
  <si>
    <t>Fechamento do entre poço dos elevadores com estrutura metálica: ancoragem com chumbador químico (barras 10 mm), cantoneiras e perfil L soldados, telas eletrosoldadas (malha 10 mm) e tela fachadeira, com pintura de proteção mecânica. Fornecimento e execução por empresa terceirizada (serralheria).</t>
  </si>
  <si>
    <t>Fixação dos tubos para acabamento das cantoneiras</t>
  </si>
  <si>
    <t>Pintura das estrutura metálica para proteção mecanica</t>
  </si>
  <si>
    <t>Instalação de tela fachadeira com malha de 1mm em poliester</t>
  </si>
  <si>
    <t>Entrega de atividades para medição</t>
  </si>
  <si>
    <t xml:space="preserve">GESTÃO DE CENTRO DE CUSTO - OPERACIONAL POR CONTRATO </t>
  </si>
  <si>
    <t>PLANILHA DE ORÇAMENTOS</t>
  </si>
  <si>
    <t>GESTOR RESPONSAVEL : Wendel Cruz</t>
  </si>
  <si>
    <t>NÚMERO CONTRATO :P2K26.100.06.00.REF CGI</t>
  </si>
  <si>
    <t>CLIENTE: CONSULADO GERAL DA ITÁLIA</t>
  </si>
  <si>
    <t>INSERIR OS CUSTOS AQUI</t>
  </si>
  <si>
    <t>CÓDIGO DO ÍTEM</t>
  </si>
  <si>
    <t>ITEM DO CONTRATO</t>
  </si>
  <si>
    <t>DESCRIÇÃO</t>
  </si>
  <si>
    <t>QUANT.</t>
  </si>
  <si>
    <t>UNIDADE</t>
  </si>
  <si>
    <t xml:space="preserve">VALOR ORÇADO </t>
  </si>
  <si>
    <t>COD_LEGIVEL</t>
  </si>
  <si>
    <t>LOCAÇÕES E FRETES</t>
  </si>
  <si>
    <t>MATERIAL</t>
  </si>
  <si>
    <t>MO</t>
  </si>
  <si>
    <t>MAT+MO</t>
  </si>
  <si>
    <t>TOTAL</t>
  </si>
  <si>
    <t>LOCAÇÕES DE FRETES</t>
  </si>
  <si>
    <t>8º ANDAR - HALL - Área 13,37 m²</t>
  </si>
  <si>
    <t>DEMOLIÇÕES E REMOÇÕES</t>
  </si>
  <si>
    <t>HAD8.01</t>
  </si>
  <si>
    <t>Fornecimento de material e mão de obra para demolição de alvenaria visando a abertura de vão para porta de elevador, incluindo retirada, transporte interno e descarte de entulho.</t>
  </si>
  <si>
    <t>m²</t>
  </si>
  <si>
    <t>08.HALL.DEM.01</t>
  </si>
  <si>
    <t>HAD8.02</t>
  </si>
  <si>
    <t>Fornecimento de material e mão de obra para remoção de porta existente, incluindo retirada de batente, guarnições e destinação do material removido.</t>
  </si>
  <si>
    <t>unid</t>
  </si>
  <si>
    <t>08.HALL.DEM.02</t>
  </si>
  <si>
    <t>HAD8.03</t>
  </si>
  <si>
    <t>Fornecimento de material e mão de obra para execução de demolição de alvenaria existente, incluindo retirada do material demolido, transporte interno, acondicionamento e descarte de entulho em local apropriado.</t>
  </si>
  <si>
    <t>08.HALL.DEM.03</t>
  </si>
  <si>
    <t>CIVIL</t>
  </si>
  <si>
    <t>HAC8.01</t>
  </si>
  <si>
    <t>Fornecimento de material e mão de obra para regularização de vão de porta de elevador após demolição, incluindo requadramento e acabamento.</t>
  </si>
  <si>
    <t>08.HALL.CIV.01</t>
  </si>
  <si>
    <t>HAC8.02</t>
  </si>
  <si>
    <t>Fornecimento de material e mão de obra para regularização de vão de parede demolida, incluindo requadramento e acabamento.</t>
  </si>
  <si>
    <t>08.HALL.CIV.02</t>
  </si>
  <si>
    <t>HAC8.03</t>
  </si>
  <si>
    <t>Fornecimento de material e mão de obra para execução de parede em alvenaria, incluindo assentamento, alinhamento, prumo e nivelamento.</t>
  </si>
  <si>
    <t>08.HALL.CIV.03</t>
  </si>
  <si>
    <t>HAC8.04</t>
  </si>
  <si>
    <t>Fornecimento de material e mão de obra para execução de parede em alvenaria com abertura para porta, incluindo assentamento, alinhamento, prumo, nivelamento, execução de vergas e preparação dos vãos para instalação das esquadrias.</t>
  </si>
  <si>
    <t>08.HALL.CIV.04</t>
  </si>
  <si>
    <t>HAC8.05</t>
  </si>
  <si>
    <t>Fornecimento de material e mão de obra para execução de chapisco e reboco em paredes de alvenaria, considerando ambas as faces, incluindo regularização, alinhamento e acabamento das superfícies.</t>
  </si>
  <si>
    <t>08.HALL.CIV.05</t>
  </si>
  <si>
    <t>HAC8.06</t>
  </si>
  <si>
    <t>Fornecimento de material e mão de obra para lixamento, desbaste e preparação de superfícies em concreto para recebimento de acabamento</t>
  </si>
  <si>
    <t>08.HALL.CIV.06</t>
  </si>
  <si>
    <t>HAC8.07</t>
  </si>
  <si>
    <t>Fornecimento de material e mão de obra para execução de contrapiso</t>
  </si>
  <si>
    <t>08.HALL.CIV.07</t>
  </si>
  <si>
    <t>ELÉTRICA | HIDRÁULICA</t>
  </si>
  <si>
    <t>HAE8.01</t>
  </si>
  <si>
    <t>Fornecimento de material e mão de obra para insfraestrutura e instalação de sport de embutir</t>
  </si>
  <si>
    <t>unidade</t>
  </si>
  <si>
    <t>08.HALL.ELE.01</t>
  </si>
  <si>
    <t>HAE8.02</t>
  </si>
  <si>
    <t>Fonecimento de material e mão de obra para infraestrutura e instalação de interruptor h = 1,20m</t>
  </si>
  <si>
    <t>08.HALL.ELE.02</t>
  </si>
  <si>
    <t>HAE8.03</t>
  </si>
  <si>
    <t>Fornecimento de material e mão de obra para fornecimento e instalação de quadro de distribuição completo, incluindo caixa, barramentos, disjuntores, identificação dos circuitos, montagem, fixação, testes e comissionamento.</t>
  </si>
  <si>
    <t>08.HALL.ELE.03</t>
  </si>
  <si>
    <t>Fornecimento de material e mão de obra para reforma das instalações elétricas e hidráulicas aparentes existentes, incluindo substituição de tubulações, eletrodutos, fiação, conexões e acessórios, com embutimento em forro e/ou paredes, recomposição dos acabamentos e testes de funcionamento.</t>
  </si>
  <si>
    <t>verba</t>
  </si>
  <si>
    <t>08.HALL.ELE.04</t>
  </si>
  <si>
    <t>PINTURA</t>
  </si>
  <si>
    <t>HAP8.01</t>
  </si>
  <si>
    <t>Fornecimento de material e mão de obra para emassamento e pintura de paredes com tinta fosca interna</t>
  </si>
  <si>
    <t>08.HALL.PIN.01</t>
  </si>
  <si>
    <t xml:space="preserve">FORRO MINERAL </t>
  </si>
  <si>
    <t>HAF8.01</t>
  </si>
  <si>
    <t>Fornecimento de material e mão de obra para instalação de forro mineral modular na cor preta.</t>
  </si>
  <si>
    <t>08.HALL.FOR.01</t>
  </si>
  <si>
    <t>REVESTIMENTO</t>
  </si>
  <si>
    <t>HAR8.01</t>
  </si>
  <si>
    <t>Fornecimento de material e mão de obra para assentamento de piso porcelanato 90x90 cm, incluindo nivelamento, recortes e rejuntamento.</t>
  </si>
  <si>
    <t>08.HALL.REV.01</t>
  </si>
  <si>
    <t>MARCENARIA</t>
  </si>
  <si>
    <t>HAM8.01</t>
  </si>
  <si>
    <t>Fornecimento de material e mão de obra para fabricação e instalação de painel ripado em madeira Cumaru, com espaçamento de 1,5 cm entre ripas, incluindo estrutura de fixação, acessórios e acabamento</t>
  </si>
  <si>
    <t>08.HALL.MAR.01</t>
  </si>
  <si>
    <t>8º ANDAR - WC's - Aréa 4,97 m²</t>
  </si>
  <si>
    <t>WCD8.01</t>
  </si>
  <si>
    <t>Fornecimento de material e mão de obra para demolição de alvenaria, incluindo retirada, transporte interno e descarte de entulho.</t>
  </si>
  <si>
    <t>08.WCS.DEM.01</t>
  </si>
  <si>
    <t>WCD8.02</t>
  </si>
  <si>
    <t>08.WCS.DEM.02</t>
  </si>
  <si>
    <t>WCD8.03</t>
  </si>
  <si>
    <t>Fornecimento de material e mão de obra para demolição de fechamento em alvenaria de shaft hidráulico, incluindo retirada, transporte interno e descarte de entulho.</t>
  </si>
  <si>
    <t>08.WCS.DEM.03</t>
  </si>
  <si>
    <t>WCC8.01</t>
  </si>
  <si>
    <t>08.WCS.CIV.01</t>
  </si>
  <si>
    <t>WCC8.02</t>
  </si>
  <si>
    <t>08.WCS.CIV.02</t>
  </si>
  <si>
    <t>WCC8.03</t>
  </si>
  <si>
    <t>08.WCS.CIV.03</t>
  </si>
  <si>
    <t>WCC8.04</t>
  </si>
  <si>
    <t>08.WCS.CIV.04</t>
  </si>
  <si>
    <t>WCC8.05</t>
  </si>
  <si>
    <t>08.WCS.CIV.05</t>
  </si>
  <si>
    <t>WCC8.06</t>
  </si>
  <si>
    <t>Fornecimento de material e mão de obra para execução de enchimento hidráulico em alvenaria</t>
  </si>
  <si>
    <t>08.WCS.CIV.06</t>
  </si>
  <si>
    <t xml:space="preserve">Fornecimento de material e mão de obra para execução de impermeabilização </t>
  </si>
  <si>
    <t>08.WCS.CIV.07</t>
  </si>
  <si>
    <t>WCC8.07</t>
  </si>
  <si>
    <t>08.WCS.CIV.08</t>
  </si>
  <si>
    <t xml:space="preserve">ELÉTRICA </t>
  </si>
  <si>
    <t>WCE8.01</t>
  </si>
  <si>
    <t>08.WCS.ELE.01</t>
  </si>
  <si>
    <t>WCE8.02</t>
  </si>
  <si>
    <t>08.WCS.ELE.02</t>
  </si>
  <si>
    <t>WCE8.03</t>
  </si>
  <si>
    <t>Fonecimento de material e mão de obra para infraestrutura e instalação de tomada h = 1,20m</t>
  </si>
  <si>
    <t>08.WCS.ELE.03</t>
  </si>
  <si>
    <t>HIDRÁULICA</t>
  </si>
  <si>
    <t>WCH8.01</t>
  </si>
  <si>
    <t>Fornecimento de material e mão de obra para execução de rede de abastecimento de água fria</t>
  </si>
  <si>
    <t>08.WCS.HID.01</t>
  </si>
  <si>
    <t>WCH8.02</t>
  </si>
  <si>
    <t>Fornecimento de material e mão de obra para execução de infraestrutura de esgoto sanitário</t>
  </si>
  <si>
    <t>08.WCS.HID.02</t>
  </si>
  <si>
    <t>WCH8.03</t>
  </si>
  <si>
    <t>Fonecimento de material e mão de obra para instalação de ralo sifonado</t>
  </si>
  <si>
    <t>08.WCS.HID.03</t>
  </si>
  <si>
    <t>WCF8.01</t>
  </si>
  <si>
    <t>08.WCS.FOR.01</t>
  </si>
  <si>
    <t>WCR8.01</t>
  </si>
  <si>
    <t>08.WCS.REV.01</t>
  </si>
  <si>
    <t>WCR8.02</t>
  </si>
  <si>
    <t>Fornecimento de material e mão de obra para assentamento de revestimento em parede, incluindo fixação e acabamento final</t>
  </si>
  <si>
    <t>08.WCS.REV.02</t>
  </si>
  <si>
    <t>ESQUADRIAS</t>
  </si>
  <si>
    <t>Fornecimento de material e mão de obra para instalação de porta 0,70 x 2,10 m, incluindo acessórios de fixação e acabamento.</t>
  </si>
  <si>
    <t>08.WCS.ESQ.01</t>
  </si>
  <si>
    <t xml:space="preserve">LOUÇAS E METAIS </t>
  </si>
  <si>
    <t>WCL8.01</t>
  </si>
  <si>
    <t>Fornecimento de material e mão de obra para instalação de louças e metais sanitários, incluindo fixação, ligações hidráulicas, acessórios e testes de funcionamento.</t>
  </si>
  <si>
    <t>08.WCS.LOU.01</t>
  </si>
  <si>
    <t>8º ANDAR -  ESCADA</t>
  </si>
  <si>
    <t>ESC8.01</t>
  </si>
  <si>
    <t>Fornecimento de material e mão de obra para complementação de escada existente em concreto armado, incluindo execução de novos degraus, formas, armaduras, concretagem e acabamento.</t>
  </si>
  <si>
    <t>08.ESCADA.CIV.01</t>
  </si>
  <si>
    <t>ESC8.02</t>
  </si>
  <si>
    <t>08.ESCADA.CIV.02</t>
  </si>
  <si>
    <t>ESC8.03</t>
  </si>
  <si>
    <t>08.ESCADA.CIV.03</t>
  </si>
  <si>
    <t>SERRALHERIA</t>
  </si>
  <si>
    <t>ESS8.01</t>
  </si>
  <si>
    <t>Fornecimento de material e mão de obra para fabricação e instalação de guarda-corpo em tubo de aço 50 x 50 mm, incluindo estrutura, fixações, soldas, pintura e acabamento final</t>
  </si>
  <si>
    <t>08.ESCADA.SER.01</t>
  </si>
  <si>
    <t>VIDRO</t>
  </si>
  <si>
    <t>ESV8.01</t>
  </si>
  <si>
    <t>Fornecimento de material e mão de obra para instalação de vidro laminado incolor 8 mm em guarda-corpo, incluindo ferragens, fixações e acabamento final.</t>
  </si>
  <si>
    <t>08.ESCADA.VID.01</t>
  </si>
  <si>
    <t>8º ANDAR -  ESCRITÓRIO 1 - Área 48,35 m²</t>
  </si>
  <si>
    <t>E1D8.01</t>
  </si>
  <si>
    <t>08.ESCRITORIO.DEM.01</t>
  </si>
  <si>
    <t>E1D8.02</t>
  </si>
  <si>
    <t>08.ESCRITORIO.DEM.02</t>
  </si>
  <si>
    <t>E1D8.03</t>
  </si>
  <si>
    <t>Fornecimento de material e mão de obra para remoção de janela existente, incluindo retirada do caixilho, batente, guarnições e descarte do material removido.</t>
  </si>
  <si>
    <t>08.ESCRITORIO.DEM.03</t>
  </si>
  <si>
    <t>E1D8.04</t>
  </si>
  <si>
    <t>Fornecimento de material e mão de obra para remoção de pia e bancadas exitentes</t>
  </si>
  <si>
    <t>08.ESCRITORIO.DEM.04</t>
  </si>
  <si>
    <t>E1D8.05</t>
  </si>
  <si>
    <t>Fornecimento de material e mão de obra para demolição de escada existente, incluindo corte, fragmentação, retirada, transporte interno e descarte de entulho.</t>
  </si>
  <si>
    <t>08.ESCRITORIO.DEM.05</t>
  </si>
  <si>
    <t>E1C8.01</t>
  </si>
  <si>
    <t>08.ESCRITORIO.CIV.01</t>
  </si>
  <si>
    <t>E1C8.02</t>
  </si>
  <si>
    <t>08.ESCRITORIO.CIV.02</t>
  </si>
  <si>
    <t>E1C8.03</t>
  </si>
  <si>
    <t>08.ESCRITORIO.CIV.03</t>
  </si>
  <si>
    <t>E1C8.04</t>
  </si>
  <si>
    <t>08.ESCRITORIO.CIV.04</t>
  </si>
  <si>
    <t>E1C8.05</t>
  </si>
  <si>
    <t>08.ESCRITORIO.CIV.05</t>
  </si>
  <si>
    <t>E1C8.06</t>
  </si>
  <si>
    <t>08.ESCRITORIO.CIV.06</t>
  </si>
  <si>
    <t>E1C8.07</t>
  </si>
  <si>
    <t>08.ESCRITORIO.CIV.07</t>
  </si>
  <si>
    <t>E1E8.01</t>
  </si>
  <si>
    <t>Fornecimento de material e mão de obra para insfraestrutura e instalação de luminária calha de embutir com 2 lâmpadas Led T8</t>
  </si>
  <si>
    <t>08.ESCRITORIO.ELE.01</t>
  </si>
  <si>
    <t>E1E8.02</t>
  </si>
  <si>
    <t>08.ESCRITORIO.ELE.02</t>
  </si>
  <si>
    <t>E1E8.03</t>
  </si>
  <si>
    <t>Fonecimento de material e mão de obra para infraestrutura e instalação de tomada h = 0,30 m</t>
  </si>
  <si>
    <t>08.ESCRITORIO.ELE.03</t>
  </si>
  <si>
    <t>E1E8.04</t>
  </si>
  <si>
    <t>Fonecimento de material e mão de obra para infraestrutura e instalação de tomada no piso</t>
  </si>
  <si>
    <t>08.ESCRITORIO.ELE.04</t>
  </si>
  <si>
    <t>E1H8.01</t>
  </si>
  <si>
    <t>Fornecimento de materiale mãode obra para instalação de dreno para  ar condicionado</t>
  </si>
  <si>
    <t>08.ESCRITORIO.HID.01</t>
  </si>
  <si>
    <t>INFRAESTRUTURA HVAC</t>
  </si>
  <si>
    <t>E1I8.01</t>
  </si>
  <si>
    <t>Fornecimento de material e mão de obra para infraestrutura de ar condicionado de até 24.000 BTU's</t>
  </si>
  <si>
    <t>08.ESCRITORIO.HVA.01</t>
  </si>
  <si>
    <t>E1P8.01</t>
  </si>
  <si>
    <t>08.ESCRITORIO.PIN.01</t>
  </si>
  <si>
    <t>E1P8.02</t>
  </si>
  <si>
    <t>Fornecimento de material e mão de obra para emassamento e pintura de paredes com tinta fosca externa</t>
  </si>
  <si>
    <t>08.ESCRITORIO.PIN.02</t>
  </si>
  <si>
    <t>E1F8.01</t>
  </si>
  <si>
    <t>08.ESCRITORIO.FOR.01</t>
  </si>
  <si>
    <t>E1R8.01</t>
  </si>
  <si>
    <t>08.ESCRITORIO.REV.01</t>
  </si>
  <si>
    <t>E1R8.02</t>
  </si>
  <si>
    <t>Fornecimento de material e mão de obra para assentamento de piso drenante cor cinza claro 60x60 cm</t>
  </si>
  <si>
    <t>08.ESCRITORIO.REV.02</t>
  </si>
  <si>
    <t>Fornecimento de material e mão de obra para instalação de porta 0,90 x 2,10 m, incluindo acessórios de fixação e acabamento.</t>
  </si>
  <si>
    <t>08.ESCRITORIO.ESQ.01</t>
  </si>
  <si>
    <t>Fornecimento de material e mão de obra para fornecimento e instalação de janela de vidro, incluindo ferragens, acessórios de fixação, vedação, alinhamento e acabamento final.</t>
  </si>
  <si>
    <t>08.ESCRITORIO.ESQ.02</t>
  </si>
  <si>
    <t>8º ANDAR -  ESCRITÓRIO 2 - Área 51,79 m²</t>
  </si>
  <si>
    <t>E2D8.01</t>
  </si>
  <si>
    <t>E2D8.02</t>
  </si>
  <si>
    <t>Fornecimento de material e mão de obra para remoção de janela existente, incluindo desmontagem, retirada de ferragens, transporte interno e descarte dos materiais.</t>
  </si>
  <si>
    <t>E2C8.01</t>
  </si>
  <si>
    <t>E2C8.02</t>
  </si>
  <si>
    <t>E2C8.03</t>
  </si>
  <si>
    <t>E2E8.01</t>
  </si>
  <si>
    <t>E2E8.02</t>
  </si>
  <si>
    <t>E2E8.03</t>
  </si>
  <si>
    <t>E2E8.04</t>
  </si>
  <si>
    <t>E2H8.01</t>
  </si>
  <si>
    <t>E2I8.01</t>
  </si>
  <si>
    <t>E2P8.01</t>
  </si>
  <si>
    <t>E2F8.01</t>
  </si>
  <si>
    <t>E2R8.01</t>
  </si>
  <si>
    <t>8º ANDAR -  EVENTOS - Área 70,37 m²</t>
  </si>
  <si>
    <t>EVD8.01</t>
  </si>
  <si>
    <t>08.EVENTOS.DEM.01</t>
  </si>
  <si>
    <t>EVD8.02</t>
  </si>
  <si>
    <t>08.EVENTOS.DEM.02</t>
  </si>
  <si>
    <t>EVD8.03</t>
  </si>
  <si>
    <t>08.EVENTOS.DEM.03</t>
  </si>
  <si>
    <t>EVD8.04</t>
  </si>
  <si>
    <t>08.EVENTOS.DEM.04</t>
  </si>
  <si>
    <t>EVC8.01</t>
  </si>
  <si>
    <t>08.EVENTOS.CIV.01</t>
  </si>
  <si>
    <t>EVC8.02</t>
  </si>
  <si>
    <t>08.EVENTOS.CIV.02</t>
  </si>
  <si>
    <t>EVC8.03</t>
  </si>
  <si>
    <t>08.EVENTOS.CIV.03</t>
  </si>
  <si>
    <t>Fornecimento de material e mão de obra para adequação da impermeabilização em área externa, incluindo regularização da base, aplicação de sistema impermeabilizante, adequação de ralos e acabamento final.</t>
  </si>
  <si>
    <t>08.EVENTOS.CIV.04</t>
  </si>
  <si>
    <t>EVE8.01</t>
  </si>
  <si>
    <t>Fornecimento de material e mão de obra para insfraestrutura e instalação de fita de Led REF. IP68 á prova de água</t>
  </si>
  <si>
    <t>m.l</t>
  </si>
  <si>
    <t>08.EVENTOS.ELE.01</t>
  </si>
  <si>
    <t>EVP8.01</t>
  </si>
  <si>
    <t>08.EVENTOS.PIN.01</t>
  </si>
  <si>
    <t>EVR8.01</t>
  </si>
  <si>
    <t>Fornecimento de material e mão de obra para assentamento de piso drenante cor marrom 60x60cm</t>
  </si>
  <si>
    <t>08.EVENTOS.REV.01</t>
  </si>
  <si>
    <t>EVR8.02</t>
  </si>
  <si>
    <t>08.EVENTOS.REV.02</t>
  </si>
  <si>
    <t>9º ANDAR - HALL - Área 20,25</t>
  </si>
  <si>
    <t>HAC9.01</t>
  </si>
  <si>
    <t>09.HALL.CIV.01</t>
  </si>
  <si>
    <t>HAC9.02</t>
  </si>
  <si>
    <t>09.HALL.CIV.02</t>
  </si>
  <si>
    <t>HAC9.03</t>
  </si>
  <si>
    <t>09.HALL.CIV.03</t>
  </si>
  <si>
    <t>HAE9.01</t>
  </si>
  <si>
    <t>Fornecimento de material e mão de obra para insfraestrutura e instalação de luminária (sem projeto)</t>
  </si>
  <si>
    <t>09.HALL.ELE.01</t>
  </si>
  <si>
    <t>HAE9.02</t>
  </si>
  <si>
    <t>Fonecimento de material e mão de obra para infraestrutura e instalação de interruptor (sem projeto)</t>
  </si>
  <si>
    <t>09.HALL.ELE.02</t>
  </si>
  <si>
    <t>HAE9.03</t>
  </si>
  <si>
    <t xml:space="preserve">Fornecimento de material e mão de obra para novo quadro elétrico </t>
  </si>
  <si>
    <t>09.HALL.ELE.03</t>
  </si>
  <si>
    <t>HAP9.01</t>
  </si>
  <si>
    <t>09.HALL.PIN.01</t>
  </si>
  <si>
    <t>09.HALL.FOR.01</t>
  </si>
  <si>
    <t>HAR9.01</t>
  </si>
  <si>
    <t>09.HALL.REV.01</t>
  </si>
  <si>
    <t>HAM9.01</t>
  </si>
  <si>
    <t>09.HALL.MAR.01</t>
  </si>
  <si>
    <t>9º ANDAR - Ármario - Aréa 2,43 m²</t>
  </si>
  <si>
    <t>ARC9.01</t>
  </si>
  <si>
    <t>09.ARMARIO.CIV.01</t>
  </si>
  <si>
    <t>ARC9.02</t>
  </si>
  <si>
    <t>09.ARMARIO.CIV.02</t>
  </si>
  <si>
    <t>ARC9.03</t>
  </si>
  <si>
    <t>09.ARMARIO.CIV.03</t>
  </si>
  <si>
    <t>ARC9.04</t>
  </si>
  <si>
    <t>09.ARMARIO.CIV.04</t>
  </si>
  <si>
    <t>ARE9.01</t>
  </si>
  <si>
    <t>09.ARMARIO.ELE.01</t>
  </si>
  <si>
    <t>ARE9.02</t>
  </si>
  <si>
    <t>09.ARMARIO.ELE.02</t>
  </si>
  <si>
    <t>ARE9.03</t>
  </si>
  <si>
    <t>Fonecimento de material e mão de obra para infraestrutura e instalação de tomada (sem projeto)</t>
  </si>
  <si>
    <t>09.ARMARIO.ELE.03</t>
  </si>
  <si>
    <t>ARP9.01</t>
  </si>
  <si>
    <t>09.ARMARIO.PIN.01</t>
  </si>
  <si>
    <t>ARF9.01</t>
  </si>
  <si>
    <t>09.ARMARIO.FOR.01</t>
  </si>
  <si>
    <t>ARR9.01</t>
  </si>
  <si>
    <t>09.ARMARIO.REV.01</t>
  </si>
  <si>
    <t>09.ARMARIO.ESQ.01</t>
  </si>
  <si>
    <t>9º ANDAR - LAVABO MASCULINO 1 - Aréa 2,34 m²</t>
  </si>
  <si>
    <t>M1C9.01</t>
  </si>
  <si>
    <t>09.LAVABOMASC.CIV.01</t>
  </si>
  <si>
    <t>M1C9.02</t>
  </si>
  <si>
    <t>09.LAVABOMASC.CIV.02</t>
  </si>
  <si>
    <t>M1C9.03</t>
  </si>
  <si>
    <t>09.LAVABOMASC.CIV.03</t>
  </si>
  <si>
    <t>M1C9.04</t>
  </si>
  <si>
    <t>09.LAVABOMASC.CIV.04</t>
  </si>
  <si>
    <t>M1C9.05</t>
  </si>
  <si>
    <t>09.LAVABOMASC.CIV.05</t>
  </si>
  <si>
    <t>M1E9.01</t>
  </si>
  <si>
    <t>09.LAVABOMASC.ELE.01</t>
  </si>
  <si>
    <t>M1E9.02</t>
  </si>
  <si>
    <t>09.LAVABOMASC.ELE.02</t>
  </si>
  <si>
    <t>M1E9.03</t>
  </si>
  <si>
    <t>09.LAVABOMASC.ELE.03</t>
  </si>
  <si>
    <t>M1H9.01</t>
  </si>
  <si>
    <t>09.LAVABOMASC.HID.01</t>
  </si>
  <si>
    <t>M1H9.02</t>
  </si>
  <si>
    <t>rnecimento de material e mão de obra para execução de infraestrutura de esgoto sanitário</t>
  </si>
  <si>
    <t>09.LAVABOMASC.HID.02</t>
  </si>
  <si>
    <t>M1H9.03</t>
  </si>
  <si>
    <t>09.LAVABOMASC.HID.03</t>
  </si>
  <si>
    <t>M1F9.01</t>
  </si>
  <si>
    <t>09.LAVABOMASC.FOR.01</t>
  </si>
  <si>
    <t>M1R9.01</t>
  </si>
  <si>
    <t>09.LAVABOMASC.REV.01</t>
  </si>
  <si>
    <t>M1R9.02</t>
  </si>
  <si>
    <t>09.LAVABOMASC.REV.02</t>
  </si>
  <si>
    <t>09.LAVABOMASC.ESQ.01</t>
  </si>
  <si>
    <t>M1L9.01</t>
  </si>
  <si>
    <t>09.LAVABOMASC.LOU.01</t>
  </si>
  <si>
    <t>9º ANDAR - LAVABO MASCULINO 2 - Aréa 2,24 m²</t>
  </si>
  <si>
    <t>M2C9.01</t>
  </si>
  <si>
    <t>M2C9.02</t>
  </si>
  <si>
    <t>M2C9.03</t>
  </si>
  <si>
    <t>M2C9.04</t>
  </si>
  <si>
    <t>M2E9.01</t>
  </si>
  <si>
    <t>M2E9.02</t>
  </si>
  <si>
    <t>M2E9.03</t>
  </si>
  <si>
    <t>M2H9.01</t>
  </si>
  <si>
    <t>M2H9.02</t>
  </si>
  <si>
    <t>M2H9.03</t>
  </si>
  <si>
    <t>M2F9.01</t>
  </si>
  <si>
    <t>M2R9.01</t>
  </si>
  <si>
    <t>M2R9.02</t>
  </si>
  <si>
    <t>M2L9.01</t>
  </si>
  <si>
    <t>9º ANDAR - LAVABO FEMININO 1 - Aréa 2,24 m²</t>
  </si>
  <si>
    <t>F1C9.01</t>
  </si>
  <si>
    <t>09.LAVABOFEMI.CIV.01</t>
  </si>
  <si>
    <t>F1C9.02</t>
  </si>
  <si>
    <t>09.LAVABOFEMI.CIV.02</t>
  </si>
  <si>
    <t>F1C9.03</t>
  </si>
  <si>
    <t>09.LAVABOFEMI.CIV.03</t>
  </si>
  <si>
    <t>F1C9.04</t>
  </si>
  <si>
    <t>09.LAVABOFEMI.CIV.04</t>
  </si>
  <si>
    <t>F1E9.01</t>
  </si>
  <si>
    <t>09.LAVABOFEMI.ELE.01</t>
  </si>
  <si>
    <t>F1E9.02</t>
  </si>
  <si>
    <t>09.LAVABOFEMI.ELE.02</t>
  </si>
  <si>
    <t>F1E9.03</t>
  </si>
  <si>
    <t>09.LAVABOFEMI.ELE.03</t>
  </si>
  <si>
    <t>F1H9.01</t>
  </si>
  <si>
    <t>09.LAVABOFEMI.HID.01</t>
  </si>
  <si>
    <t>F1H9.02</t>
  </si>
  <si>
    <t>09.LAVABOFEMI.HID.02</t>
  </si>
  <si>
    <t>F1H9.03</t>
  </si>
  <si>
    <t>09.LAVABOFEMI.HID.03</t>
  </si>
  <si>
    <t>F1F9.01</t>
  </si>
  <si>
    <t>09.LAVABOFEMI.FOR.01</t>
  </si>
  <si>
    <t>F1R9.01</t>
  </si>
  <si>
    <t>09.LAVABOFEMI.REV.01</t>
  </si>
  <si>
    <t>F1R9.02</t>
  </si>
  <si>
    <t>09.LAVABOFEMI.REV.02</t>
  </si>
  <si>
    <t>09.LAVABOFEMI.ESQ.01</t>
  </si>
  <si>
    <t>F1L9.01</t>
  </si>
  <si>
    <t>09.LAVABOFEMI.LOU.01</t>
  </si>
  <si>
    <t>9º ANDAR - LAVABO FEMININO 2 - Aréa 2,24 m²</t>
  </si>
  <si>
    <t>F2C9.01</t>
  </si>
  <si>
    <t>F2C9.02</t>
  </si>
  <si>
    <t>F2C9.03</t>
  </si>
  <si>
    <t>F2C9.04</t>
  </si>
  <si>
    <t>F2E9.01</t>
  </si>
  <si>
    <t>F2E9.02</t>
  </si>
  <si>
    <t>F2E9.03</t>
  </si>
  <si>
    <t>F2H9.01</t>
  </si>
  <si>
    <t>F2H9.02</t>
  </si>
  <si>
    <t>F2H9.03</t>
  </si>
  <si>
    <t>F2F9.01</t>
  </si>
  <si>
    <t>F2R9.01</t>
  </si>
  <si>
    <t>F2R9.02</t>
  </si>
  <si>
    <t>F2L9.01</t>
  </si>
  <si>
    <t>9º ANDAR - WC SERVIÇO - Aréa 1,82 m²</t>
  </si>
  <si>
    <t>WCC9.01</t>
  </si>
  <si>
    <t>09.WCSERVICO.CIV.01</t>
  </si>
  <si>
    <t>WCC9.02</t>
  </si>
  <si>
    <t>09.WCSERVICO.CIV.02</t>
  </si>
  <si>
    <t>WCC9.03</t>
  </si>
  <si>
    <t>09.WCSERVICO.CIV.03</t>
  </si>
  <si>
    <t>WCC9.04</t>
  </si>
  <si>
    <t>09.WCSERVICO.CIV.04</t>
  </si>
  <si>
    <t>WCE9.01</t>
  </si>
  <si>
    <t>09.WCSERVICO.ELE.01</t>
  </si>
  <si>
    <t>WCE9.02</t>
  </si>
  <si>
    <t>09.WCSERVICO.ELE.02</t>
  </si>
  <si>
    <t>WCE9.03</t>
  </si>
  <si>
    <t>09.WCSERVICO.ELE.03</t>
  </si>
  <si>
    <t>WCH9.01</t>
  </si>
  <si>
    <t>09.WCSERVICO.HID.01</t>
  </si>
  <si>
    <t>WCH9.02</t>
  </si>
  <si>
    <t>09.WCSERVICO.HID.02</t>
  </si>
  <si>
    <t>WCH9.03</t>
  </si>
  <si>
    <t>09.WCSERVICO.HID.03</t>
  </si>
  <si>
    <t>WCF9.01</t>
  </si>
  <si>
    <t>09.WCSERVICO.FOR.01</t>
  </si>
  <si>
    <t>WCR9.01</t>
  </si>
  <si>
    <t>09.WCSERVICO.REV.01</t>
  </si>
  <si>
    <t>WCR9.02</t>
  </si>
  <si>
    <t>09.WCSERVICO.REV.02</t>
  </si>
  <si>
    <t>09.WCSERVICO.ESQ.01</t>
  </si>
  <si>
    <t>WCL9.01</t>
  </si>
  <si>
    <t>09.WCSERVICO.LOU.01</t>
  </si>
  <si>
    <t>C</t>
  </si>
  <si>
    <t>9º ANDAR - VESTIÁRO - Aréa 10,60 m²</t>
  </si>
  <si>
    <t>VED8.01</t>
  </si>
  <si>
    <t>09.WCSERVICO.DEM.01</t>
  </si>
  <si>
    <t>VEC8.01</t>
  </si>
  <si>
    <t>VEC8.02</t>
  </si>
  <si>
    <t>VEC8.03</t>
  </si>
  <si>
    <t>VEC8.04</t>
  </si>
  <si>
    <t>VEC8.05</t>
  </si>
  <si>
    <t>09.WCSERVICO.CIV.05</t>
  </si>
  <si>
    <t>VEE9.01</t>
  </si>
  <si>
    <t>VEE9.02</t>
  </si>
  <si>
    <t>VEE9.03</t>
  </si>
  <si>
    <t>VEI9.01</t>
  </si>
  <si>
    <t>09.WCSERVICO.HVA.01</t>
  </si>
  <si>
    <t>VEH9.01</t>
  </si>
  <si>
    <t>Fornecimento de material e mao de obra para execução de dreno para ar condicionado</t>
  </si>
  <si>
    <t>VEP9.01</t>
  </si>
  <si>
    <t>09.WCSERVICO.PIN.01</t>
  </si>
  <si>
    <t>VEF9.01</t>
  </si>
  <si>
    <t>VER9.01</t>
  </si>
  <si>
    <t>DIVISÓRIAS</t>
  </si>
  <si>
    <t>VED9.01</t>
  </si>
  <si>
    <t>Fornecimento de material e mão de obra para fabricação e instalação de cabines de vestiário em divisórias, incluindo portas, ferragens, fixações e acabamento final.</t>
  </si>
  <si>
    <t>09.WCSERVICO.DIV.01</t>
  </si>
  <si>
    <t>9º ANDAR - COZINHA - Aréa 20,04 m²</t>
  </si>
  <si>
    <t>COD9.01</t>
  </si>
  <si>
    <t>09.COZINHA.DEM.01</t>
  </si>
  <si>
    <t>COD9.02</t>
  </si>
  <si>
    <t>Fornecimento de material e mão de obra para demolição de alvenaria para abertura de vão para janela, incluindo corte, remoção do material, transporte interno e descarte dos resíduos. (qual o tamanho da janela?)</t>
  </si>
  <si>
    <t>COC9.01</t>
  </si>
  <si>
    <t>09.COZINHA.CIV.01</t>
  </si>
  <si>
    <t>COC9.02</t>
  </si>
  <si>
    <t>09.COZINHA.CIV.02</t>
  </si>
  <si>
    <t>COC9.03</t>
  </si>
  <si>
    <t>09.COZINHA.CIV.03</t>
  </si>
  <si>
    <t>COC9.04</t>
  </si>
  <si>
    <t>09.COZINHA.CIV.04</t>
  </si>
  <si>
    <t>COC9.05</t>
  </si>
  <si>
    <t>09.COZINHA.CIV.05</t>
  </si>
  <si>
    <t>COE9.01</t>
  </si>
  <si>
    <t>09.COZINHA.ELE.01</t>
  </si>
  <si>
    <t>COE9.02</t>
  </si>
  <si>
    <t>09.COZINHA.ELE.02</t>
  </si>
  <si>
    <t>COE9.03</t>
  </si>
  <si>
    <t>09.COZINHA.ELE.03</t>
  </si>
  <si>
    <t>COI901</t>
  </si>
  <si>
    <t>09.COZINHA.HVA.01</t>
  </si>
  <si>
    <t>COH9.01</t>
  </si>
  <si>
    <t>09.COZINHA.HID.01</t>
  </si>
  <si>
    <t>COP9.01</t>
  </si>
  <si>
    <t>09.COZINHA.PIN.01</t>
  </si>
  <si>
    <t>COF9.01</t>
  </si>
  <si>
    <t>09.COZINHA.FOR.01</t>
  </si>
  <si>
    <t>COR9.01</t>
  </si>
  <si>
    <t>09.COZINHA.REV.01</t>
  </si>
  <si>
    <t>09.COZINHA.ESQ.01</t>
  </si>
  <si>
    <t>Fornecimento de material e mão de obra para fornecimento e instalação de janela, incluindo fixação, vedação, ferragens e acabamento final.</t>
  </si>
  <si>
    <t>09.COZINHA.ESQ.02</t>
  </si>
  <si>
    <t>9º ANDAR - EVENTOS - Aréa 54,38 m²</t>
  </si>
  <si>
    <t>EVD9.01</t>
  </si>
  <si>
    <t>Fornecimento de material e mão de obra para demolição de escada existente, incluindo desmontagem, remoção dos materiais, transporte interno e descarte dos resíduos.</t>
  </si>
  <si>
    <t>09.EVENTOS.DEM.01</t>
  </si>
  <si>
    <t>EVC9.01</t>
  </si>
  <si>
    <t>09.EVENTOS.CIV.01</t>
  </si>
  <si>
    <t>EVC9.02</t>
  </si>
  <si>
    <t>09.EVENTOS.CIV.02</t>
  </si>
  <si>
    <t>EVC9.03</t>
  </si>
  <si>
    <t>09.EVENTOS.CIV.03</t>
  </si>
  <si>
    <t>EVC9.04</t>
  </si>
  <si>
    <t>09.EVENTOS.CIV.04</t>
  </si>
  <si>
    <t>EVC9.05</t>
  </si>
  <si>
    <t>09.EVENTOS.CIV.05</t>
  </si>
  <si>
    <t>EVC9.06</t>
  </si>
  <si>
    <t>Fornecimento de material e mão de obra para execução de laje em concreto armado na cota +36,50 m, incluindo formas, armaduras, concretagem, escoramento, desforma e acabamento final.</t>
  </si>
  <si>
    <t>09.EVENTOS.CIV.06</t>
  </si>
  <si>
    <t>EVE9.01</t>
  </si>
  <si>
    <t>09.EVENTOS.ELE.01</t>
  </si>
  <si>
    <t>EVE9.02</t>
  </si>
  <si>
    <t>09.EVENTOS.ELE.02</t>
  </si>
  <si>
    <t>EVE9.03</t>
  </si>
  <si>
    <t>09.EVENTOS.ELE.03</t>
  </si>
  <si>
    <t>EVP9.01</t>
  </si>
  <si>
    <t>09.EVENTOS.PIN.01</t>
  </si>
  <si>
    <t>EVR9.01</t>
  </si>
  <si>
    <t>09.EVENTOS.REV.01</t>
  </si>
  <si>
    <t>EVR9.02</t>
  </si>
  <si>
    <t>09.EVENTOS.REV.02</t>
  </si>
  <si>
    <t>09.EVENTOS.ESQ.01</t>
  </si>
  <si>
    <t>EVS9.01</t>
  </si>
  <si>
    <t>Fornecimento de material e mão de obra para fabricação e instalação de guarda-corpo em vidro laminado 10 mm, incluindo ferragens, suportes, fixações, acessórios e acabamento final.</t>
  </si>
  <si>
    <t>09.EVENTOS.SER.01</t>
  </si>
  <si>
    <t>10º ANDAR - EVENTOS - Aréa 151,88 m²</t>
  </si>
  <si>
    <t>EVD10.01</t>
  </si>
  <si>
    <t>Fornecimento de material e mão de obra para abertura de vão em alvenaria para acesso da escada ao 10º andar, incluindo demolição, remoção de entulho, regularização e acabamento do vão.</t>
  </si>
  <si>
    <t>10.EVENTOS.DEM.01</t>
  </si>
  <si>
    <t>EVD10.02</t>
  </si>
  <si>
    <t>Fornecimento de material e mão de obra para demolição de alvenaria, incluindo remoção de entulho, transporte interno e descarte dos resíduos.</t>
  </si>
  <si>
    <t>10.EVENTOS.DEM.02</t>
  </si>
  <si>
    <t>EVD10.03</t>
  </si>
  <si>
    <t>Fornecimento de material e mão de obra para abertura de vão em laje do 10º andar para adequação e elevação do poço de elevador, incluindo corte controlado, demolição, remoção de entulho, regularização das bordas e acabamento.</t>
  </si>
  <si>
    <t>10.EVENTOS.DEM.03</t>
  </si>
  <si>
    <t>EVD10.04</t>
  </si>
  <si>
    <t>Fornecimento de material e mão de obra para demolição de escada marinheiro existente, incluindo desmontagem, remoção dos materiais, transporte interno e descarte dos resíduos.</t>
  </si>
  <si>
    <t>10.EVENTOS.DEM.04</t>
  </si>
  <si>
    <t>EVC10.01</t>
  </si>
  <si>
    <t>10.EVENTOS.CIV.01</t>
  </si>
  <si>
    <t>EVC10.02</t>
  </si>
  <si>
    <t>10.EVENTOS.CIV.02</t>
  </si>
  <si>
    <t>EVC10.03</t>
  </si>
  <si>
    <t>10.EVENTOS.CIV.03</t>
  </si>
  <si>
    <t>EVC10.04</t>
  </si>
  <si>
    <t>10.EVENTOS.CIV.04</t>
  </si>
  <si>
    <t>EVC10.05</t>
  </si>
  <si>
    <t>10.EVENTOS.CIV.05</t>
  </si>
  <si>
    <t>EVC10.06</t>
  </si>
  <si>
    <t>Fornecimento de material e mão de obra para execução de laje em concreto armado para fechamento e adequação do poço de elevador no 10º andar, incluindo formas, armaduras, concretagem, escoramento, desforma e acabamento final.</t>
  </si>
  <si>
    <t>10.EVENTOS.CIV.06</t>
  </si>
  <si>
    <t>EVS10.01</t>
  </si>
  <si>
    <t>Fornecimento de material e mão de obra para fabricação e instalação de escada marinheiro metálica, incluindo estrutura, suportes, fixações, pintura anticorrosiva e acabamento final.</t>
  </si>
  <si>
    <t>10.EVENTOS.SER.01</t>
  </si>
  <si>
    <t>EVS10.02</t>
  </si>
  <si>
    <t>10.EVENTOS.SER.02</t>
  </si>
  <si>
    <t>EVE10.01</t>
  </si>
  <si>
    <t>Fornecimento de material e mão de obra para insfraestrutura e instalação de sport de piso</t>
  </si>
  <si>
    <t>10.EVENTOS.ELE.01</t>
  </si>
  <si>
    <t>EVE10.02</t>
  </si>
  <si>
    <t>Fonecimento de material e mão de obra para infraestrutura e instalação de fita de Led REF. IP68 á prova de água</t>
  </si>
  <si>
    <t>10.EVENTOS.ELE.02</t>
  </si>
  <si>
    <t>EVE10.03</t>
  </si>
  <si>
    <t>Fonecimento de material e mão de obra para infraestrutura e instalação de tomada h = 0,30</t>
  </si>
  <si>
    <t>10.EVENTOS.ELE.03</t>
  </si>
  <si>
    <t>EVP10.01</t>
  </si>
  <si>
    <t>10.EVENTOS.PIN.01</t>
  </si>
  <si>
    <t>EVR10.01</t>
  </si>
  <si>
    <t>10.EVENTOS.REV.01</t>
  </si>
  <si>
    <t>EVR10.02</t>
  </si>
  <si>
    <t>10.EVENTOS.REV.02</t>
  </si>
  <si>
    <t>ELEVADORES</t>
  </si>
  <si>
    <t>ELEV.01</t>
  </si>
  <si>
    <t>Fornecimento de material e mão de obra para mobilização, proteção de áreas, montagem e desmontagem de andaimes, transporte interno, remoção e destinação final de resíduos provenientes das intervenções dos elevadores.</t>
  </si>
  <si>
    <t>10.EVENTOS.ELV.01</t>
  </si>
  <si>
    <t>ELEV.02</t>
  </si>
  <si>
    <t>Fornecimento de material e mão de obra para execução de reforços estruturais complementares da torre do elevador, incluindo cintas intermediárias, elementos de travamento, inserts, suportes metálicos e demais adequações necessárias para instalação do sistema.</t>
  </si>
  <si>
    <t>10.EVENTOS.ELV.02</t>
  </si>
  <si>
    <t>ELEV.03</t>
  </si>
  <si>
    <t>Fornecimento de material e mão de obra para execução completa da infraestrutura elétrica dos elevadores, incluindo eletrodutos, eletrocalhas, caixas de passagem, cabeamento de força e comando, disjuntores, chave seccionadora, conexões, aterramento, identificação e testes.</t>
  </si>
  <si>
    <t>10.EVENTOS.ELV.03</t>
  </si>
  <si>
    <t>ELEV.04</t>
  </si>
  <si>
    <t>Fornecimento de material e mão de obra para execução das instalações elétricas internas da caixa dos elevadores, incluindo iluminação, iluminação de emergência, tomadas de manutenção, interruptores, eletrodutos, fiação e acessórios.</t>
  </si>
  <si>
    <t>10.EVENTOS.ELV.04</t>
  </si>
  <si>
    <t>ELEV.05</t>
  </si>
  <si>
    <t>Fornecimento de material e mão de obra para desmontagem dos sistemas de elevadores existentes, incluindo retirada de componentes, transporte interno, armazenamento temporário e preparação das áreas para instalação dos novos equipamentos.</t>
  </si>
  <si>
    <t>10.EVENTOS.ELV.05</t>
  </si>
  <si>
    <t>ELEV.06</t>
  </si>
  <si>
    <t>Fornecimento e instalação de elevador panorâmico para 8 passageiros e 17 paradas, incluindo estrutura de vidro, equipamentos, montagem eletromecânica, regulagens, testes e comissionamento.</t>
  </si>
  <si>
    <t>10.EVENTOS.ELV.06</t>
  </si>
  <si>
    <t>ELEV.07</t>
  </si>
  <si>
    <t>Fornecimento e instalação de elevador para 8 passageiros e 15 paradas, incluindo equipamentos, montagem eletromecânica, regulagens, testes e comissionamento.</t>
  </si>
  <si>
    <t>10.EVENTOS.ELV.07</t>
  </si>
  <si>
    <t>ELEV.08</t>
  </si>
  <si>
    <t>Fornecimento e instalação de elevador para 4 passageiros e 6 paradas, incluindo equipamentos, montagem eletromecânica, regulagens, testes e comissionamento.</t>
  </si>
  <si>
    <t>10.EVENTOS.ELV.08</t>
  </si>
  <si>
    <t>ELEV.09</t>
  </si>
  <si>
    <t>Fornecimento de material e mão de obra para startup, testes operacionais, certificações, ajustes finais, entrega técnica e documentação dos elevadores.</t>
  </si>
  <si>
    <t>10.EVENTOS.ELV.09</t>
  </si>
  <si>
    <t>NICE ENGENHARIA  —  Compatibilização: Contrato × Avanço × Orçamento</t>
  </si>
  <si>
    <t>Por item do contrato: subitens e % de avanço (Detalhamento) + se há serviço orçado (Executiva)</t>
  </si>
  <si>
    <t>Atividade (contrato)</t>
  </si>
  <si>
    <t>Serviços orçados</t>
  </si>
  <si>
    <t>🔴 Sem orçamento</t>
  </si>
  <si>
    <t>🟢 Orçado</t>
  </si>
  <si>
    <t>SC - Solicitacoes de Compra unificadas. Filtrar por Tipo.</t>
  </si>
  <si>
    <t>Pendentes</t>
  </si>
  <si>
    <t>Em cotacao</t>
  </si>
  <si>
    <t>Aprovadas</t>
  </si>
  <si>
    <t>Compradas</t>
  </si>
  <si>
    <t>Entregues</t>
  </si>
  <si>
    <t>Total a Comprar (R$)</t>
  </si>
  <si>
    <t>Descricao</t>
  </si>
  <si>
    <t>Qtd Necessaria</t>
  </si>
  <si>
    <t>Unidade</t>
  </si>
  <si>
    <t>No Estoque</t>
  </si>
  <si>
    <t>Saldo a Comprar</t>
  </si>
  <si>
    <t>Valor Unitario (R$)</t>
  </si>
  <si>
    <t>Valor a Comprar (R$)</t>
  </si>
  <si>
    <t>Status SC</t>
  </si>
  <si>
    <t>Fornecedor</t>
  </si>
  <si>
    <t>Areia media lavada</t>
  </si>
  <si>
    <t>saco</t>
  </si>
  <si>
    <t>Entregue</t>
  </si>
  <si>
    <t xml:space="preserve">Center tudo </t>
  </si>
  <si>
    <t>Areia saco de 20kg</t>
  </si>
  <si>
    <t>Cimento CP-II 50kg</t>
  </si>
  <si>
    <t>Brita 1</t>
  </si>
  <si>
    <t>Center tudo</t>
  </si>
  <si>
    <t>Pedra saco de 20kg</t>
  </si>
  <si>
    <t>Bloco ceramico 14x19x19</t>
  </si>
  <si>
    <t>Medidas bloco 14x19x29</t>
  </si>
  <si>
    <t>Bloco estrutural</t>
  </si>
  <si>
    <t>Bloco estrutural 19</t>
  </si>
  <si>
    <t>Chumbador</t>
  </si>
  <si>
    <t>Vergalhao CA-50 16,0mm</t>
  </si>
  <si>
    <t>Comprada</t>
  </si>
  <si>
    <t>Arcelormittal</t>
  </si>
  <si>
    <t>NICE ENGENHARIA  —  Plano de Obra · Consulado Geral da Itália</t>
  </si>
  <si>
    <t>SC / MATERIAIS  —  Lançamentos: Solicitação · Entrada · Saída · Devolução   (preço só nas linhas de compra)</t>
  </si>
  <si>
    <t>Item da obra</t>
  </si>
  <si>
    <t>Data</t>
  </si>
  <si>
    <t>Data para entrega</t>
  </si>
  <si>
    <t>Origem</t>
  </si>
  <si>
    <t>Valor unit.</t>
  </si>
  <si>
    <t>Obs</t>
  </si>
  <si>
    <t>Entrada</t>
  </si>
  <si>
    <t>Comprar</t>
  </si>
  <si>
    <t>Cimento CP-II 50kg|Entrada</t>
  </si>
  <si>
    <t>Cimento CP-II 50kg|Comprar</t>
  </si>
  <si>
    <t>Cimento CP-II 50kg|Entrada|Comprar</t>
  </si>
  <si>
    <t>Brita 1|Entrada</t>
  </si>
  <si>
    <t>Brita 1|Comprar</t>
  </si>
  <si>
    <t>Brita 1|Entrada|Comprar</t>
  </si>
  <si>
    <t>Bloco ceramico 14x19x19|Entrada</t>
  </si>
  <si>
    <t>Bloco ceramico 14x19x19|Comprar</t>
  </si>
  <si>
    <t>Bloco ceramico 14x19x19|Entrada|Comprar</t>
  </si>
  <si>
    <t>Bloco estrutural|Entrada</t>
  </si>
  <si>
    <t>Bloco estrutural|Comprar</t>
  </si>
  <si>
    <t>Bloco estrutural|Entrada|Comprar</t>
  </si>
  <si>
    <t>Chumbador|Entrada</t>
  </si>
  <si>
    <t>Chumbador|Comprar</t>
  </si>
  <si>
    <t>Chumbador|Entrada|Comprar</t>
  </si>
  <si>
    <t>Vergalhao CA-50 16,0mm|Entrada</t>
  </si>
  <si>
    <t>Vergalhao CA-50 16,0mm|Comprar</t>
  </si>
  <si>
    <t>Vergalhao CA-50 16,0mm|Entrada|Comprar</t>
  </si>
  <si>
    <t>INVENTARIO  -  visao consolidada automatica. Atualiza sozinha pelas SCs (Entregue) e Movimentacao.</t>
  </si>
  <si>
    <t>Total Entregue</t>
  </si>
  <si>
    <t>Saidas</t>
  </si>
  <si>
    <t>Devolucoes</t>
  </si>
  <si>
    <t>% Estoque</t>
  </si>
  <si>
    <t>Alerta Estoque</t>
  </si>
  <si>
    <t>🟢 OK</t>
  </si>
  <si>
    <t>PESSOAS  -  uma linha por pessoa em cada item.</t>
  </si>
  <si>
    <t>Função</t>
  </si>
  <si>
    <t>Nome</t>
  </si>
  <si>
    <t>CPF</t>
  </si>
  <si>
    <t>Telefone</t>
  </si>
  <si>
    <t>Empresa</t>
  </si>
  <si>
    <t>CNPJ</t>
  </si>
  <si>
    <t>Contato Empresa</t>
  </si>
  <si>
    <t>RG</t>
  </si>
  <si>
    <t>Status Docs</t>
  </si>
  <si>
    <t>Anexos</t>
  </si>
  <si>
    <t>Profissional PF</t>
  </si>
  <si>
    <t>Pedreiro</t>
  </si>
  <si>
    <t>Nerisvam Estevam do Nascimento</t>
  </si>
  <si>
    <t>527.082.333-00</t>
  </si>
  <si>
    <t>(89) 9 9406-1634</t>
  </si>
  <si>
    <t>OK</t>
  </si>
  <si>
    <t>Cledison Alves dos Passos</t>
  </si>
  <si>
    <t>603.980.233-28</t>
  </si>
  <si>
    <t>(89) 9 9429-8646</t>
  </si>
  <si>
    <t>Ajudante</t>
  </si>
  <si>
    <t>Regivan Borges de Carvalho</t>
  </si>
  <si>
    <t>010.613.593-79</t>
  </si>
  <si>
    <t>(89) 9 9446-7715</t>
  </si>
  <si>
    <t>Fornecedor PJ</t>
  </si>
  <si>
    <t>Serralheiro</t>
  </si>
  <si>
    <t>Pedro Henrique Roldão Gomes</t>
  </si>
  <si>
    <t>427.15.668-44</t>
  </si>
  <si>
    <t>(11) 9 1331-2573</t>
  </si>
  <si>
    <t>Metal 1000 Serralheria Ltda</t>
  </si>
  <si>
    <t>52.942.866/0001-15</t>
  </si>
  <si>
    <t>Sidnei dos Santos Alexandria</t>
  </si>
  <si>
    <t>039.018.415-20</t>
  </si>
  <si>
    <t>(11) 9 9318-8393</t>
  </si>
  <si>
    <t>Bruno Bueno Santana Alves</t>
  </si>
  <si>
    <t>126.395.356-50</t>
  </si>
  <si>
    <t>(11) 9 6768-7978</t>
  </si>
  <si>
    <t>Segurança do Trabalho</t>
  </si>
  <si>
    <t>Samuel de Oliveira Suppa</t>
  </si>
  <si>
    <t>403.437.208-76</t>
  </si>
  <si>
    <t>(11) 9 8320-8203</t>
  </si>
  <si>
    <t>65.158.080/0001-53</t>
  </si>
  <si>
    <t>(11) 9 1695-8977</t>
  </si>
  <si>
    <t>Engenheiro civil</t>
  </si>
  <si>
    <t>Evylin Guimarães Santos</t>
  </si>
  <si>
    <t>050.950.525-20</t>
  </si>
  <si>
    <t>(73) 9 9122-4213</t>
  </si>
  <si>
    <t>64.915-148/0001-39</t>
  </si>
  <si>
    <t>Wilder da Silva Santos</t>
  </si>
  <si>
    <t>439.548.138-82</t>
  </si>
  <si>
    <t>(11) 9 9963-5943</t>
  </si>
  <si>
    <t>Arquiteto</t>
  </si>
  <si>
    <t>Breno Vieira Bogoni</t>
  </si>
  <si>
    <t>508.252.658-86</t>
  </si>
  <si>
    <t>(11) 9 8445-1346</t>
  </si>
  <si>
    <t>Jean Rodrigues Vieira</t>
  </si>
  <si>
    <t>413.330.158-79</t>
  </si>
  <si>
    <t>(11) 9 8360-9546</t>
  </si>
  <si>
    <t>Adailton Vieira dos Santos</t>
  </si>
  <si>
    <t>264.260.708-90</t>
  </si>
  <si>
    <t>Não tem</t>
  </si>
  <si>
    <t>Gestão</t>
  </si>
  <si>
    <t>Outro</t>
  </si>
  <si>
    <t>Ariane Oliveira Tartarotti</t>
  </si>
  <si>
    <t>064.082.076-00</t>
  </si>
  <si>
    <t>(11) 9 8962-0721</t>
  </si>
  <si>
    <t>FORNECEDORES  -  empreiteiros e diaristas, controle financeiro e avanco do trabalho</t>
  </si>
  <si>
    <t>Fornecedores</t>
  </si>
  <si>
    <t>Nome / Razão Social</t>
  </si>
  <si>
    <t>CPF / CNPJ</t>
  </si>
  <si>
    <t>E-mail</t>
  </si>
  <si>
    <t>Especialidade</t>
  </si>
  <si>
    <t>PJ</t>
  </si>
  <si>
    <t>Liberado</t>
  </si>
  <si>
    <t>PF</t>
  </si>
  <si>
    <t>ORCAMENTOS  -  uma linha por entrada financeira de cada item.</t>
  </si>
  <si>
    <t>PAINEL FINANCEIRO CONSOLIDADO (auto: Fornecedores + SCs Entregue/Finalizado + manuais abaixo)</t>
  </si>
  <si>
    <t>Valor Previsto (R$)</t>
  </si>
  <si>
    <t>Valor Real (R$)</t>
  </si>
  <si>
    <t>Diferenca (R$)</t>
  </si>
  <si>
    <t>% vs Previsto</t>
  </si>
  <si>
    <t>Fonte</t>
  </si>
  <si>
    <t>Previsto</t>
  </si>
  <si>
    <t>Real / Devido</t>
  </si>
  <si>
    <t>Pago</t>
  </si>
  <si>
    <t>Saldo</t>
  </si>
  <si>
    <t>Fornecedores (todos)</t>
  </si>
  <si>
    <t>SC Materiais (Entregue/Finalizado)</t>
  </si>
  <si>
    <t>0</t>
  </si>
  <si>
    <t>SC Ferramentas/Equipamentos (Entregue)</t>
  </si>
  <si>
    <t>Manuais (tabela abaixo)</t>
  </si>
  <si>
    <t>TOTAL DA OBRA</t>
  </si>
  <si>
    <t>PAGAMENTOS  -  tudo num lugar so: medicoes de empreita, materiais, impostos. Use o Tipo para classificar.</t>
  </si>
  <si>
    <t>Medições</t>
  </si>
  <si>
    <t>Pago no mês</t>
  </si>
  <si>
    <t>Vencendo 7 dias</t>
  </si>
  <si>
    <t>Total pago</t>
  </si>
  <si>
    <t>Fornecedor / Beneficiário</t>
  </si>
  <si>
    <t>Nº Medição</t>
  </si>
  <si>
    <t>Data Medição</t>
  </si>
  <si>
    <t>Qtd Medida</t>
  </si>
  <si>
    <t>Valor Unitário (R$)</t>
  </si>
  <si>
    <t>Valor Bruto (R$)</t>
  </si>
  <si>
    <t>% Avanço (medição)</t>
  </si>
  <si>
    <t>Retenção %</t>
  </si>
  <si>
    <t>Retenção (R$)</t>
  </si>
  <si>
    <t>Outros Descontos (R$)</t>
  </si>
  <si>
    <t>Valor a Pagar (R$)</t>
  </si>
  <si>
    <t>Data Prevista</t>
  </si>
  <si>
    <t>Forma de Pagamento</t>
  </si>
  <si>
    <t>Banco / Conta</t>
  </si>
  <si>
    <t>Data do Pagamento</t>
  </si>
  <si>
    <t>Comprovante</t>
  </si>
  <si>
    <t>Aprovado por</t>
  </si>
  <si>
    <t>PIX</t>
  </si>
  <si>
    <t>📖 COMO USAR ESTA PLANILHA - Plano de Obra Consulado Itália</t>
  </si>
  <si>
    <t>🏠 Hoje</t>
  </si>
  <si>
    <t>Painel 100% automático e protegido — não digite nele. Mostra subitens atrasados, próximos 15 dias e pagamentos a vencer. Alimente o Detalhamento (datas Início/Término) e o Pagamentos.</t>
  </si>
  <si>
    <t>📋 Gestao</t>
  </si>
  <si>
    <t>164 itens + aditivos. "Situação" segue o prazo; "Andamento" é manual: Não iniciado, Iniciado, Paralisado, Finalizado, Cancelado (com cores). KPI "Finalizados" conta o Andamento.</t>
  </si>
  <si>
    <t>🔧 Detalhamento</t>
  </si>
  <si>
    <t>Subitens. Linha LARANJA = item principal. O agrupamento (+/-) se refaz sozinho ao editar a coluna Item. Item repetido em outro bloco gera aviso. Preencha Início/Término — é daí que o painel Hoje puxa.</t>
  </si>
  <si>
    <t>👥 Pessoas</t>
  </si>
  <si>
    <t>Cadastro de todos (visitantes, profissionais, fornecedores PJ).</t>
  </si>
  <si>
    <t>🏢 Fornecedores</t>
  </si>
  <si>
    <t>Cadastro rápido de empresas. Sem valores.</t>
  </si>
  <si>
    <t>🛒 SC</t>
  </si>
  <si>
    <t>Solicitações de Compra. KPIs no topo. Escolha o Tipo e a lista da Descrição filtra só aquela categoria. Status "Entregue" alimenta o Inventário sozinho.</t>
  </si>
  <si>
    <t>📦 Movimentacao</t>
  </si>
  <si>
    <t>Escolha a Descrição (lista do Catálogo) e a Categoria aparece sozinha. Tipo = Saída ou Devolução movimenta o estoque.</t>
  </si>
  <si>
    <t>📊 Inventario</t>
  </si>
  <si>
    <t>Automático: Total Entregue (SC) - Saídas + Devoluções = No Estoque.</t>
  </si>
  <si>
    <t>💰 Orcamentos</t>
  </si>
  <si>
    <t>Valores por item. Coluna "Aprovado" libera para Pagamentos.</t>
  </si>
  <si>
    <t>💳 Pagamentos</t>
  </si>
  <si>
    <t>Histórico financeiro: medições + lançamentos manuais.</t>
  </si>
  <si>
    <t>📚 Catalogo</t>
  </si>
  <si>
    <t>Lista mestra. Não edite — é a base de todos os dropdowns.</t>
  </si>
  <si>
    <t>💾 BACKUP</t>
  </si>
  <si>
    <t>Versões salvas na pasta "Gestao_da_Obra - Versoes" do Drive (v1, v2, v3...).</t>
  </si>
  <si>
    <t>Profissionais e Fornecedores</t>
  </si>
  <si>
    <t>CATALOGO - alimenta os menus. Item novo: adicione na coluna da categoria. Dica: nos menus, digite parte do nome (ex: broca) que ele filtra sozinho.</t>
  </si>
  <si>
    <t>Material / Insumo</t>
  </si>
  <si>
    <t>Ferramenta</t>
  </si>
  <si>
    <t>Equipamento</t>
  </si>
  <si>
    <t>EPI</t>
  </si>
  <si>
    <t>EPC</t>
  </si>
  <si>
    <t>Todos (Inventario)</t>
  </si>
  <si>
    <t>Furadeira de impacto</t>
  </si>
  <si>
    <t>Betoneira 400L</t>
  </si>
  <si>
    <t>Capacete de seguranca</t>
  </si>
  <si>
    <t>Tela de protecao de fachada</t>
  </si>
  <si>
    <t>Cimento CP-IV 50kg</t>
  </si>
  <si>
    <t>Furadeira/parafusadeira a bateria</t>
  </si>
  <si>
    <t>Betoneira 120L</t>
  </si>
  <si>
    <t>Capacete com jugular</t>
  </si>
  <si>
    <t>Tela sombrite/mosquiteiro</t>
  </si>
  <si>
    <t>Cimento CP-V ARI 50kg</t>
  </si>
  <si>
    <t>Parafusadeira</t>
  </si>
  <si>
    <t>Compressor de ar</t>
  </si>
  <si>
    <t>Capacete classe B</t>
  </si>
  <si>
    <t>Guarda-corpo e rodape</t>
  </si>
  <si>
    <t>Cimento branco 25kg</t>
  </si>
  <si>
    <t>Martelete rompedor</t>
  </si>
  <si>
    <t>Gerador</t>
  </si>
  <si>
    <t>Oculos de protecao incolor</t>
  </si>
  <si>
    <t>Bandeja de protecao primaria</t>
  </si>
  <si>
    <t>Cal hidratada 20kg</t>
  </si>
  <si>
    <t>Martelete perfurador SDS</t>
  </si>
  <si>
    <t>Bomba de agua submersa</t>
  </si>
  <si>
    <t>Oculos de protecao escuro</t>
  </si>
  <si>
    <t>Bandeja de protecao secundaria</t>
  </si>
  <si>
    <t>Cal virgem 20kg</t>
  </si>
  <si>
    <t>Esmerilhadeira angular (makita)</t>
  </si>
  <si>
    <t>Bomba de argamassa/projecao</t>
  </si>
  <si>
    <t>Oculos ampla visao</t>
  </si>
  <si>
    <t>Plataforma de protecao</t>
  </si>
  <si>
    <t>Plastificante para argamassa</t>
  </si>
  <si>
    <t>Esmerilhadeira 9"</t>
  </si>
  <si>
    <t>Guincho de coluna</t>
  </si>
  <si>
    <t>Protetor facial/face shield</t>
  </si>
  <si>
    <t>Cone de sinalizacao</t>
  </si>
  <si>
    <t>Aditivo impermeabilizante (Vedacit) 1L</t>
  </si>
  <si>
    <t>Serra marmore</t>
  </si>
  <si>
    <t>Elevador de carga/cremalheira</t>
  </si>
  <si>
    <t>Luva de raspa</t>
  </si>
  <si>
    <t>Fita zebrada</t>
  </si>
  <si>
    <t>Aditivo impermeabilizante 3,6L</t>
  </si>
  <si>
    <t>Serra circular</t>
  </si>
  <si>
    <t>Plataforma elevatoria tesoura</t>
  </si>
  <si>
    <t>Luva de algodao</t>
  </si>
  <si>
    <t>Tela/grade de isolamento</t>
  </si>
  <si>
    <t>Aditivo impermeabilizante 18L</t>
  </si>
  <si>
    <t>Serra tico-tico</t>
  </si>
  <si>
    <t>Plataforma elevatoria articulada</t>
  </si>
  <si>
    <t>Luva de algodao pigmentada</t>
  </si>
  <si>
    <t>Placa de sinalizacao de obra</t>
  </si>
  <si>
    <t>Aditivo acelerador de pega</t>
  </si>
  <si>
    <t>Serra sabre</t>
  </si>
  <si>
    <t>Vibrador de concreto</t>
  </si>
  <si>
    <t>Luva nitrilica</t>
  </si>
  <si>
    <t>Placa de advertencia</t>
  </si>
  <si>
    <t>Aditivo retardador de pega</t>
  </si>
  <si>
    <t>Serra copo (eletrica)</t>
  </si>
  <si>
    <t>Placa vibratoria/compactador</t>
  </si>
  <si>
    <t>Luva de latex/borracha</t>
  </si>
  <si>
    <t>Extintor PQS</t>
  </si>
  <si>
    <t>Aditivo de cura</t>
  </si>
  <si>
    <t>Lixadeira orbital</t>
  </si>
  <si>
    <t>Policorte</t>
  </si>
  <si>
    <t>Luva de PVC</t>
  </si>
  <si>
    <t>Extintor CO2</t>
  </si>
  <si>
    <t>Desmoldante de forma</t>
  </si>
  <si>
    <t>Lixadeira roto-orbital</t>
  </si>
  <si>
    <t>Serra de bancada</t>
  </si>
  <si>
    <t>Luva de malha de aco</t>
  </si>
  <si>
    <t>Extintor agua</t>
  </si>
  <si>
    <t>Adesivo estrutural (compound)</t>
  </si>
  <si>
    <t>Lixadeira de cinta</t>
  </si>
  <si>
    <t>Aspirador industrial po/agua</t>
  </si>
  <si>
    <t>Luva de vaqueta</t>
  </si>
  <si>
    <t>Extintor espuma</t>
  </si>
  <si>
    <t>Resina acrilica</t>
  </si>
  <si>
    <t>Lixadeira de parede (girafa)</t>
  </si>
  <si>
    <t>Andaime tubular (torre)</t>
  </si>
  <si>
    <t>Luva isolante eletrica</t>
  </si>
  <si>
    <t>Linha de vida</t>
  </si>
  <si>
    <t>Cola para gesso</t>
  </si>
  <si>
    <t>Politriz</t>
  </si>
  <si>
    <t>Andaime fachadeiro (modulo)</t>
  </si>
  <si>
    <t>Botina bico de aco</t>
  </si>
  <si>
    <t>Ponto de ancoragem</t>
  </si>
  <si>
    <t>Plaina eletrica</t>
  </si>
  <si>
    <t>Andaime suspenso (balancim)</t>
  </si>
  <si>
    <t>Botina bico composite</t>
  </si>
  <si>
    <t>Tapume (chapa)</t>
  </si>
  <si>
    <t>Areia fina</t>
  </si>
  <si>
    <t>Tupia</t>
  </si>
  <si>
    <t>Cadeira suspensa</t>
  </si>
  <si>
    <t>Bota de borracha/PVC</t>
  </si>
  <si>
    <t>Tapume (madeira)</t>
  </si>
  <si>
    <t>Areia grossa</t>
  </si>
  <si>
    <t>Broca concreto 4mm</t>
  </si>
  <si>
    <t>Escora metalica</t>
  </si>
  <si>
    <t>Perneira</t>
  </si>
  <si>
    <t>Lona de protecao</t>
  </si>
  <si>
    <t>Areia ensacada 20kg</t>
  </si>
  <si>
    <t>Broca concreto 5mm</t>
  </si>
  <si>
    <t>Container/deposito</t>
  </si>
  <si>
    <t>Protetor auricular plug</t>
  </si>
  <si>
    <t>Cavalete de sinalizacao</t>
  </si>
  <si>
    <t>Brita 0</t>
  </si>
  <si>
    <t>Broca concreto 6mm</t>
  </si>
  <si>
    <t>Cacamba estacionaria</t>
  </si>
  <si>
    <t>Protetor auricular concha</t>
  </si>
  <si>
    <t>Sinalizacao de piso molhado</t>
  </si>
  <si>
    <t>Broca concreto 6,5mm</t>
  </si>
  <si>
    <t>Reboco projetado (maquina)</t>
  </si>
  <si>
    <t>Abafador de ruido</t>
  </si>
  <si>
    <t>Iluminacao de emergencia</t>
  </si>
  <si>
    <t>Brita 2</t>
  </si>
  <si>
    <t>Broca concreto 8mm</t>
  </si>
  <si>
    <t>Mascara descartavel PFF1</t>
  </si>
  <si>
    <t>Kit primeiros socorros</t>
  </si>
  <si>
    <t>Brita 3</t>
  </si>
  <si>
    <t>Broca concreto 10mm</t>
  </si>
  <si>
    <t>Mascara descartavel PFF2</t>
  </si>
  <si>
    <t>Lava-olhos</t>
  </si>
  <si>
    <t>Pedrisco</t>
  </si>
  <si>
    <t>Broca concreto 12mm</t>
  </si>
  <si>
    <t>Mascara descartavel PFF3</t>
  </si>
  <si>
    <t>Bica corrida</t>
  </si>
  <si>
    <t>Broca aco 3mm</t>
  </si>
  <si>
    <t>Respirador semifacial + filtros</t>
  </si>
  <si>
    <t>Rachao</t>
  </si>
  <si>
    <t>Broca aco 4mm</t>
  </si>
  <si>
    <t>Cinto paraquedista</t>
  </si>
  <si>
    <t>Concreto usinado (m3)</t>
  </si>
  <si>
    <t>Broca aco 5mm</t>
  </si>
  <si>
    <t>Talabarte simples</t>
  </si>
  <si>
    <t>Argamassa de assentamento</t>
  </si>
  <si>
    <t>Broca aco 6mm</t>
  </si>
  <si>
    <t>Talabarte duplo (Y)</t>
  </si>
  <si>
    <t>Argamassa de reboco</t>
  </si>
  <si>
    <t>Broca aco 8mm</t>
  </si>
  <si>
    <t>Trava-quedas</t>
  </si>
  <si>
    <t>Argamassa colante AC-I 20kg</t>
  </si>
  <si>
    <t>Broca aco 10mm</t>
  </si>
  <si>
    <t>Mosquetao</t>
  </si>
  <si>
    <t>Argamassa colante AC-II 20kg</t>
  </si>
  <si>
    <t>Broca madeira 4mm</t>
  </si>
  <si>
    <t>Avental de raspa</t>
  </si>
  <si>
    <t>Argamassa colante AC-III 20kg</t>
  </si>
  <si>
    <t>Broca madeira 6mm</t>
  </si>
  <si>
    <t>Avental de PVC</t>
  </si>
  <si>
    <t>Argamassa multiuso 20kg</t>
  </si>
  <si>
    <t>Broca madeira 8mm</t>
  </si>
  <si>
    <t>Manga de raspa</t>
  </si>
  <si>
    <t>Argamassa polimerica (manta semiflexivel)</t>
  </si>
  <si>
    <t>Broca madeira 10mm</t>
  </si>
  <si>
    <t>Jaqueta de seguranca</t>
  </si>
  <si>
    <t>Rejunte acrilico 1kg</t>
  </si>
  <si>
    <t>Broca SDS 8mm</t>
  </si>
  <si>
    <t>Colete refletivo</t>
  </si>
  <si>
    <t>Rejunte acrilico 5kg</t>
  </si>
  <si>
    <t>Broca SDS 10mm</t>
  </si>
  <si>
    <t>Protetor solar</t>
  </si>
  <si>
    <t>Rejunte epoxi 1kg</t>
  </si>
  <si>
    <t>Broca SDS 12mm</t>
  </si>
  <si>
    <t>Creme protetor de pele</t>
  </si>
  <si>
    <t>Rejunte flexivel 1kg</t>
  </si>
  <si>
    <t>Serra copo 50mm</t>
  </si>
  <si>
    <t>Mascara de solda</t>
  </si>
  <si>
    <t>Rejunte porcelanato</t>
  </si>
  <si>
    <t>Serra copo 65mm</t>
  </si>
  <si>
    <t>Oculos de solda</t>
  </si>
  <si>
    <t>Gesso em po 1kg</t>
  </si>
  <si>
    <t>Serra copo 100mm</t>
  </si>
  <si>
    <t>Gesso em po 5kg</t>
  </si>
  <si>
    <t>Bit/ponteira (kit)</t>
  </si>
  <si>
    <t>Gesso em po 20kg</t>
  </si>
  <si>
    <t>Nivel a laser</t>
  </si>
  <si>
    <t>Gesso em po 40kg</t>
  </si>
  <si>
    <t>Nivel a laser 360</t>
  </si>
  <si>
    <t>Gesso-cola 1kg</t>
  </si>
  <si>
    <t>Nivel de bolha</t>
  </si>
  <si>
    <t>Gesso projetado</t>
  </si>
  <si>
    <t>Mangueira de nivel</t>
  </si>
  <si>
    <t>Bloco de gesso</t>
  </si>
  <si>
    <t>Trena 5m</t>
  </si>
  <si>
    <t>Placa gesso acartonado ST 12,5mm</t>
  </si>
  <si>
    <t>Trena 10m</t>
  </si>
  <si>
    <t>Placa gesso acartonado RU 12,5mm</t>
  </si>
  <si>
    <t>Trena 30m</t>
  </si>
  <si>
    <t>Placa gesso acartonado RF 12,5mm</t>
  </si>
  <si>
    <t>Trena a laser</t>
  </si>
  <si>
    <t>Placa gesso acartonado 15mm</t>
  </si>
  <si>
    <t>Prumo de face</t>
  </si>
  <si>
    <t>Perfil montante 48</t>
  </si>
  <si>
    <t>Prumo de centro</t>
  </si>
  <si>
    <t>Perfil montante 70</t>
  </si>
  <si>
    <t>Esquadro</t>
  </si>
  <si>
    <t>Perfil montante 90</t>
  </si>
  <si>
    <t>Esquadro combinado</t>
  </si>
  <si>
    <t>Perfil guia</t>
  </si>
  <si>
    <t>Linha de pedreiro</t>
  </si>
  <si>
    <t>Perfil F530/canaleta</t>
  </si>
  <si>
    <t>Colher de pedreiro</t>
  </si>
  <si>
    <t>Cantoneira</t>
  </si>
  <si>
    <t>Colher de canto</t>
  </si>
  <si>
    <t>Tabica</t>
  </si>
  <si>
    <t>Desempenadeira lisa</t>
  </si>
  <si>
    <t>Fita telada para juntas</t>
  </si>
  <si>
    <t>Desempenadeira dentada</t>
  </si>
  <si>
    <t>Massa para drywall</t>
  </si>
  <si>
    <t>Desempenadeira de aco</t>
  </si>
  <si>
    <t>Parafuso drywall GN25</t>
  </si>
  <si>
    <t>Desempenadeira de PVC</t>
  </si>
  <si>
    <t>Parafuso drywall flat</t>
  </si>
  <si>
    <t>Talocha</t>
  </si>
  <si>
    <t>Forro mineral 625x625</t>
  </si>
  <si>
    <t>Talocha de EVA</t>
  </si>
  <si>
    <t>Forro de PVC</t>
  </si>
  <si>
    <t>Regua de aluminio bicuda</t>
  </si>
  <si>
    <t>Forro de gesso</t>
  </si>
  <si>
    <t>Broxa</t>
  </si>
  <si>
    <t>Sanca de gesso</t>
  </si>
  <si>
    <t>Rolo de pintura la</t>
  </si>
  <si>
    <t>Bloco ceramico 9x19x19</t>
  </si>
  <si>
    <t>Rolo de espuma</t>
  </si>
  <si>
    <t>Bloco ceramico 11,5x19x19</t>
  </si>
  <si>
    <t>Rolo de textura</t>
  </si>
  <si>
    <t>Pincel/trincha</t>
  </si>
  <si>
    <t>Bloco ceramico 19x19x39</t>
  </si>
  <si>
    <t>Bandeja de pintura</t>
  </si>
  <si>
    <t>Bloco de concreto 9x19x39</t>
  </si>
  <si>
    <t>Espatula</t>
  </si>
  <si>
    <t>Bloco de concreto 14x19x39</t>
  </si>
  <si>
    <t>Carrinho de mao</t>
  </si>
  <si>
    <t>Bloco de concreto 19x19x39</t>
  </si>
  <si>
    <t>Pa</t>
  </si>
  <si>
    <t>Pa de bico</t>
  </si>
  <si>
    <t>Canaleta de concreto</t>
  </si>
  <si>
    <t>Enxada</t>
  </si>
  <si>
    <t>Tijolo macico</t>
  </si>
  <si>
    <t>Enxadao</t>
  </si>
  <si>
    <t>Tijolo baiano</t>
  </si>
  <si>
    <t>Picareta</t>
  </si>
  <si>
    <t>Tijolo a vista</t>
  </si>
  <si>
    <t>Marreta</t>
  </si>
  <si>
    <t>Tijolo refratario</t>
  </si>
  <si>
    <t>Marreta 5kg</t>
  </si>
  <si>
    <t>Tijolo de vidro</t>
  </si>
  <si>
    <t>Martelo unha</t>
  </si>
  <si>
    <t>Bloco de vedacao</t>
  </si>
  <si>
    <t>Martelo de borracha</t>
  </si>
  <si>
    <t>Vergalhao CA-50 5,0mm</t>
  </si>
  <si>
    <t>Ponteiro/talhadeira</t>
  </si>
  <si>
    <t>Vergalhao CA-50 6,3mm</t>
  </si>
  <si>
    <t>Balde</t>
  </si>
  <si>
    <t>Vergalhao CA-50 8,0mm</t>
  </si>
  <si>
    <t>Masseira/caixa de massa</t>
  </si>
  <si>
    <t>Vergalhao CA-50 10,0mm</t>
  </si>
  <si>
    <t>Gerica</t>
  </si>
  <si>
    <t>Vergalhao CA-50 12,5mm</t>
  </si>
  <si>
    <t>Peneira</t>
  </si>
  <si>
    <t>Escada de aluminio</t>
  </si>
  <si>
    <t>Vergalhao CA-50 20,0mm</t>
  </si>
  <si>
    <t>Escada extensiva</t>
  </si>
  <si>
    <t>Vergalhao CA-50 25,0mm</t>
  </si>
  <si>
    <t>Cavalete</t>
  </si>
  <si>
    <t>Vergalhao CA-60 4,2mm</t>
  </si>
  <si>
    <t>Jogo de chave fenda/philips</t>
  </si>
  <si>
    <t>Vergalhao CA-60 5,0mm</t>
  </si>
  <si>
    <t>Jogo de chave allen</t>
  </si>
  <si>
    <t>Vergalhao CA-60 6,0mm</t>
  </si>
  <si>
    <t>Jogo de chave combinada</t>
  </si>
  <si>
    <t>Estribo pronto</t>
  </si>
  <si>
    <t>Chave de grifo</t>
  </si>
  <si>
    <t>Trelica</t>
  </si>
  <si>
    <t>Chave inglesa</t>
  </si>
  <si>
    <t>Coluna pronta</t>
  </si>
  <si>
    <t>Chave de fenda isolada</t>
  </si>
  <si>
    <t>Tela soldada Q92</t>
  </si>
  <si>
    <t>Alicate universal</t>
  </si>
  <si>
    <t>Tela soldada Q138</t>
  </si>
  <si>
    <t>Alicate de corte diagonal</t>
  </si>
  <si>
    <t>Tela soldada Q196</t>
  </si>
  <si>
    <t>Alicate de bico meia-cana</t>
  </si>
  <si>
    <t>Tela soldada Q283</t>
  </si>
  <si>
    <t>Alicate de bico longo</t>
  </si>
  <si>
    <t>Arame recozido 18 (kg)</t>
  </si>
  <si>
    <t>Alicate de pressao</t>
  </si>
  <si>
    <t>Arame recozido 16 (kg)</t>
  </si>
  <si>
    <t>Alicate decapador</t>
  </si>
  <si>
    <t>Arame galvanizado</t>
  </si>
  <si>
    <t>Alicate rebitador</t>
  </si>
  <si>
    <t>Arame farpado</t>
  </si>
  <si>
    <t>Alicate prensa terminal</t>
  </si>
  <si>
    <t>Arame ovalado</t>
  </si>
  <si>
    <t>Alicate amperimetro</t>
  </si>
  <si>
    <t>Prego com cabeca 17x27</t>
  </si>
  <si>
    <t>Alicate bomba dagua</t>
  </si>
  <si>
    <t>Prego com cabeca 18x27</t>
  </si>
  <si>
    <t>Arco de serra</t>
  </si>
  <si>
    <t>Prego com cabeca 19x36</t>
  </si>
  <si>
    <t>Grampeador</t>
  </si>
  <si>
    <t>Prego com cabeca 22x48</t>
  </si>
  <si>
    <t>Estilete</t>
  </si>
  <si>
    <t>Prego sem cabeca 15x15</t>
  </si>
  <si>
    <t>Lanterna</t>
  </si>
  <si>
    <t>Prego sem cabeca 17x21</t>
  </si>
  <si>
    <t>Extensao eletrica</t>
  </si>
  <si>
    <t>Prego anelado</t>
  </si>
  <si>
    <t>Pistola de silicone</t>
  </si>
  <si>
    <t>Prego de aco 17x24 (concreto)</t>
  </si>
  <si>
    <t>Cortador de piso/azulejo</t>
  </si>
  <si>
    <t>Prego telheiro</t>
  </si>
  <si>
    <t>Torques</t>
  </si>
  <si>
    <t>Prego galvanizado</t>
  </si>
  <si>
    <t>Jogo de soquetes</t>
  </si>
  <si>
    <t>Parafuso e bucha (kit)</t>
  </si>
  <si>
    <t>Chave de roda</t>
  </si>
  <si>
    <t>Parafuso fenda</t>
  </si>
  <si>
    <t>Parafuso autobrocante</t>
  </si>
  <si>
    <t>Parafuso frances</t>
  </si>
  <si>
    <t>Bucha nylon 6mm</t>
  </si>
  <si>
    <t>Bucha nylon 8mm</t>
  </si>
  <si>
    <t>Bucha nylon 10mm</t>
  </si>
  <si>
    <t>Grampo</t>
  </si>
  <si>
    <t>Pino de fixacao</t>
  </si>
  <si>
    <t>Caibro 5x6</t>
  </si>
  <si>
    <t>Caibro 6x12</t>
  </si>
  <si>
    <t>Caibro 6x16</t>
  </si>
  <si>
    <t>Ripa 1,5x5</t>
  </si>
  <si>
    <t>Ripa 2x5</t>
  </si>
  <si>
    <t>Sarrafo 2,5x7</t>
  </si>
  <si>
    <t>Pontalete 7x7</t>
  </si>
  <si>
    <t>Tabua de pinho</t>
  </si>
  <si>
    <t>Tabua de cedro</t>
  </si>
  <si>
    <t>Viga de madeira</t>
  </si>
  <si>
    <t>Compensado 10mm</t>
  </si>
  <si>
    <t>Compensado 15mm</t>
  </si>
  <si>
    <t>Compensado 18mm</t>
  </si>
  <si>
    <t>Compensado plastificado (forma)</t>
  </si>
  <si>
    <t>MDF 15mm</t>
  </si>
  <si>
    <t>MDF 18mm</t>
  </si>
  <si>
    <t>Chapa OSB</t>
  </si>
  <si>
    <t>Chapa dura (eucatex)</t>
  </si>
  <si>
    <t>Massa corrida PVA 18L</t>
  </si>
  <si>
    <t>Massa corrida PVA 25kg</t>
  </si>
  <si>
    <t>Massa acrilica 18L</t>
  </si>
  <si>
    <t>Massa acrilica 25kg</t>
  </si>
  <si>
    <t>Tinta latex PVA branca 18L</t>
  </si>
  <si>
    <t>Tinta latex PVA branca 3,6L</t>
  </si>
  <si>
    <t>Tinta latex PVA cor 18L</t>
  </si>
  <si>
    <t>Tinta latex acrilica branca 18L</t>
  </si>
  <si>
    <t>Tinta latex acrilica cor 18L</t>
  </si>
  <si>
    <t>Tinta acrilica premium fosca 18L</t>
  </si>
  <si>
    <t>Tinta acrilica premium acetinada 18L</t>
  </si>
  <si>
    <t>Tinta acrilica premium semibrilho 18L</t>
  </si>
  <si>
    <t>Tinta acrilica premium 3,6L</t>
  </si>
  <si>
    <t>Esmalte sintetico 3,6L</t>
  </si>
  <si>
    <t>Esmalte sintetico 0,9L</t>
  </si>
  <si>
    <t>Esmalte base agua 3,6L</t>
  </si>
  <si>
    <t>Tinta epoxi 3,6L</t>
  </si>
  <si>
    <t>Tinta para piso 18L</t>
  </si>
  <si>
    <t>Verniz 3,6L</t>
  </si>
  <si>
    <t>Stain 3,6L</t>
  </si>
  <si>
    <t>Selador acrilico 18L</t>
  </si>
  <si>
    <t>Fundo preparador de paredes 18L</t>
  </si>
  <si>
    <t>Fundo anticorrosivo zarcao 3,6L</t>
  </si>
  <si>
    <t>Primer 3,6L</t>
  </si>
  <si>
    <t>Textura acrilica 25kg</t>
  </si>
  <si>
    <t>Grafiato 25kg</t>
  </si>
  <si>
    <t>Massa para textura 25kg</t>
  </si>
  <si>
    <t>Solvente/aguarras 5L</t>
  </si>
  <si>
    <t>Thinner 5L</t>
  </si>
  <si>
    <t>Fita crepe</t>
  </si>
  <si>
    <t>Lixa parede grao 80</t>
  </si>
  <si>
    <t>Lixa parede grao 100</t>
  </si>
  <si>
    <t>Lixa parede grao 120</t>
  </si>
  <si>
    <t>Lixa parede grao 150</t>
  </si>
  <si>
    <t>Lixa parede grao 180</t>
  </si>
  <si>
    <t>Lixa parede grao 220</t>
  </si>
  <si>
    <t>Lixa parede grao 320</t>
  </si>
  <si>
    <t>Lixa dagua</t>
  </si>
  <si>
    <t>Tela para lixar</t>
  </si>
  <si>
    <t>Eletroduto PVC 3/4</t>
  </si>
  <si>
    <t>Eletroduto PVC 1"</t>
  </si>
  <si>
    <t>Eletroduto galvanizado 3/4</t>
  </si>
  <si>
    <t>Eletroduto corrugado flexivel</t>
  </si>
  <si>
    <t>Cabo flexivel 1,5mm</t>
  </si>
  <si>
    <t>Cabo flexivel 2,5mm</t>
  </si>
  <si>
    <t>Cabo flexivel 4mm</t>
  </si>
  <si>
    <t>Cabo flexivel 6mm</t>
  </si>
  <si>
    <t>Cabo flexivel 10mm</t>
  </si>
  <si>
    <t>Cabo flexivel 16mm</t>
  </si>
  <si>
    <t>Cabo flexivel 25mm</t>
  </si>
  <si>
    <t>Fio rigido</t>
  </si>
  <si>
    <t>Cabo PP 3x2,5mm</t>
  </si>
  <si>
    <t>Disjuntor mono 10A</t>
  </si>
  <si>
    <t>Disjuntor mono 16A</t>
  </si>
  <si>
    <t>Disjuntor mono 20A</t>
  </si>
  <si>
    <t>Disjuntor mono 25A</t>
  </si>
  <si>
    <t>Disjuntor mono 32A</t>
  </si>
  <si>
    <t>Disjuntor mono 40A</t>
  </si>
  <si>
    <t>Disjuntor mono 50A</t>
  </si>
  <si>
    <t>Disjuntor bipolar</t>
  </si>
  <si>
    <t>Disjuntor tripolar</t>
  </si>
  <si>
    <t>Disjuntor trifasico 100A</t>
  </si>
  <si>
    <t>Disjuntor DR</t>
  </si>
  <si>
    <t>DPS (protetor de surto)</t>
  </si>
  <si>
    <t>Quadro de distribuicao</t>
  </si>
  <si>
    <t>Caixa de passagem 4x2</t>
  </si>
  <si>
    <t>Caixa de passagem 4x4</t>
  </si>
  <si>
    <t>Tomada 2P+T 10A</t>
  </si>
  <si>
    <t>Tomada 2P+T 20A</t>
  </si>
  <si>
    <t>Interruptor simples</t>
  </si>
  <si>
    <t>Interruptor paralelo</t>
  </si>
  <si>
    <t>Espelho/placa 4x2</t>
  </si>
  <si>
    <t>Conector/terminal</t>
  </si>
  <si>
    <t>Fita isolante</t>
  </si>
  <si>
    <t>Abracadeira nylon</t>
  </si>
  <si>
    <t>Luminaria LED 60cm 9W</t>
  </si>
  <si>
    <t>Luminaria LED 120cm 18W</t>
  </si>
  <si>
    <t>Spot/plafon LED</t>
  </si>
  <si>
    <t>Fita LED IP68</t>
  </si>
  <si>
    <t>Lampada LED bulbo</t>
  </si>
  <si>
    <t>Sensor de presenca</t>
  </si>
  <si>
    <t>Tubo PVC agua fria 20mm</t>
  </si>
  <si>
    <t>Tubo PVC agua fria 25mm</t>
  </si>
  <si>
    <t>Tubo PVC agua fria 32mm</t>
  </si>
  <si>
    <t>Tubo PVC esgoto 40mm</t>
  </si>
  <si>
    <t>Tubo PVC esgoto 50mm</t>
  </si>
  <si>
    <t>Tubo PVC esgoto 75mm</t>
  </si>
  <si>
    <t>Tubo PVC esgoto 100mm</t>
  </si>
  <si>
    <t>Tubo PPR</t>
  </si>
  <si>
    <t>Tubo de cobre</t>
  </si>
  <si>
    <t>Conexoes PVC agua (kit)</t>
  </si>
  <si>
    <t>Conexoes PVC esgoto (kit)</t>
  </si>
  <si>
    <t>Registro de gaveta</t>
  </si>
  <si>
    <t>Registro de pressao</t>
  </si>
  <si>
    <t>Registro esfera</t>
  </si>
  <si>
    <t>Valvula de descarga</t>
  </si>
  <si>
    <t>Sifao</t>
  </si>
  <si>
    <t>Engate flexivel</t>
  </si>
  <si>
    <t>Veda rosca</t>
  </si>
  <si>
    <t>Adesivo PVC</t>
  </si>
  <si>
    <t>Caixa sifonada/ralo</t>
  </si>
  <si>
    <t>Caixa de gordura</t>
  </si>
  <si>
    <t>Vaso sanitario</t>
  </si>
  <si>
    <t>Caixa acoplada</t>
  </si>
  <si>
    <t>Cuba/lavatorio</t>
  </si>
  <si>
    <t>Torneira</t>
  </si>
  <si>
    <t>Misturador</t>
  </si>
  <si>
    <t>Chuveiro</t>
  </si>
  <si>
    <t>Ducha</t>
  </si>
  <si>
    <t>Porcelanato 60x60</t>
  </si>
  <si>
    <t>Porcelanato 80x80</t>
  </si>
  <si>
    <t>Porcelanato 90x90</t>
  </si>
  <si>
    <t>Porcelanato amadeirado</t>
  </si>
  <si>
    <t>Azulejo 40x40</t>
  </si>
  <si>
    <t>Azulejo 30x60</t>
  </si>
  <si>
    <t>Azulejo 20x20</t>
  </si>
  <si>
    <t>Pastilha</t>
  </si>
  <si>
    <t>Piso elevado drenante</t>
  </si>
  <si>
    <t>Piso vinilico</t>
  </si>
  <si>
    <t>Piso laminado</t>
  </si>
  <si>
    <t>Rodape</t>
  </si>
  <si>
    <t>Soleira</t>
  </si>
  <si>
    <t>Peitoril</t>
  </si>
  <si>
    <t>Granito</t>
  </si>
  <si>
    <t>Marmore</t>
  </si>
  <si>
    <t>Manta acustica</t>
  </si>
  <si>
    <t>Manta asfaltica 3mm</t>
  </si>
  <si>
    <t>Manta asfaltica 4mm</t>
  </si>
  <si>
    <t>Manta asfaltica aluminizada</t>
  </si>
  <si>
    <t>Manta liquida</t>
  </si>
  <si>
    <t>Manta semiflexivel (argamassa polimerica)</t>
  </si>
  <si>
    <t>Manta geotextil (bidim)</t>
  </si>
  <si>
    <t>Impermeabilizante cimenticio bicomponente</t>
  </si>
  <si>
    <t>Primer asfaltico</t>
  </si>
  <si>
    <t>Hidrofugante</t>
  </si>
  <si>
    <t>Veda calha</t>
  </si>
  <si>
    <t>Emulsao asfaltica</t>
  </si>
  <si>
    <t>Telha ceramica colonial</t>
  </si>
  <si>
    <t>Telha ceramica romana</t>
  </si>
  <si>
    <t>Telha ceramica portuguesa</t>
  </si>
  <si>
    <t>Telha ceramica americana</t>
  </si>
  <si>
    <t>Telha de fibrocimento 4mm</t>
  </si>
  <si>
    <t>Telha de fibrocimento 5mm</t>
  </si>
  <si>
    <t>Telha de fibrocimento 6mm</t>
  </si>
  <si>
    <t>Telha ondulada</t>
  </si>
  <si>
    <t>Telha de concreto</t>
  </si>
  <si>
    <t>Telha metalica/galvanizada</t>
  </si>
  <si>
    <t>Telha termoacustica (sanduiche)</t>
  </si>
  <si>
    <t>Telha translucida</t>
  </si>
  <si>
    <t>Cumeeira</t>
  </si>
  <si>
    <t>Rufo</t>
  </si>
  <si>
    <t>Calha</t>
  </si>
  <si>
    <t>Manta de subcobertura</t>
  </si>
  <si>
    <t>Vidro temperado 8mm</t>
  </si>
  <si>
    <t>Vidro temperado 10mm</t>
  </si>
  <si>
    <t>Vidro comum 4mm</t>
  </si>
  <si>
    <t>Vidro laminado</t>
  </si>
  <si>
    <t>Espelho</t>
  </si>
  <si>
    <t>Janela de aluminio</t>
  </si>
  <si>
    <t>Porta de madeira</t>
  </si>
  <si>
    <t>Porta de aluminio</t>
  </si>
  <si>
    <t>Batente</t>
  </si>
  <si>
    <t>Fechadura</t>
  </si>
  <si>
    <t>Fechadura tetra</t>
  </si>
  <si>
    <t>Dobradica</t>
  </si>
  <si>
    <t>Ferragens (kit)</t>
  </si>
  <si>
    <t>Silicone/vedante</t>
  </si>
  <si>
    <t>Vedante PU</t>
  </si>
  <si>
    <t>Espuma expansiva</t>
  </si>
  <si>
    <t>Cola de contato</t>
  </si>
  <si>
    <t>Massa epoxi (Durepoxi)</t>
  </si>
  <si>
    <t>Fita dupla face</t>
  </si>
  <si>
    <t>Lona plastica de protecao</t>
  </si>
  <si>
    <t>Saco para entulho</t>
  </si>
  <si>
    <t>Disco de corte</t>
  </si>
  <si>
    <t>Disco de desbaste</t>
  </si>
  <si>
    <t>Disco diamantado</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</si>
</sst>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d/mm/yyyy"/>
    <numFmt numFmtId="165" formatCode="R$ #,##0.00"/>
    <numFmt numFmtId="166" formatCode="dd/mm"/>
    <numFmt numFmtId="167" formatCode="d.m"/>
    <numFmt numFmtId="168" formatCode="dd.mm"/>
    <numFmt numFmtId="169" formatCode="0.0%"/>
    <numFmt numFmtId="170" formatCode="R$ #,##0.00;[Red](R$ #,##0.00);&quot;-&quot;"/>
    <numFmt numFmtId="171" formatCode="d.m.yyyy"/>
    <numFmt numFmtId="172" formatCode="_-&quot;R$&quot;\ * #,##0.00_-;\-&quot;R$&quot;\ * #,##0.00_-;_-&quot;R$&quot;\ * &quot;-&quot;??_-;_-@"/>
    <numFmt numFmtId="173" formatCode="[$R$ -416]#,##0.00"/>
    <numFmt numFmtId="174" formatCode="&quot;R$&quot;\ #,##0.00"/>
    <numFmt numFmtId="175" formatCode="0.##"/>
    <numFmt numFmtId="176" formatCode="DD/MM/YYYY"/>
  </numFmts>
  <fonts count="91">
    <font>
      <sz val="11.0"/>
      <color theme="1"/>
      <name val="Calibri"/>
      <scheme val="minor"/>
    </font>
    <font>
      <b/>
      <sz val="18.0"/>
      <color rgb="FFFFFFFF"/>
      <name val="Calibri"/>
      <scheme val="minor"/>
    </font>
    <font>
      <b/>
      <sz val="11.0"/>
      <color rgb="FF1F3864"/>
      <name val="Calibri"/>
      <scheme val="minor"/>
    </font>
    <font>
      <b/>
      <sz val="11.0"/>
      <color theme="1"/>
      <name val="Calibri"/>
      <scheme val="minor"/>
    </font>
    <font>
      <b/>
      <sz val="24.0"/>
      <color rgb="FF9C0006"/>
      <name val="Calibri"/>
      <scheme val="minor"/>
    </font>
    <font>
      <b/>
      <sz val="24.0"/>
      <color rgb="FF9C6500"/>
      <name val="Calibri"/>
      <scheme val="minor"/>
    </font>
    <font>
      <b/>
      <sz val="24.0"/>
      <color rgb="FF2F5496"/>
      <name val="Calibri"/>
      <scheme val="minor"/>
    </font>
    <font>
      <b/>
      <sz val="24.0"/>
      <color rgb="FF006100"/>
      <name val="Calibri"/>
      <scheme val="minor"/>
    </font>
    <font>
      <b/>
      <sz val="24.0"/>
      <color rgb="FF1F3864"/>
      <name val="Calibri"/>
      <scheme val="minor"/>
    </font>
    <font>
      <b/>
      <color rgb="FFFFFFFF"/>
      <name val="Calibri"/>
      <scheme val="minor"/>
    </font>
    <font>
      <color theme="1"/>
      <name val="Calibri"/>
      <scheme val="minor"/>
    </font>
    <font>
      <b/>
      <sz val="16.0"/>
      <color rgb="FFFFFFFF"/>
      <name val="Calibri"/>
      <scheme val="minor"/>
    </font>
    <font>
      <b/>
      <sz val="10.0"/>
      <color rgb="FFD9E2F3"/>
      <name val="Calibri"/>
      <scheme val="minor"/>
    </font>
    <font>
      <b/>
      <sz val="9.0"/>
      <color rgb="FFFFFFFF"/>
      <name val="Calibri"/>
      <scheme val="minor"/>
    </font>
    <font>
      <b/>
      <sz val="20.0"/>
      <color rgb="FF1F3864"/>
      <name val="Calibri"/>
      <scheme val="minor"/>
    </font>
    <font>
      <b/>
      <sz val="11.0"/>
      <color rgb="FFFFFFFF"/>
      <name val="Calibri"/>
      <scheme val="minor"/>
    </font>
    <font>
      <b/>
      <color theme="1"/>
      <name val="Calibri"/>
      <scheme val="minor"/>
    </font>
    <font>
      <color rgb="FFC00000"/>
      <name val="Calibri"/>
      <scheme val="minor"/>
    </font>
    <font>
      <sz val="10.0"/>
      <color theme="1"/>
      <name val="Calibri"/>
      <scheme val="minor"/>
    </font>
    <font>
      <b/>
      <sz val="10.0"/>
      <color theme="1"/>
      <name val="Calibri"/>
      <scheme val="minor"/>
    </font>
    <font>
      <b/>
      <sz val="10.0"/>
      <color rgb="FFC00000"/>
      <name val="Calibri"/>
      <scheme val="minor"/>
    </font>
    <font>
      <sz val="10.0"/>
      <color rgb="FF666666"/>
      <name val="Calibri"/>
      <scheme val="minor"/>
    </font>
    <font>
      <b/>
      <sz val="16.0"/>
      <color rgb="FF1F7A3D"/>
      <name val="Calibri"/>
      <scheme val="minor"/>
    </font>
    <font>
      <b/>
      <sz val="16.0"/>
      <color rgb="FF990000"/>
      <name val="Calibri"/>
      <scheme val="minor"/>
    </font>
    <font>
      <b/>
      <sz val="16.0"/>
      <color rgb="FFBF9000"/>
      <name val="Calibri"/>
      <scheme val="minor"/>
    </font>
    <font>
      <b/>
      <sz val="16.0"/>
      <color rgb="FF0B5394"/>
      <name val="Calibri"/>
      <scheme val="minor"/>
    </font>
    <font>
      <b/>
      <color rgb="FF1F3864"/>
      <name val="Calibri"/>
      <scheme val="minor"/>
    </font>
    <font>
      <b/>
      <color rgb="FF1F7A3D"/>
      <name val="Calibri"/>
      <scheme val="minor"/>
    </font>
    <font>
      <color rgb="FF1F7A3D"/>
      <name val="Calibri"/>
      <scheme val="minor"/>
    </font>
    <font>
      <b/>
      <color rgb="FFBF9000"/>
      <name val="Calibri"/>
      <scheme val="minor"/>
    </font>
    <font>
      <color rgb="FFBF9000"/>
      <name val="Calibri"/>
      <scheme val="minor"/>
    </font>
    <font>
      <b/>
      <color rgb="FF999999"/>
      <name val="Calibri"/>
      <scheme val="minor"/>
    </font>
    <font>
      <color rgb="FF999999"/>
      <name val="Calibri"/>
      <scheme val="minor"/>
    </font>
    <font>
      <color rgb="FF990000"/>
      <name val="Calibri"/>
      <scheme val="minor"/>
    </font>
    <font>
      <color rgb="FF666666"/>
      <name val="Calibri"/>
      <scheme val="minor"/>
    </font>
    <font>
      <b/>
      <sz val="18.0"/>
      <color rgb="FFFFFFFF"/>
      <name val="Arial"/>
    </font>
    <font/>
    <font>
      <b/>
      <sz val="15.0"/>
      <color rgb="FFFFFFFF"/>
      <name val="Arial"/>
    </font>
    <font>
      <i/>
      <sz val="10.0"/>
      <color rgb="FFD9E2F3"/>
      <name val="Arial"/>
    </font>
    <font>
      <sz val="11.0"/>
      <color theme="1"/>
      <name val="Calibri"/>
    </font>
    <font>
      <b/>
      <sz val="10.0"/>
      <color rgb="FF1F3864"/>
      <name val="Arial"/>
    </font>
    <font>
      <b/>
      <sz val="18.0"/>
      <color rgb="FF1F3864"/>
      <name val="Arial"/>
    </font>
    <font>
      <b/>
      <sz val="18.0"/>
      <color rgb="FF9C0006"/>
      <name val="Arial"/>
    </font>
    <font>
      <b/>
      <sz val="18.0"/>
      <color rgb="FF9C6500"/>
      <name val="Arial"/>
    </font>
    <font>
      <b/>
      <sz val="18.0"/>
      <color rgb="FF2F5496"/>
      <name val="Arial"/>
    </font>
    <font>
      <b/>
      <sz val="18.0"/>
      <color rgb="FF006100"/>
      <name val="Arial"/>
    </font>
    <font>
      <b/>
      <sz val="18.0"/>
      <color rgb="FFED7D31"/>
      <name val="Arial"/>
    </font>
    <font>
      <b/>
      <sz val="10.0"/>
      <color rgb="FFFFFFFF"/>
      <name val="Arial"/>
    </font>
    <font>
      <sz val="10.0"/>
      <color rgb="FF000000"/>
      <name val="Arial"/>
    </font>
    <font>
      <b/>
      <sz val="10.0"/>
      <color rgb="FF000000"/>
      <name val="Arial"/>
    </font>
    <font>
      <sz val="10.0"/>
      <color rgb="FF7F7F7F"/>
      <name val="Arial"/>
    </font>
    <font>
      <b/>
      <sz val="10.0"/>
      <color rgb="FFC65911"/>
      <name val="Arial"/>
    </font>
    <font>
      <b/>
      <sz val="11.0"/>
      <color rgb="FFFFFFFF"/>
      <name val="Arial"/>
    </font>
    <font>
      <i/>
      <sz val="8.0"/>
      <color rgb="FF44546A"/>
      <name val="Arial"/>
    </font>
    <font>
      <i/>
      <sz val="9.0"/>
      <color rgb="FF44546A"/>
      <name val="Arial"/>
    </font>
    <font>
      <b/>
      <sz val="13.0"/>
      <color rgb="FFFFFFFF"/>
      <name val="Calibri"/>
      <scheme val="minor"/>
    </font>
    <font>
      <i/>
      <color rgb="FFFFFFFF"/>
      <name val="Calibri"/>
      <scheme val="minor"/>
    </font>
    <font>
      <b/>
      <sz val="9.0"/>
      <color rgb="FF1F3864"/>
      <name val="Calibri"/>
      <scheme val="minor"/>
    </font>
    <font>
      <b/>
      <sz val="13.0"/>
      <color rgb="FF9C0006"/>
      <name val="Calibri"/>
      <scheme val="minor"/>
    </font>
    <font>
      <b/>
      <sz val="13.0"/>
      <color rgb="FFC65911"/>
      <name val="Calibri"/>
      <scheme val="minor"/>
    </font>
    <font>
      <b/>
      <sz val="13.0"/>
      <color rgb="FF9C6500"/>
      <name val="Calibri"/>
      <scheme val="minor"/>
    </font>
    <font>
      <b/>
      <sz val="13.0"/>
      <color rgb="FF006100"/>
      <name val="Calibri"/>
      <scheme val="minor"/>
    </font>
    <font>
      <b/>
      <sz val="13.0"/>
      <color rgb="FF1F3864"/>
      <name val="Calibri"/>
      <scheme val="minor"/>
    </font>
    <font>
      <b/>
      <sz val="10.0"/>
      <color rgb="FFFFFFFF"/>
      <name val="Calibri"/>
      <scheme val="minor"/>
    </font>
    <font>
      <sz val="10.0"/>
      <color rgb="FF000000"/>
      <name val="Calibri"/>
    </font>
    <font>
      <color theme="1"/>
      <name val="Arial"/>
    </font>
    <font>
      <b/>
      <color rgb="FF2F5496"/>
      <name val="Arial"/>
    </font>
    <font>
      <sz val="10.0"/>
      <color rgb="FF000000"/>
      <name val="Calibri"/>
      <scheme val="minor"/>
    </font>
    <font>
      <color theme="1"/>
      <name val="Calibri"/>
    </font>
    <font>
      <sz val="11.0"/>
      <color theme="1"/>
      <name val="Arial"/>
    </font>
    <font>
      <sz val="11.0"/>
      <color rgb="FFFFFFFF"/>
      <name val="Arial"/>
    </font>
    <font>
      <b/>
      <sz val="11.0"/>
      <color rgb="FF000000"/>
      <name val="Arial"/>
    </font>
    <font>
      <sz val="11.0"/>
      <color rgb="FF404040"/>
      <name val="Arial"/>
    </font>
    <font>
      <b/>
      <sz val="11.0"/>
      <color theme="1"/>
      <name val="Arial"/>
    </font>
    <font>
      <b/>
      <sz val="15.0"/>
      <color rgb="FFFFFFFF"/>
      <name val="Calibri"/>
      <scheme val="minor"/>
    </font>
    <font>
      <sz val="10.0"/>
      <color rgb="FFD9E2F3"/>
      <name val="Calibri"/>
      <scheme val="minor"/>
    </font>
    <font>
      <color rgb="FF1F3864"/>
      <name val="Calibri"/>
      <scheme val="minor"/>
    </font>
    <font>
      <b/>
      <color rgb="FF7F6000"/>
      <name val="Calibri"/>
      <scheme val="minor"/>
    </font>
    <font>
      <i/>
      <sz val="10.0"/>
      <color rgb="FFD9E2F3"/>
      <name val="Calibri"/>
      <scheme val="minor"/>
    </font>
    <font>
      <b/>
      <color rgb="FF000000"/>
      <name val="Calibri"/>
      <scheme val="minor"/>
    </font>
    <font>
      <b/>
      <sz val="14.0"/>
      <color rgb="FF1F3864"/>
      <name val="Arial"/>
    </font>
    <font>
      <b/>
      <sz val="14.0"/>
      <color rgb="FF9C6500"/>
      <name val="Arial"/>
    </font>
    <font>
      <sz val="10.0"/>
      <color rgb="FF2F5496"/>
      <name val="Arial"/>
    </font>
    <font>
      <i/>
      <sz val="10.0"/>
      <color rgb="FF2F5496"/>
      <name val="Arial"/>
    </font>
    <font>
      <b/>
      <sz val="10.0"/>
      <color rgb="FF9C0006"/>
      <name val="Arial"/>
    </font>
    <font>
      <b/>
      <sz val="9.0"/>
      <color rgb="FF1F3864"/>
      <name val="Arial"/>
    </font>
    <font>
      <b/>
      <sz val="12.0"/>
      <color rgb="FF4472C4"/>
      <name val="Arial"/>
    </font>
    <font>
      <b/>
      <sz val="12.0"/>
      <color rgb="FF9C0006"/>
      <name val="Arial"/>
    </font>
    <font>
      <b/>
      <sz val="12.0"/>
      <color rgb="FF006100"/>
      <name val="Arial"/>
    </font>
    <font>
      <b/>
      <sz val="12.0"/>
      <color rgb="FFC65911"/>
      <name val="Arial"/>
    </font>
    <font>
      <b/>
      <sz val="10.0"/>
      <color rgb="FF006100"/>
      <name val="Arial"/>
    </font>
  </fonts>
  <fills count="36">
    <fill>
      <patternFill patternType="none"/>
    </fill>
    <fill>
      <patternFill patternType="lightGray"/>
    </fill>
    <fill>
      <patternFill patternType="solid">
        <fgColor rgb="FF1F3864"/>
        <bgColor rgb="FF1F3864"/>
      </patternFill>
    </fill>
    <fill>
      <patternFill patternType="solid">
        <fgColor rgb="FFDDEBF7"/>
        <bgColor rgb="FFDDEBF7"/>
      </patternFill>
    </fill>
    <fill>
      <patternFill patternType="solid">
        <fgColor rgb="FFF2F2F2"/>
        <bgColor rgb="FFF2F2F2"/>
      </patternFill>
    </fill>
    <fill>
      <patternFill patternType="solid">
        <fgColor rgb="FFFFFFFF"/>
        <bgColor rgb="FFFFFFFF"/>
      </patternFill>
    </fill>
    <fill>
      <patternFill patternType="solid">
        <fgColor rgb="FF990000"/>
        <bgColor rgb="FF990000"/>
      </patternFill>
    </fill>
    <fill>
      <patternFill patternType="solid">
        <fgColor rgb="FF203864"/>
        <bgColor rgb="FF203864"/>
      </patternFill>
    </fill>
    <fill>
      <patternFill patternType="solid">
        <fgColor rgb="FFBF9000"/>
        <bgColor rgb="FFBF9000"/>
      </patternFill>
    </fill>
    <fill>
      <patternFill patternType="solid">
        <fgColor rgb="FF38761D"/>
        <bgColor rgb="FF38761D"/>
      </patternFill>
    </fill>
    <fill>
      <patternFill patternType="solid">
        <fgColor rgb="FFC00000"/>
        <bgColor rgb="FFC00000"/>
      </patternFill>
    </fill>
    <fill>
      <patternFill patternType="solid">
        <fgColor rgb="FFE69138"/>
        <bgColor rgb="FFE69138"/>
      </patternFill>
    </fill>
    <fill>
      <patternFill patternType="solid">
        <fgColor rgb="FFCFE2F3"/>
        <bgColor rgb="FFCFE2F3"/>
      </patternFill>
    </fill>
    <fill>
      <patternFill patternType="solid">
        <fgColor rgb="FFD9E2F3"/>
        <bgColor rgb="FFD9E2F3"/>
      </patternFill>
    </fill>
    <fill>
      <patternFill patternType="solid">
        <fgColor rgb="FFF4CCCC"/>
        <bgColor rgb="FFF4CCCC"/>
      </patternFill>
    </fill>
    <fill>
      <patternFill patternType="solid">
        <fgColor rgb="FFFCE5CD"/>
        <bgColor rgb="FFFCE5CD"/>
      </patternFill>
    </fill>
    <fill>
      <patternFill patternType="solid">
        <fgColor rgb="FF0B8043"/>
        <bgColor rgb="FF0B8043"/>
      </patternFill>
    </fill>
    <fill>
      <patternFill patternType="solid">
        <fgColor rgb="FFD9EAD3"/>
        <bgColor rgb="FFD9EAD3"/>
      </patternFill>
    </fill>
    <fill>
      <patternFill patternType="solid">
        <fgColor rgb="FF1F7A3D"/>
        <bgColor rgb="FF1F7A3D"/>
      </patternFill>
    </fill>
    <fill>
      <patternFill patternType="solid">
        <fgColor rgb="FF0B5394"/>
        <bgColor rgb="FF0B5394"/>
      </patternFill>
    </fill>
    <fill>
      <patternFill patternType="solid">
        <fgColor rgb="FFEEF3FB"/>
        <bgColor rgb="FFEEF3FB"/>
      </patternFill>
    </fill>
    <fill>
      <patternFill patternType="solid">
        <fgColor rgb="FFD9E1F2"/>
        <bgColor rgb="FFD9E1F2"/>
      </patternFill>
    </fill>
    <fill>
      <patternFill patternType="solid">
        <fgColor rgb="FF8EA9DB"/>
        <bgColor rgb="FF8EA9DB"/>
      </patternFill>
    </fill>
    <fill>
      <patternFill patternType="solid">
        <fgColor rgb="FFEAEEF6"/>
        <bgColor rgb="FFEAEEF6"/>
      </patternFill>
    </fill>
    <fill>
      <patternFill patternType="solid">
        <fgColor rgb="FFF8F9FB"/>
        <bgColor rgb="FFF8F9FB"/>
      </patternFill>
    </fill>
    <fill>
      <patternFill patternType="solid">
        <fgColor rgb="FFFDE9D9"/>
        <bgColor rgb="FFFDE9D9"/>
      </patternFill>
    </fill>
    <fill>
      <patternFill patternType="solid">
        <fgColor rgb="FFED7D31"/>
        <bgColor rgb="FFED7D31"/>
      </patternFill>
    </fill>
    <fill>
      <patternFill patternType="solid">
        <fgColor rgb="FFFFD965"/>
        <bgColor rgb="FFFFD965"/>
      </patternFill>
    </fill>
    <fill>
      <patternFill patternType="solid">
        <fgColor rgb="FF548135"/>
        <bgColor rgb="FF548135"/>
      </patternFill>
    </fill>
    <fill>
      <patternFill patternType="solid">
        <fgColor rgb="FFDEEAF6"/>
        <bgColor rgb="FFDEEAF6"/>
      </patternFill>
    </fill>
    <fill>
      <patternFill patternType="solid">
        <fgColor rgb="FFFEF2CB"/>
        <bgColor rgb="FFFEF2CB"/>
      </patternFill>
    </fill>
    <fill>
      <patternFill patternType="solid">
        <fgColor rgb="FFFFF2CC"/>
        <bgColor rgb="FFFFF2CC"/>
      </patternFill>
    </fill>
    <fill>
      <patternFill patternType="solid">
        <fgColor rgb="FFFFFF00"/>
        <bgColor rgb="FFFFFF00"/>
      </patternFill>
    </fill>
    <fill>
      <patternFill patternType="solid">
        <fgColor rgb="FF9CC3E5"/>
        <bgColor rgb="FF9CC3E5"/>
      </patternFill>
    </fill>
    <fill>
      <patternFill patternType="solid">
        <fgColor rgb="FFBF8F00"/>
        <bgColor rgb="FFBF8F00"/>
      </patternFill>
    </fill>
    <fill>
      <patternFill patternType="solid">
        <fgColor rgb="FF666666"/>
        <bgColor rgb="FF666666"/>
      </patternFill>
    </fill>
  </fills>
  <borders count="37">
    <border/>
    <border>
      <left/>
      <top/>
    </border>
    <border>
      <top/>
    </border>
    <border>
      <left/>
      <top/>
      <bottom/>
    </border>
    <border>
      <top/>
      <bottom/>
    </border>
    <border>
      <left/>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medium">
        <color rgb="FFBFBFBF"/>
      </left>
      <right style="thin">
        <color rgb="FFBFBFBF"/>
      </right>
      <top style="medium">
        <color rgb="FFBFBFBF"/>
      </top>
    </border>
    <border>
      <left style="thin">
        <color rgb="FFBFBFBF"/>
      </left>
      <right style="medium">
        <color rgb="FFBFBFBF"/>
      </right>
      <top style="medium">
        <color rgb="FFBFBFBF"/>
      </top>
      <bottom style="thin">
        <color rgb="FFBFBFBF"/>
      </bottom>
    </border>
    <border>
      <left style="thin">
        <color rgb="FFBFBFBF"/>
      </left>
      <top style="medium">
        <color rgb="FFBFBFBF"/>
      </top>
    </border>
    <border>
      <top style="medium">
        <color rgb="FFBFBFBF"/>
      </top>
    </border>
    <border>
      <right style="medium">
        <color rgb="FFBFBFBF"/>
      </right>
      <top style="medium">
        <color rgb="FFBFBFBF"/>
      </top>
    </border>
    <border>
      <left style="medium">
        <color rgb="FFBFBFBF"/>
      </left>
      <right style="thin">
        <color rgb="FFBFBFBF"/>
      </right>
    </border>
    <border>
      <left style="thin">
        <color rgb="FFBFBFBF"/>
      </left>
      <bottom style="thin">
        <color rgb="FFBFBFBF"/>
      </bottom>
    </border>
    <border>
      <bottom style="thin">
        <color rgb="FFBFBFBF"/>
      </bottom>
    </border>
    <border>
      <right style="medium">
        <color rgb="FFBFBFBF"/>
      </right>
      <bottom style="thin">
        <color rgb="FFBFBFBF"/>
      </bottom>
    </border>
    <border>
      <left style="thin">
        <color rgb="FFBFBFBF"/>
      </left>
      <right style="medium">
        <color rgb="FFBFBFBF"/>
      </right>
      <top style="thin">
        <color rgb="FFBFBFBF"/>
      </top>
      <bottom style="thin">
        <color rgb="FFBFBFBF"/>
      </bottom>
    </border>
    <border>
      <right style="medium">
        <color rgb="FFBFBFBF"/>
      </right>
      <top style="thin">
        <color rgb="FFBFBFBF"/>
      </top>
      <bottom style="thin">
        <color rgb="FFBFBFBF"/>
      </bottom>
    </border>
    <border>
      <left style="medium">
        <color rgb="FFBFBFBF"/>
      </left>
      <right style="thin">
        <color rgb="FFBFBFBF"/>
      </right>
      <bottom style="thin">
        <color rgb="FFBFBFBF"/>
      </bottom>
    </border>
    <border>
      <left style="medium">
        <color rgb="FFBFBFBF"/>
      </left>
      <top style="medium">
        <color rgb="FFBFBFBF"/>
      </top>
      <bottom/>
    </border>
    <border>
      <top style="medium">
        <color rgb="FFBFBFBF"/>
      </top>
      <bottom/>
    </border>
    <border>
      <right style="medium">
        <color rgb="FFBFBFBF"/>
      </right>
      <top style="medium">
        <color rgb="FFBFBFBF"/>
      </top>
      <bottom/>
    </border>
    <border>
      <left style="medium">
        <color rgb="FFBFBFBF"/>
      </left>
      <right style="thin">
        <color rgb="FFBFBFBF"/>
      </right>
      <top style="thin">
        <color rgb="FFBFBFBF"/>
      </top>
    </border>
    <border>
      <left style="thin">
        <color rgb="FFBFBFBF"/>
      </left>
      <right style="thin">
        <color rgb="FFBFBFBF"/>
      </right>
      <top style="thin">
        <color rgb="FFBFBFBF"/>
      </top>
    </border>
    <border>
      <left style="thin">
        <color rgb="FFBFBFBF"/>
      </left>
      <right style="thin">
        <color rgb="FFBFBFBF"/>
      </right>
      <bottom style="thin">
        <color rgb="FFBFBFBF"/>
      </bottom>
    </border>
    <border>
      <left style="thin">
        <color rgb="FFBFBFBF"/>
      </left>
      <top style="thin">
        <color rgb="FFBFBFBF"/>
      </top>
    </border>
    <border>
      <left style="medium">
        <color rgb="FFBFBFBF"/>
      </left>
    </border>
    <border>
      <left style="thin">
        <color rgb="FFD9D9D9"/>
      </left>
      <right style="thin">
        <color rgb="FFD9D9D9"/>
      </right>
      <top style="thin">
        <color rgb="FFD9D9D9"/>
      </top>
      <bottom style="thin">
        <color rgb="FFD9D9D9"/>
      </bottom>
    </border>
    <border>
      <left style="medium">
        <color rgb="FFBFBFBF"/>
      </left>
      <right style="medium">
        <color rgb="FFBFBFBF"/>
      </right>
      <top style="medium">
        <color rgb="FFBFBFBF"/>
      </top>
      <bottom/>
    </border>
    <border>
      <left style="medium">
        <color rgb="FFBFBFBF"/>
      </left>
      <right style="hair">
        <color rgb="FFBFBFBF"/>
      </right>
      <top/>
      <bottom style="hair">
        <color rgb="FFBFBFBF"/>
      </bottom>
    </border>
    <border>
      <left style="hair">
        <color rgb="FFBFBFBF"/>
      </left>
      <right style="hair">
        <color rgb="FFBFBFBF"/>
      </right>
      <top/>
      <bottom style="hair">
        <color rgb="FFBFBFBF"/>
      </bottom>
    </border>
    <border>
      <left style="hair">
        <color rgb="FFBFBFBF"/>
      </left>
      <right style="medium">
        <color rgb="FFBFBFBF"/>
      </right>
      <top/>
      <bottom style="hair">
        <color rgb="FFBFBFBF"/>
      </bottom>
    </border>
    <border>
      <left/>
      <right/>
    </border>
  </borders>
  <cellStyleXfs count="1">
    <xf borderId="0" fillId="0" fontId="0" numFmtId="0" applyAlignment="1" applyFont="1"/>
  </cellStyleXfs>
  <cellXfs count="45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xf>
    <xf borderId="0" fillId="4" fontId="3" numFmtId="0" xfId="0" applyAlignment="1" applyFill="1" applyFont="1">
      <alignment horizontal="center" readingOrder="0"/>
    </xf>
    <xf borderId="0" fillId="5" fontId="4" numFmtId="0" xfId="0" applyAlignment="1" applyFill="1" applyFont="1">
      <alignment horizontal="center"/>
    </xf>
    <xf borderId="0" fillId="5" fontId="5" numFmtId="0" xfId="0" applyAlignment="1" applyFont="1">
      <alignment horizontal="center"/>
    </xf>
    <xf borderId="0" fillId="5" fontId="6" numFmtId="0" xfId="0" applyAlignment="1" applyFont="1">
      <alignment horizontal="center"/>
    </xf>
    <xf borderId="0" fillId="5" fontId="7" numFmtId="0" xfId="0" applyAlignment="1" applyFont="1">
      <alignment horizontal="center"/>
    </xf>
    <xf borderId="0" fillId="5" fontId="8" numFmtId="0" xfId="0" applyAlignment="1" applyFont="1">
      <alignment horizontal="center"/>
    </xf>
    <xf borderId="0" fillId="6" fontId="9" numFmtId="0" xfId="0" applyAlignment="1" applyFill="1" applyFont="1">
      <alignment horizontal="center" readingOrder="0" vertical="center"/>
    </xf>
    <xf borderId="0" fillId="7" fontId="9" numFmtId="0" xfId="0" applyAlignment="1" applyFill="1" applyFont="1">
      <alignment horizontal="center" readingOrder="0" vertical="center"/>
    </xf>
    <xf borderId="0" fillId="0" fontId="10" numFmtId="0" xfId="0" applyAlignment="1" applyFont="1">
      <alignment vertical="center"/>
    </xf>
    <xf borderId="0" fillId="0" fontId="10" numFmtId="0" xfId="0" applyAlignment="1" applyFont="1">
      <alignment shrinkToFit="0" vertical="center" wrapText="0"/>
    </xf>
    <xf borderId="0" fillId="0" fontId="10" numFmtId="0" xfId="0" applyAlignment="1" applyFont="1">
      <alignment shrinkToFit="0" vertical="center" wrapText="1"/>
    </xf>
    <xf borderId="0" fillId="0" fontId="10" numFmtId="164" xfId="0" applyAlignment="1" applyFont="1" applyNumberFormat="1">
      <alignment vertical="center"/>
    </xf>
    <xf borderId="0" fillId="0" fontId="10" numFmtId="0" xfId="0" applyAlignment="1" applyFont="1">
      <alignment vertical="center"/>
    </xf>
    <xf borderId="0" fillId="0" fontId="10" numFmtId="0" xfId="0" applyAlignment="1" applyFont="1">
      <alignment shrinkToFit="0" vertical="center" wrapText="0"/>
    </xf>
    <xf borderId="0" fillId="0" fontId="10" numFmtId="0" xfId="0" applyAlignment="1" applyFont="1">
      <alignment shrinkToFit="0" vertical="center" wrapText="1"/>
    </xf>
    <xf borderId="0" fillId="8" fontId="9" numFmtId="0" xfId="0" applyAlignment="1" applyFill="1" applyFont="1">
      <alignment horizontal="center" readingOrder="0" vertical="center"/>
    </xf>
    <xf borderId="0" fillId="7" fontId="9" numFmtId="0" xfId="0" applyAlignment="1" applyFont="1">
      <alignment horizontal="center" readingOrder="0" shrinkToFit="0" vertical="center" wrapText="0"/>
    </xf>
    <xf borderId="0" fillId="7" fontId="9" numFmtId="0" xfId="0" applyAlignment="1" applyFont="1">
      <alignment horizontal="center" readingOrder="0" shrinkToFit="0" vertical="center" wrapText="1"/>
    </xf>
    <xf borderId="0" fillId="7" fontId="9" numFmtId="164" xfId="0" applyAlignment="1" applyFont="1" applyNumberFormat="1">
      <alignment horizontal="center" readingOrder="0" vertical="center"/>
    </xf>
    <xf borderId="0" fillId="9" fontId="9" numFmtId="0" xfId="0" applyAlignment="1" applyFill="1" applyFont="1">
      <alignment horizontal="center" readingOrder="0" vertical="center"/>
    </xf>
    <xf borderId="0" fillId="0" fontId="10" numFmtId="165" xfId="0" applyAlignment="1" applyFont="1" applyNumberFormat="1">
      <alignment shrinkToFit="0" vertical="center" wrapText="1"/>
    </xf>
    <xf borderId="0" fillId="10" fontId="11" numFmtId="0" xfId="0" applyAlignment="1" applyFill="1" applyFont="1">
      <alignment horizontal="center" readingOrder="0" vertical="center"/>
    </xf>
    <xf borderId="0" fillId="2" fontId="12" numFmtId="0" xfId="0" applyAlignment="1" applyFont="1">
      <alignment horizontal="center" readingOrder="0" vertical="center"/>
    </xf>
    <xf borderId="0" fillId="2" fontId="13" numFmtId="0" xfId="0" applyAlignment="1" applyFont="1">
      <alignment horizontal="center" readingOrder="0" vertical="center"/>
    </xf>
    <xf borderId="0" fillId="0" fontId="14" numFmtId="0" xfId="0" applyAlignment="1" applyFont="1">
      <alignment horizontal="center"/>
    </xf>
    <xf borderId="0" fillId="0" fontId="14" numFmtId="9" xfId="0" applyAlignment="1" applyFont="1" applyNumberFormat="1">
      <alignment horizontal="center"/>
    </xf>
    <xf borderId="0" fillId="2" fontId="15" numFmtId="0" xfId="0" applyAlignment="1" applyFont="1">
      <alignment horizontal="center" readingOrder="0" vertical="center"/>
    </xf>
    <xf borderId="0" fillId="10" fontId="15" numFmtId="0" xfId="0" applyAlignment="1" applyFont="1">
      <alignment horizontal="center" readingOrder="0" vertical="center"/>
    </xf>
    <xf borderId="0" fillId="11" fontId="15" numFmtId="0" xfId="0" applyAlignment="1" applyFill="1" applyFont="1">
      <alignment horizontal="center" readingOrder="0" vertical="center"/>
    </xf>
    <xf borderId="0" fillId="12" fontId="16" numFmtId="0" xfId="0" applyAlignment="1" applyFill="1" applyFont="1">
      <alignment readingOrder="0" shrinkToFit="0" wrapText="0"/>
    </xf>
    <xf borderId="0" fillId="13" fontId="16" numFmtId="0" xfId="0" applyAlignment="1" applyFill="1" applyFont="1">
      <alignment horizontal="center" readingOrder="0" shrinkToFit="0" wrapText="0"/>
    </xf>
    <xf borderId="0" fillId="14" fontId="16" numFmtId="0" xfId="0" applyAlignment="1" applyFill="1" applyFont="1">
      <alignment readingOrder="0" shrinkToFit="0" wrapText="0"/>
    </xf>
    <xf borderId="0" fillId="0" fontId="10" numFmtId="0" xfId="0" applyAlignment="1" applyFont="1">
      <alignment shrinkToFit="0" wrapText="0"/>
    </xf>
    <xf borderId="0" fillId="15" fontId="16" numFmtId="0" xfId="0" applyAlignment="1" applyFill="1" applyFont="1">
      <alignment readingOrder="0" shrinkToFit="0" wrapText="0"/>
    </xf>
    <xf borderId="0" fillId="0" fontId="10" numFmtId="0" xfId="0" applyAlignment="1" applyFont="1">
      <alignment readingOrder="0" shrinkToFit="0" wrapText="0"/>
    </xf>
    <xf borderId="0" fillId="0" fontId="10" numFmtId="9" xfId="0" applyAlignment="1" applyFont="1" applyNumberFormat="1">
      <alignment shrinkToFit="0" wrapText="0"/>
    </xf>
    <xf borderId="0" fillId="0" fontId="17" numFmtId="0" xfId="0" applyAlignment="1" applyFont="1">
      <alignment shrinkToFit="0" wrapText="0"/>
    </xf>
    <xf borderId="0" fillId="0" fontId="18" numFmtId="0" xfId="0" applyAlignment="1" applyFont="1">
      <alignment shrinkToFit="0" wrapText="0"/>
    </xf>
    <xf borderId="0" fillId="0" fontId="18" numFmtId="166" xfId="0" applyAlignment="1" applyFont="1" applyNumberFormat="1">
      <alignment shrinkToFit="0" wrapText="0"/>
    </xf>
    <xf borderId="0" fillId="0" fontId="10" numFmtId="1" xfId="0" applyAlignment="1" applyFont="1" applyNumberFormat="1">
      <alignment shrinkToFit="0" wrapText="0"/>
    </xf>
    <xf borderId="0" fillId="0" fontId="10" numFmtId="49" xfId="0" applyFont="1" applyNumberFormat="1"/>
    <xf borderId="0" fillId="0" fontId="10" numFmtId="0" xfId="0" applyFont="1"/>
    <xf borderId="0" fillId="0" fontId="10" numFmtId="164" xfId="0" applyFont="1" applyNumberFormat="1"/>
    <xf borderId="0" fillId="0" fontId="10" numFmtId="166" xfId="0" applyAlignment="1" applyFont="1" applyNumberFormat="1">
      <alignment shrinkToFit="0" wrapText="0"/>
    </xf>
    <xf borderId="0" fillId="10" fontId="15" numFmtId="0" xfId="0" applyAlignment="1" applyFont="1">
      <alignment horizontal="center" readingOrder="0" shrinkToFit="0" vertical="center" wrapText="0"/>
    </xf>
    <xf borderId="0" fillId="16" fontId="15" numFmtId="0" xfId="0" applyAlignment="1" applyFill="1" applyFont="1">
      <alignment horizontal="center" readingOrder="0" shrinkToFit="0" vertical="center" wrapText="0"/>
    </xf>
    <xf borderId="0" fillId="2" fontId="15" numFmtId="0" xfId="0" applyAlignment="1" applyFont="1">
      <alignment horizontal="center" readingOrder="0" shrinkToFit="0" vertical="center" wrapText="0"/>
    </xf>
    <xf borderId="0" fillId="17" fontId="16" numFmtId="0" xfId="0" applyAlignment="1" applyFill="1" applyFont="1">
      <alignment readingOrder="0" shrinkToFit="0" wrapText="0"/>
    </xf>
    <xf borderId="0" fillId="17" fontId="16" numFmtId="0" xfId="0" applyAlignment="1" applyFont="1">
      <alignment shrinkToFit="0" wrapText="0"/>
    </xf>
    <xf borderId="0" fillId="13" fontId="19" numFmtId="0" xfId="0" applyAlignment="1" applyFont="1">
      <alignment readingOrder="0" shrinkToFit="0" wrapText="0"/>
    </xf>
    <xf borderId="0" fillId="13" fontId="16" numFmtId="0" xfId="0" applyAlignment="1" applyFont="1">
      <alignment shrinkToFit="0" wrapText="0"/>
    </xf>
    <xf borderId="0" fillId="0" fontId="10" numFmtId="165" xfId="0" applyAlignment="1" applyFont="1" applyNumberFormat="1">
      <alignment shrinkToFit="0" wrapText="0"/>
    </xf>
    <xf borderId="0" fillId="0" fontId="18" numFmtId="0" xfId="0" applyAlignment="1" applyFont="1">
      <alignment readingOrder="0" shrinkToFit="0" wrapText="0"/>
    </xf>
    <xf borderId="0" fillId="0" fontId="20" numFmtId="0" xfId="0" applyAlignment="1" applyFont="1">
      <alignment shrinkToFit="0" wrapText="0"/>
    </xf>
    <xf borderId="0" fillId="0" fontId="18" numFmtId="9" xfId="0" applyAlignment="1" applyFont="1" applyNumberFormat="1">
      <alignment shrinkToFit="0" wrapText="0"/>
    </xf>
    <xf borderId="0" fillId="0" fontId="10" numFmtId="0" xfId="0" applyAlignment="1" applyFont="1">
      <alignment readingOrder="0"/>
    </xf>
    <xf borderId="0" fillId="0" fontId="10" numFmtId="167" xfId="0" applyAlignment="1" applyFont="1" applyNumberFormat="1">
      <alignment readingOrder="0"/>
    </xf>
    <xf borderId="0" fillId="0" fontId="10" numFmtId="168" xfId="0" applyAlignment="1" applyFont="1" applyNumberFormat="1">
      <alignment readingOrder="0"/>
    </xf>
    <xf borderId="0" fillId="0" fontId="14" numFmtId="0" xfId="0" applyAlignment="1" applyFont="1">
      <alignment readingOrder="0"/>
    </xf>
    <xf borderId="0" fillId="0" fontId="21" numFmtId="0" xfId="0" applyFont="1"/>
    <xf borderId="0" fillId="18" fontId="13" numFmtId="0" xfId="0" applyAlignment="1" applyFill="1" applyFont="1">
      <alignment horizontal="center" readingOrder="0" vertical="center"/>
    </xf>
    <xf borderId="0" fillId="6" fontId="13" numFmtId="0" xfId="0" applyAlignment="1" applyFont="1">
      <alignment horizontal="center" readingOrder="0" vertical="center"/>
    </xf>
    <xf borderId="0" fillId="8" fontId="13" numFmtId="0" xfId="0" applyAlignment="1" applyFont="1">
      <alignment horizontal="center" readingOrder="0" vertical="center"/>
    </xf>
    <xf borderId="0" fillId="19" fontId="13" numFmtId="0" xfId="0" applyAlignment="1" applyFill="1" applyFont="1">
      <alignment horizontal="center" readingOrder="0" vertical="center"/>
    </xf>
    <xf borderId="0" fillId="20" fontId="22" numFmtId="169" xfId="0" applyAlignment="1" applyFill="1" applyFont="1" applyNumberFormat="1">
      <alignment horizontal="center" vertical="center"/>
    </xf>
    <xf borderId="0" fillId="20" fontId="22" numFmtId="0" xfId="0" applyAlignment="1" applyFont="1">
      <alignment horizontal="center" vertical="center"/>
    </xf>
    <xf borderId="0" fillId="20" fontId="23" numFmtId="1" xfId="0" applyAlignment="1" applyFont="1" applyNumberFormat="1">
      <alignment horizontal="center" vertical="center"/>
    </xf>
    <xf borderId="0" fillId="20" fontId="24" numFmtId="1" xfId="0" applyAlignment="1" applyFont="1" applyNumberFormat="1">
      <alignment horizontal="center" vertical="center"/>
    </xf>
    <xf borderId="0" fillId="20" fontId="25" numFmtId="0" xfId="0" applyAlignment="1" applyFont="1">
      <alignment horizontal="center" vertical="center"/>
    </xf>
    <xf borderId="0" fillId="2" fontId="15" numFmtId="0" xfId="0" applyAlignment="1" applyFont="1">
      <alignment horizontal="left" readingOrder="0" vertical="center"/>
    </xf>
    <xf borderId="0" fillId="21" fontId="26" numFmtId="0" xfId="0" applyAlignment="1" applyFill="1" applyFont="1">
      <alignment horizontal="center" readingOrder="0"/>
    </xf>
    <xf borderId="0" fillId="21" fontId="26" numFmtId="0" xfId="0" applyAlignment="1" applyFont="1">
      <alignment horizontal="center"/>
    </xf>
    <xf borderId="0" fillId="0" fontId="27" numFmtId="0" xfId="0" applyAlignment="1" applyFont="1">
      <alignment readingOrder="0"/>
    </xf>
    <xf borderId="0" fillId="0" fontId="10" numFmtId="169" xfId="0" applyFont="1" applyNumberFormat="1"/>
    <xf borderId="0" fillId="0" fontId="28" numFmtId="0" xfId="0" applyFont="1"/>
    <xf borderId="0" fillId="0" fontId="10" numFmtId="9" xfId="0" applyFont="1" applyNumberFormat="1"/>
    <xf borderId="0" fillId="0" fontId="29" numFmtId="0" xfId="0" applyAlignment="1" applyFont="1">
      <alignment readingOrder="0"/>
    </xf>
    <xf borderId="0" fillId="0" fontId="30" numFmtId="0" xfId="0" applyFont="1"/>
    <xf borderId="0" fillId="0" fontId="31" numFmtId="0" xfId="0" applyAlignment="1" applyFont="1">
      <alignment readingOrder="0"/>
    </xf>
    <xf borderId="0" fillId="0" fontId="32" numFmtId="0" xfId="0" applyFont="1"/>
    <xf borderId="0" fillId="0" fontId="33" numFmtId="0" xfId="0" applyFont="1"/>
    <xf borderId="0" fillId="0" fontId="34" numFmtId="0" xfId="0" applyFont="1"/>
    <xf borderId="0" fillId="6" fontId="15" numFmtId="0" xfId="0" applyAlignment="1" applyFont="1">
      <alignment horizontal="left" readingOrder="0" vertical="center"/>
    </xf>
    <xf borderId="0" fillId="0" fontId="16" numFmtId="170" xfId="0" applyAlignment="1" applyFont="1" applyNumberFormat="1">
      <alignment horizontal="right"/>
    </xf>
    <xf borderId="0" fillId="0" fontId="16" numFmtId="0" xfId="0" applyAlignment="1" applyFont="1">
      <alignment horizontal="right"/>
    </xf>
    <xf borderId="0" fillId="9" fontId="15" numFmtId="0" xfId="0" applyAlignment="1" applyFont="1">
      <alignment horizontal="left" readingOrder="0" vertical="center"/>
    </xf>
    <xf borderId="1" fillId="10" fontId="35" numFmtId="0" xfId="0" applyAlignment="1" applyBorder="1" applyFont="1">
      <alignment horizontal="center" shrinkToFit="0" vertical="center" wrapText="1"/>
    </xf>
    <xf borderId="2" fillId="0" fontId="36" numFmtId="0" xfId="0" applyBorder="1" applyFont="1"/>
    <xf borderId="3" fillId="2" fontId="37" numFmtId="0" xfId="0" applyAlignment="1" applyBorder="1" applyFont="1">
      <alignment horizontal="left" vertical="center"/>
    </xf>
    <xf borderId="4" fillId="0" fontId="36" numFmtId="0" xfId="0" applyBorder="1" applyFont="1"/>
    <xf borderId="5" fillId="0" fontId="36" numFmtId="0" xfId="0" applyBorder="1" applyFont="1"/>
    <xf borderId="3" fillId="2" fontId="38" numFmtId="0" xfId="0" applyAlignment="1" applyBorder="1" applyFont="1">
      <alignment horizontal="left" vertical="center"/>
    </xf>
    <xf borderId="6" fillId="22" fontId="39" numFmtId="0" xfId="0" applyBorder="1" applyFill="1" applyFont="1"/>
    <xf borderId="7" fillId="23" fontId="40" numFmtId="0" xfId="0" applyAlignment="1" applyBorder="1" applyFill="1" applyFont="1">
      <alignment horizontal="center" shrinkToFit="0" vertical="center" wrapText="1"/>
    </xf>
    <xf borderId="8" fillId="0" fontId="36" numFmtId="0" xfId="0" applyBorder="1" applyFont="1"/>
    <xf borderId="9" fillId="0" fontId="36" numFmtId="0" xfId="0" applyBorder="1" applyFont="1"/>
    <xf borderId="10" fillId="23" fontId="40" numFmtId="0" xfId="0" applyAlignment="1" applyBorder="1" applyFont="1">
      <alignment horizontal="center" shrinkToFit="0" vertical="center" wrapText="1"/>
    </xf>
    <xf borderId="10" fillId="23" fontId="40" numFmtId="0" xfId="0" applyAlignment="1" applyBorder="1" applyFont="1">
      <alignment horizontal="center" readingOrder="0" shrinkToFit="0" vertical="center" wrapText="1"/>
    </xf>
    <xf borderId="7" fillId="5" fontId="41" numFmtId="0" xfId="0" applyAlignment="1" applyBorder="1" applyFont="1">
      <alignment horizontal="center" shrinkToFit="0" vertical="center" wrapText="1"/>
    </xf>
    <xf borderId="7" fillId="5" fontId="42" numFmtId="0" xfId="0" applyAlignment="1" applyBorder="1" applyFont="1">
      <alignment horizontal="center" shrinkToFit="0" vertical="center" wrapText="1"/>
    </xf>
    <xf borderId="10" fillId="5" fontId="42" numFmtId="0" xfId="0" applyAlignment="1" applyBorder="1" applyFont="1">
      <alignment horizontal="center" shrinkToFit="0" vertical="center" wrapText="1"/>
    </xf>
    <xf borderId="7" fillId="5" fontId="43" numFmtId="0" xfId="0" applyAlignment="1" applyBorder="1" applyFont="1">
      <alignment horizontal="center" shrinkToFit="0" vertical="center" wrapText="1"/>
    </xf>
    <xf borderId="7" fillId="5" fontId="44" numFmtId="0" xfId="0" applyAlignment="1" applyBorder="1" applyFont="1">
      <alignment horizontal="center" shrinkToFit="0" vertical="center" wrapText="1"/>
    </xf>
    <xf borderId="10" fillId="5" fontId="45" numFmtId="0" xfId="0" applyAlignment="1" applyBorder="1" applyFont="1">
      <alignment horizontal="center" shrinkToFit="0" vertical="center" wrapText="1"/>
    </xf>
    <xf borderId="10" fillId="5" fontId="41" numFmtId="9" xfId="0" applyAlignment="1" applyBorder="1" applyFont="1" applyNumberFormat="1">
      <alignment horizontal="center" shrinkToFit="0" vertical="center" wrapText="1"/>
    </xf>
    <xf borderId="10" fillId="5" fontId="46" numFmtId="0" xfId="0" applyAlignment="1" applyBorder="1" applyFont="1">
      <alignment horizontal="center" shrinkToFit="0" vertical="center" wrapText="1"/>
    </xf>
    <xf borderId="10" fillId="2" fontId="47" numFmtId="0" xfId="0" applyAlignment="1" applyBorder="1" applyFont="1">
      <alignment horizontal="center" shrinkToFit="0" vertical="center" wrapText="1"/>
    </xf>
    <xf borderId="10" fillId="7" fontId="47" numFmtId="0" xfId="0" applyAlignment="1" applyBorder="1" applyFont="1">
      <alignment horizontal="center" readingOrder="0" shrinkToFit="0" vertical="center" wrapText="1"/>
    </xf>
    <xf borderId="10" fillId="0" fontId="40" numFmtId="49" xfId="0" applyAlignment="1" applyBorder="1" applyFont="1" applyNumberFormat="1">
      <alignment horizontal="center" readingOrder="0" shrinkToFit="0" vertical="center" wrapText="1"/>
    </xf>
    <xf borderId="10" fillId="0" fontId="48" numFmtId="0" xfId="0" applyAlignment="1" applyBorder="1" applyFont="1">
      <alignment horizontal="left" shrinkToFit="0" vertical="center" wrapText="1"/>
    </xf>
    <xf borderId="10" fillId="0" fontId="48" numFmtId="0" xfId="0" applyAlignment="1" applyBorder="1" applyFont="1">
      <alignment horizontal="center" shrinkToFit="0" vertical="center" wrapText="1"/>
    </xf>
    <xf borderId="10" fillId="0" fontId="48" numFmtId="164" xfId="0" applyAlignment="1" applyBorder="1" applyFont="1" applyNumberFormat="1">
      <alignment horizontal="center" shrinkToFit="0" vertical="center" wrapText="1"/>
    </xf>
    <xf borderId="10" fillId="24" fontId="49" numFmtId="0" xfId="0" applyAlignment="1" applyBorder="1" applyFill="1" applyFont="1">
      <alignment horizontal="center" shrinkToFit="0" vertical="center" wrapText="1"/>
    </xf>
    <xf borderId="10" fillId="0" fontId="39" numFmtId="9" xfId="0" applyAlignment="1" applyBorder="1" applyFont="1" applyNumberFormat="1">
      <alignment horizontal="center" shrinkToFit="0" vertical="center" wrapText="1"/>
    </xf>
    <xf borderId="10" fillId="24" fontId="48" numFmtId="0" xfId="0" applyAlignment="1" applyBorder="1" applyFont="1">
      <alignment horizontal="center" shrinkToFit="0" vertical="center" wrapText="1"/>
    </xf>
    <xf borderId="10" fillId="0" fontId="39" numFmtId="0" xfId="0" applyAlignment="1" applyBorder="1" applyFont="1">
      <alignment horizontal="left" shrinkToFit="0" vertical="center" wrapText="1"/>
    </xf>
    <xf borderId="10" fillId="0" fontId="50" numFmtId="0" xfId="0" applyAlignment="1" applyBorder="1" applyFont="1">
      <alignment horizontal="center" shrinkToFit="0" vertical="center" wrapText="1"/>
    </xf>
    <xf borderId="0" fillId="0" fontId="10" numFmtId="9" xfId="0" applyAlignment="1" applyFont="1" applyNumberFormat="1">
      <alignment vertical="center"/>
    </xf>
    <xf borderId="10" fillId="0" fontId="48" numFmtId="164" xfId="0" applyAlignment="1" applyBorder="1" applyFont="1" applyNumberFormat="1">
      <alignment horizontal="center" readingOrder="0" shrinkToFit="0" vertical="center" wrapText="1"/>
    </xf>
    <xf borderId="10" fillId="0" fontId="48" numFmtId="49" xfId="0" applyAlignment="1" applyBorder="1" applyFont="1" applyNumberFormat="1">
      <alignment horizontal="center" shrinkToFit="0" vertical="center" wrapText="1"/>
    </xf>
    <xf borderId="10" fillId="0" fontId="48" numFmtId="9" xfId="0" applyAlignment="1" applyBorder="1" applyFont="1" applyNumberFormat="1">
      <alignment horizontal="center" shrinkToFit="0" vertical="center" wrapText="1"/>
    </xf>
    <xf borderId="10" fillId="5" fontId="48" numFmtId="49" xfId="0" applyAlignment="1" applyBorder="1" applyFont="1" applyNumberFormat="1">
      <alignment horizontal="center" readingOrder="0" shrinkToFit="0" vertical="center" wrapText="1"/>
    </xf>
    <xf borderId="10" fillId="5" fontId="48" numFmtId="0" xfId="0" applyAlignment="1" applyBorder="1" applyFont="1">
      <alignment horizontal="left" readingOrder="0" shrinkToFit="0" vertical="center" wrapText="1"/>
    </xf>
    <xf borderId="10" fillId="5" fontId="48" numFmtId="0" xfId="0" applyAlignment="1" applyBorder="1" applyFont="1">
      <alignment horizontal="center" readingOrder="0" shrinkToFit="0" vertical="center" wrapText="1"/>
    </xf>
    <xf borderId="10" fillId="5" fontId="48" numFmtId="164" xfId="0" applyAlignment="1" applyBorder="1" applyFont="1" applyNumberFormat="1">
      <alignment horizontal="center" readingOrder="0" shrinkToFit="0" vertical="center" wrapText="1"/>
    </xf>
    <xf borderId="10" fillId="5" fontId="48" numFmtId="9" xfId="0" applyAlignment="1" applyBorder="1" applyFont="1" applyNumberFormat="1">
      <alignment horizontal="center" readingOrder="0" shrinkToFit="0" vertical="center" wrapText="1"/>
    </xf>
    <xf borderId="10" fillId="5" fontId="48" numFmtId="0" xfId="0" applyAlignment="1" applyBorder="1" applyFont="1">
      <alignment horizontal="center" shrinkToFit="0" vertical="center" wrapText="1"/>
    </xf>
    <xf borderId="10" fillId="5" fontId="48" numFmtId="0" xfId="0" applyAlignment="1" applyBorder="1" applyFont="1">
      <alignment horizontal="left" shrinkToFit="0" vertical="center" wrapText="1"/>
    </xf>
    <xf borderId="10" fillId="25" fontId="51" numFmtId="0" xfId="0" applyAlignment="1" applyBorder="1" applyFill="1" applyFont="1">
      <alignment horizontal="center" shrinkToFit="0" vertical="center" wrapText="1"/>
    </xf>
    <xf borderId="0" fillId="0" fontId="10" numFmtId="164" xfId="0" applyAlignment="1" applyFont="1" applyNumberFormat="1">
      <alignment horizontal="center" vertical="center"/>
    </xf>
    <xf borderId="7" fillId="26" fontId="52" numFmtId="0" xfId="0" applyAlignment="1" applyBorder="1" applyFill="1" applyFont="1">
      <alignment horizontal="center" shrinkToFit="0" vertical="center" wrapText="1"/>
    </xf>
    <xf borderId="10" fillId="25" fontId="53" numFmtId="0" xfId="0" applyAlignment="1" applyBorder="1" applyFont="1">
      <alignment horizontal="center" shrinkToFit="0" vertical="center" wrapText="1"/>
    </xf>
    <xf borderId="10" fillId="25" fontId="53" numFmtId="164" xfId="0" applyAlignment="1" applyBorder="1" applyFont="1" applyNumberFormat="1">
      <alignment horizontal="center" shrinkToFit="0" vertical="center" wrapText="1"/>
    </xf>
    <xf borderId="0" fillId="0" fontId="54" numFmtId="0" xfId="0" applyAlignment="1" applyFont="1">
      <alignment horizontal="left" shrinkToFit="0" vertical="center" wrapText="1"/>
    </xf>
    <xf borderId="0" fillId="10" fontId="55" numFmtId="0" xfId="0" applyAlignment="1" applyFont="1">
      <alignment horizontal="center" readingOrder="0" shrinkToFit="0" vertical="center" wrapText="1"/>
    </xf>
    <xf borderId="0" fillId="2" fontId="55" numFmtId="0" xfId="0" applyAlignment="1" applyFont="1">
      <alignment readingOrder="0"/>
    </xf>
    <xf borderId="0" fillId="2" fontId="56" numFmtId="0" xfId="0" applyAlignment="1" applyFont="1">
      <alignment readingOrder="0"/>
    </xf>
    <xf borderId="0" fillId="3" fontId="57" numFmtId="0" xfId="0" applyAlignment="1" applyFont="1">
      <alignment horizontal="center" readingOrder="0"/>
    </xf>
    <xf borderId="0" fillId="5" fontId="58" numFmtId="0" xfId="0" applyAlignment="1" applyFont="1">
      <alignment horizontal="center"/>
    </xf>
    <xf borderId="0" fillId="5" fontId="59" numFmtId="0" xfId="0" applyAlignment="1" applyFont="1">
      <alignment horizontal="center"/>
    </xf>
    <xf borderId="0" fillId="5" fontId="60" numFmtId="0" xfId="0" applyAlignment="1" applyFont="1">
      <alignment horizontal="center"/>
    </xf>
    <xf borderId="0" fillId="5" fontId="61" numFmtId="0" xfId="0" applyAlignment="1" applyFont="1">
      <alignment horizontal="center"/>
    </xf>
    <xf borderId="0" fillId="5" fontId="62" numFmtId="0" xfId="0" applyAlignment="1" applyFont="1">
      <alignment horizontal="center"/>
    </xf>
    <xf borderId="0" fillId="2" fontId="63" numFmtId="0" xfId="0" applyAlignment="1" applyFont="1">
      <alignment horizontal="center" readingOrder="0" shrinkToFit="0" vertical="center" wrapText="1"/>
    </xf>
    <xf borderId="0" fillId="7" fontId="63" numFmtId="0" xfId="0" applyAlignment="1" applyFont="1">
      <alignment horizontal="center" readingOrder="0" shrinkToFit="0" vertical="center" wrapText="1"/>
    </xf>
    <xf borderId="0" fillId="2" fontId="63" numFmtId="49" xfId="0" applyAlignment="1" applyFont="1" applyNumberFormat="1">
      <alignment horizontal="center" readingOrder="0" shrinkToFit="0" vertical="center" wrapText="1"/>
    </xf>
    <xf borderId="0" fillId="2" fontId="63" numFmtId="171" xfId="0" applyAlignment="1" applyFont="1" applyNumberFormat="1">
      <alignment horizontal="center" readingOrder="0" shrinkToFit="0" vertical="center" wrapText="1"/>
    </xf>
    <xf borderId="10" fillId="0" fontId="48" numFmtId="49" xfId="0" applyAlignment="1" applyBorder="1" applyFont="1" applyNumberFormat="1">
      <alignment horizontal="left" readingOrder="0" shrinkToFit="0" vertical="center" wrapText="0"/>
    </xf>
    <xf borderId="10" fillId="0" fontId="48" numFmtId="0" xfId="0" applyAlignment="1" applyBorder="1" applyFont="1">
      <alignment horizontal="left" readingOrder="0" shrinkToFit="0" vertical="center" wrapText="0"/>
    </xf>
    <xf borderId="10" fillId="0" fontId="48" numFmtId="0" xfId="0" applyAlignment="1" applyBorder="1" applyFont="1">
      <alignment horizontal="left" readingOrder="0" shrinkToFit="0" vertical="center" wrapText="1"/>
    </xf>
    <xf borderId="10" fillId="0" fontId="48" numFmtId="164" xfId="0" applyAlignment="1" applyBorder="1" applyFont="1" applyNumberFormat="1">
      <alignment horizontal="left" readingOrder="0" shrinkToFit="0" vertical="center" wrapText="0"/>
    </xf>
    <xf borderId="10" fillId="0" fontId="48" numFmtId="9" xfId="0" applyAlignment="1" applyBorder="1" applyFont="1" applyNumberFormat="1">
      <alignment horizontal="left" readingOrder="0" shrinkToFit="0" vertical="center" wrapText="0"/>
    </xf>
    <xf borderId="10" fillId="0" fontId="48" numFmtId="0" xfId="0" applyAlignment="1" applyBorder="1" applyFont="1">
      <alignment horizontal="left" shrinkToFit="0" vertical="center" wrapText="0"/>
    </xf>
    <xf borderId="10" fillId="0" fontId="48" numFmtId="164" xfId="0" applyAlignment="1" applyBorder="1" applyFont="1" applyNumberFormat="1">
      <alignment horizontal="left" shrinkToFit="0" vertical="center" wrapText="0"/>
    </xf>
    <xf borderId="10" fillId="0" fontId="48" numFmtId="9" xfId="0" applyAlignment="1" applyBorder="1" applyFont="1" applyNumberFormat="1">
      <alignment horizontal="left" shrinkToFit="0" vertical="center" wrapText="0"/>
    </xf>
    <xf borderId="10" fillId="0" fontId="48" numFmtId="49" xfId="0" applyAlignment="1" applyBorder="1" applyFont="1" applyNumberFormat="1">
      <alignment horizontal="left" shrinkToFit="0" vertical="center" wrapText="0"/>
    </xf>
    <xf borderId="0" fillId="0" fontId="10" numFmtId="0" xfId="0" applyAlignment="1" applyFont="1">
      <alignment shrinkToFit="0" wrapText="1"/>
    </xf>
    <xf borderId="10" fillId="0" fontId="64" numFmtId="0" xfId="0" applyAlignment="1" applyBorder="1" applyFont="1">
      <alignment horizontal="left" readingOrder="0" shrinkToFit="0" vertical="center" wrapText="1"/>
    </xf>
    <xf borderId="10" fillId="0" fontId="65" numFmtId="49" xfId="0" applyAlignment="1" applyBorder="1" applyFont="1" applyNumberFormat="1">
      <alignment shrinkToFit="0" wrapText="0"/>
    </xf>
    <xf borderId="10" fillId="0" fontId="65" numFmtId="0" xfId="0" applyAlignment="1" applyBorder="1" applyFont="1">
      <alignment shrinkToFit="0" wrapText="0"/>
    </xf>
    <xf borderId="10" fillId="0" fontId="65" numFmtId="0" xfId="0" applyAlignment="1" applyBorder="1" applyFont="1">
      <alignment readingOrder="0" shrinkToFit="0" wrapText="1"/>
    </xf>
    <xf borderId="10" fillId="0" fontId="39" numFmtId="164" xfId="0" applyBorder="1" applyFont="1" applyNumberFormat="1"/>
    <xf borderId="10" fillId="0" fontId="65" numFmtId="49" xfId="0" applyAlignment="1" applyBorder="1" applyFont="1" applyNumberFormat="1">
      <alignment readingOrder="0" shrinkToFit="0" wrapText="0"/>
    </xf>
    <xf borderId="10" fillId="3" fontId="66" numFmtId="0" xfId="0" applyAlignment="1" applyBorder="1" applyFont="1">
      <alignment shrinkToFit="0" wrapText="0"/>
    </xf>
    <xf borderId="10" fillId="0" fontId="39" numFmtId="0" xfId="0" applyBorder="1" applyFont="1"/>
    <xf borderId="10" fillId="0" fontId="39" numFmtId="9" xfId="0" applyBorder="1" applyFont="1" applyNumberFormat="1"/>
    <xf borderId="0" fillId="0" fontId="39" numFmtId="0" xfId="0" applyAlignment="1" applyFont="1">
      <alignment vertical="bottom"/>
    </xf>
    <xf borderId="0" fillId="0" fontId="67" numFmtId="49" xfId="0" applyAlignment="1" applyFont="1" applyNumberFormat="1">
      <alignment horizontal="left" readingOrder="0" shrinkToFit="0" vertical="center" wrapText="0"/>
    </xf>
    <xf borderId="0" fillId="0" fontId="67" numFmtId="49" xfId="0" applyAlignment="1" applyFont="1" applyNumberFormat="1">
      <alignment horizontal="left" shrinkToFit="0" vertical="center" wrapText="0"/>
    </xf>
    <xf borderId="0" fillId="0" fontId="67" numFmtId="0" xfId="0" applyAlignment="1" applyFont="1">
      <alignment horizontal="left" readingOrder="0" shrinkToFit="0" vertical="center" wrapText="0"/>
    </xf>
    <xf borderId="0" fillId="0" fontId="67" numFmtId="0" xfId="0" applyAlignment="1" applyFont="1">
      <alignment horizontal="left" readingOrder="0" shrinkToFit="0" vertical="center" wrapText="1"/>
    </xf>
    <xf borderId="0" fillId="0" fontId="67" numFmtId="0" xfId="0" applyAlignment="1" applyFont="1">
      <alignment horizontal="left" shrinkToFit="0" vertical="center" wrapText="0"/>
    </xf>
    <xf borderId="0" fillId="0" fontId="68" numFmtId="49" xfId="0" applyAlignment="1" applyFont="1" applyNumberFormat="1">
      <alignment shrinkToFit="0" wrapText="0"/>
    </xf>
    <xf borderId="0" fillId="0" fontId="68" numFmtId="0" xfId="0" applyAlignment="1" applyFont="1">
      <alignment shrinkToFit="0" wrapText="0"/>
    </xf>
    <xf borderId="0" fillId="0" fontId="39" numFmtId="0" xfId="0" applyFont="1"/>
    <xf borderId="0" fillId="0" fontId="39" numFmtId="49" xfId="0" applyAlignment="1" applyFont="1" applyNumberFormat="1">
      <alignment readingOrder="0"/>
    </xf>
    <xf borderId="0" fillId="0" fontId="67" numFmtId="0" xfId="0" applyAlignment="1" applyFont="1">
      <alignment horizontal="left" shrinkToFit="0" vertical="center" wrapText="1"/>
    </xf>
    <xf borderId="0" fillId="0" fontId="67" numFmtId="0" xfId="0" applyAlignment="1" applyFont="1">
      <alignment shrinkToFit="0" vertical="center" wrapText="0"/>
    </xf>
    <xf borderId="0" fillId="0" fontId="67" numFmtId="0" xfId="0" applyAlignment="1" applyFont="1">
      <alignment shrinkToFit="0" vertical="center" wrapText="1"/>
    </xf>
    <xf borderId="11" fillId="10" fontId="69" numFmtId="0" xfId="0" applyAlignment="1" applyBorder="1" applyFont="1">
      <alignment horizontal="center" shrinkToFit="0" vertical="center" wrapText="1"/>
    </xf>
    <xf borderId="12" fillId="4" fontId="69" numFmtId="0" xfId="0" applyAlignment="1" applyBorder="1" applyFont="1">
      <alignment horizontal="center" readingOrder="0" shrinkToFit="0" vertical="center" wrapText="1"/>
    </xf>
    <xf borderId="13" fillId="10" fontId="52" numFmtId="0" xfId="0" applyAlignment="1" applyBorder="1" applyFont="1">
      <alignment horizontal="center" readingOrder="0" shrinkToFit="0" vertical="center" wrapText="1"/>
    </xf>
    <xf borderId="14" fillId="0" fontId="36" numFmtId="0" xfId="0" applyBorder="1" applyFont="1"/>
    <xf borderId="15" fillId="0" fontId="36" numFmtId="0" xfId="0" applyBorder="1" applyFont="1"/>
    <xf borderId="6" fillId="4" fontId="69" numFmtId="0" xfId="0" applyAlignment="1" applyBorder="1" applyFont="1">
      <alignment horizontal="center" shrinkToFit="0" vertical="center" wrapText="1"/>
    </xf>
    <xf borderId="6" fillId="4" fontId="69" numFmtId="172" xfId="0" applyAlignment="1" applyBorder="1" applyFont="1" applyNumberFormat="1">
      <alignment horizontal="center" shrinkToFit="0" vertical="center" wrapText="1"/>
    </xf>
    <xf borderId="6" fillId="4" fontId="69" numFmtId="173" xfId="0" applyAlignment="1" applyBorder="1" applyFont="1" applyNumberFormat="1">
      <alignment horizontal="center" shrinkToFit="0" vertical="center" wrapText="1"/>
    </xf>
    <xf borderId="0" fillId="4" fontId="69" numFmtId="0" xfId="0" applyAlignment="1" applyFont="1">
      <alignment horizontal="center" shrinkToFit="0" vertical="center" wrapText="1"/>
    </xf>
    <xf borderId="16" fillId="0" fontId="36" numFmtId="0" xfId="0" applyBorder="1" applyFont="1"/>
    <xf borderId="17" fillId="0" fontId="36" numFmtId="0" xfId="0" applyBorder="1" applyFont="1"/>
    <xf borderId="18" fillId="0" fontId="36" numFmtId="0" xfId="0" applyBorder="1" applyFont="1"/>
    <xf borderId="19" fillId="0" fontId="36" numFmtId="0" xfId="0" applyBorder="1" applyFont="1"/>
    <xf borderId="20" fillId="4" fontId="69" numFmtId="0" xfId="0" applyAlignment="1" applyBorder="1" applyFont="1">
      <alignment horizontal="center" readingOrder="0" shrinkToFit="0" vertical="center" wrapText="1"/>
    </xf>
    <xf borderId="7" fillId="13" fontId="69" numFmtId="0" xfId="0" applyAlignment="1" applyBorder="1" applyFont="1">
      <alignment horizontal="center" readingOrder="0" shrinkToFit="0" vertical="center" wrapText="1"/>
    </xf>
    <xf borderId="21" fillId="0" fontId="36" numFmtId="0" xfId="0" applyBorder="1" applyFont="1"/>
    <xf borderId="20" fillId="4" fontId="69" numFmtId="0" xfId="0" applyAlignment="1" applyBorder="1" applyFont="1">
      <alignment horizontal="left" readingOrder="0" shrinkToFit="0" vertical="center" wrapText="1"/>
    </xf>
    <xf borderId="7" fillId="13" fontId="69" numFmtId="0" xfId="0" applyAlignment="1" applyBorder="1" applyFont="1">
      <alignment horizontal="left" readingOrder="0" shrinkToFit="0" vertical="center" wrapText="1"/>
    </xf>
    <xf borderId="6" fillId="4" fontId="69" numFmtId="0" xfId="0" applyAlignment="1" applyBorder="1" applyFont="1">
      <alignment shrinkToFit="0" vertical="center" wrapText="1"/>
    </xf>
    <xf borderId="6" fillId="4" fontId="69" numFmtId="173" xfId="0" applyAlignment="1" applyBorder="1" applyFont="1" applyNumberFormat="1">
      <alignment shrinkToFit="0" vertical="center" wrapText="1"/>
    </xf>
    <xf borderId="0" fillId="4" fontId="69" numFmtId="0" xfId="0" applyAlignment="1" applyFont="1">
      <alignment shrinkToFit="0" vertical="center" wrapText="1"/>
    </xf>
    <xf borderId="6" fillId="4" fontId="69" numFmtId="172" xfId="0" applyAlignment="1" applyBorder="1" applyFont="1" applyNumberFormat="1">
      <alignment shrinkToFit="0" vertical="center" wrapText="1"/>
    </xf>
    <xf borderId="22" fillId="0" fontId="36" numFmtId="0" xfId="0" applyBorder="1" applyFont="1"/>
    <xf borderId="23" fillId="27" fontId="69" numFmtId="0" xfId="0" applyAlignment="1" applyBorder="1" applyFill="1" applyFont="1">
      <alignment horizontal="center" readingOrder="0" shrinkToFit="0" vertical="center" wrapText="1"/>
    </xf>
    <xf borderId="24" fillId="0" fontId="36" numFmtId="0" xfId="0" applyBorder="1" applyFont="1"/>
    <xf borderId="25" fillId="0" fontId="36" numFmtId="0" xfId="0" applyBorder="1" applyFont="1"/>
    <xf borderId="0" fillId="27" fontId="69" numFmtId="0" xfId="0" applyAlignment="1" applyFont="1">
      <alignment horizontal="center" readingOrder="0" shrinkToFit="0" vertical="center" wrapText="1"/>
    </xf>
    <xf borderId="26" fillId="0" fontId="69" numFmtId="0" xfId="0" applyAlignment="1" applyBorder="1" applyFont="1">
      <alignment horizontal="center" readingOrder="0" shrinkToFit="0" vertical="center" wrapText="1"/>
    </xf>
    <xf borderId="27" fillId="16" fontId="52" numFmtId="0" xfId="0" applyAlignment="1" applyBorder="1" applyFont="1">
      <alignment horizontal="center" readingOrder="0" shrinkToFit="0" vertical="center" wrapText="1"/>
    </xf>
    <xf borderId="27" fillId="16" fontId="52" numFmtId="2" xfId="0" applyAlignment="1" applyBorder="1" applyFont="1" applyNumberFormat="1">
      <alignment horizontal="center" readingOrder="0" shrinkToFit="0" vertical="center" wrapText="1"/>
    </xf>
    <xf borderId="10" fillId="16" fontId="52" numFmtId="0" xfId="0" applyAlignment="1" applyBorder="1" applyFont="1">
      <alignment horizontal="center" shrinkToFit="0" vertical="center" wrapText="1"/>
    </xf>
    <xf borderId="7" fillId="16" fontId="52" numFmtId="0" xfId="0" applyAlignment="1" applyBorder="1" applyFont="1">
      <alignment horizontal="center" readingOrder="0" shrinkToFit="0" vertical="center" wrapText="1"/>
    </xf>
    <xf borderId="0" fillId="0" fontId="69" numFmtId="0" xfId="0" applyAlignment="1" applyFont="1">
      <alignment horizontal="center" readingOrder="0" shrinkToFit="0" vertical="center" wrapText="1"/>
    </xf>
    <xf borderId="28" fillId="0" fontId="36" numFmtId="0" xfId="0" applyBorder="1" applyFont="1"/>
    <xf borderId="27" fillId="16" fontId="52" numFmtId="172" xfId="0" applyAlignment="1" applyBorder="1" applyFont="1" applyNumberFormat="1">
      <alignment horizontal="center" readingOrder="0" shrinkToFit="0" vertical="center" wrapText="1"/>
    </xf>
    <xf borderId="29" fillId="16" fontId="52" numFmtId="0" xfId="0" applyAlignment="1" applyBorder="1" applyFont="1">
      <alignment horizontal="right" readingOrder="0" shrinkToFit="0" vertical="center" wrapText="1"/>
    </xf>
    <xf borderId="27" fillId="16" fontId="52" numFmtId="173" xfId="0" applyAlignment="1" applyBorder="1" applyFont="1" applyNumberFormat="1">
      <alignment horizontal="center" readingOrder="0" shrinkToFit="0" vertical="center" wrapText="1"/>
    </xf>
    <xf borderId="27" fillId="0" fontId="69" numFmtId="0" xfId="0" applyAlignment="1" applyBorder="1" applyFont="1">
      <alignment horizontal="center" readingOrder="0" shrinkToFit="0" vertical="center" wrapText="1"/>
    </xf>
    <xf borderId="30" fillId="28" fontId="70" numFmtId="49" xfId="0" applyAlignment="1" applyBorder="1" applyFill="1" applyFont="1" applyNumberFormat="1">
      <alignment horizontal="center" shrinkToFit="0" vertical="center" wrapText="1"/>
    </xf>
    <xf borderId="0" fillId="5" fontId="52" numFmtId="0" xfId="0" applyAlignment="1" applyFont="1">
      <alignment horizontal="center" readingOrder="0" shrinkToFit="0" vertical="center" wrapText="1"/>
    </xf>
    <xf borderId="0" fillId="28" fontId="52" numFmtId="0" xfId="0" applyAlignment="1" applyFont="1">
      <alignment horizontal="left" readingOrder="0" shrinkToFit="0" vertical="center" wrapText="1"/>
    </xf>
    <xf borderId="0" fillId="28" fontId="69" numFmtId="2" xfId="0" applyAlignment="1" applyFont="1" applyNumberFormat="1">
      <alignment horizontal="center" shrinkToFit="0" vertical="center" wrapText="1"/>
    </xf>
    <xf borderId="0" fillId="28" fontId="69" numFmtId="0" xfId="0" applyAlignment="1" applyFont="1">
      <alignment horizontal="center" shrinkToFit="0" vertical="center" wrapText="1"/>
    </xf>
    <xf borderId="0" fillId="28" fontId="69" numFmtId="172" xfId="0" applyAlignment="1" applyFont="1" applyNumberFormat="1">
      <alignment horizontal="right" shrinkToFit="0" vertical="center" wrapText="1"/>
    </xf>
    <xf borderId="0" fillId="28" fontId="69" numFmtId="172" xfId="0" applyAlignment="1" applyFont="1" applyNumberFormat="1">
      <alignment horizontal="center" shrinkToFit="0" vertical="center" wrapText="1"/>
    </xf>
    <xf borderId="0" fillId="28" fontId="69" numFmtId="174" xfId="0" applyAlignment="1" applyFont="1" applyNumberFormat="1">
      <alignment horizontal="center" shrinkToFit="0" vertical="center" wrapText="1"/>
    </xf>
    <xf borderId="0" fillId="28" fontId="70" numFmtId="172" xfId="0" applyAlignment="1" applyFont="1" applyNumberFormat="1">
      <alignment horizontal="right" readingOrder="0" shrinkToFit="0" vertical="center" wrapText="1"/>
    </xf>
    <xf borderId="0" fillId="28" fontId="69" numFmtId="174" xfId="0" applyAlignment="1" applyFont="1" applyNumberFormat="1">
      <alignment horizontal="right" shrinkToFit="0" vertical="center" wrapText="1"/>
    </xf>
    <xf borderId="0" fillId="28" fontId="69" numFmtId="173" xfId="0" applyAlignment="1" applyFont="1" applyNumberFormat="1">
      <alignment horizontal="center" shrinkToFit="0" vertical="center" wrapText="1"/>
    </xf>
    <xf borderId="0" fillId="28" fontId="70" numFmtId="172" xfId="0" applyAlignment="1" applyFont="1" applyNumberFormat="1">
      <alignment horizontal="center" readingOrder="0" shrinkToFit="0" vertical="center" wrapText="1"/>
    </xf>
    <xf borderId="31" fillId="17" fontId="69" numFmtId="49" xfId="0" applyAlignment="1" applyBorder="1" applyFont="1" applyNumberFormat="1">
      <alignment horizontal="center" shrinkToFit="0" vertical="center" wrapText="1"/>
    </xf>
    <xf borderId="31" fillId="5" fontId="71" numFmtId="0" xfId="0" applyAlignment="1" applyBorder="1" applyFont="1">
      <alignment horizontal="center" readingOrder="0" shrinkToFit="0" vertical="center" wrapText="1"/>
    </xf>
    <xf borderId="31" fillId="17" fontId="71" numFmtId="0" xfId="0" applyAlignment="1" applyBorder="1" applyFont="1">
      <alignment horizontal="left" readingOrder="0" shrinkToFit="0" vertical="center" wrapText="1"/>
    </xf>
    <xf borderId="31" fillId="17" fontId="69" numFmtId="2" xfId="0" applyAlignment="1" applyBorder="1" applyFont="1" applyNumberFormat="1">
      <alignment horizontal="center" shrinkToFit="0" vertical="center" wrapText="1"/>
    </xf>
    <xf borderId="31" fillId="17" fontId="69" numFmtId="0" xfId="0" applyAlignment="1" applyBorder="1" applyFont="1">
      <alignment horizontal="center" shrinkToFit="0" vertical="center" wrapText="1"/>
    </xf>
    <xf borderId="31" fillId="17" fontId="69" numFmtId="0" xfId="0" applyAlignment="1" applyBorder="1" applyFont="1">
      <alignment horizontal="left" shrinkToFit="0" vertical="center" wrapText="1"/>
    </xf>
    <xf borderId="31" fillId="17" fontId="69" numFmtId="172" xfId="0" applyAlignment="1" applyBorder="1" applyFont="1" applyNumberFormat="1">
      <alignment horizontal="right" shrinkToFit="0" vertical="center" wrapText="1"/>
    </xf>
    <xf borderId="25" fillId="17" fontId="69" numFmtId="172" xfId="0" applyAlignment="1" applyBorder="1" applyFont="1" applyNumberFormat="1">
      <alignment horizontal="left" shrinkToFit="0" vertical="center" wrapText="1"/>
    </xf>
    <xf borderId="32" fillId="17" fontId="69" numFmtId="172" xfId="0" applyAlignment="1" applyBorder="1" applyFont="1" applyNumberFormat="1">
      <alignment horizontal="left" shrinkToFit="0" vertical="center" wrapText="1"/>
    </xf>
    <xf borderId="0" fillId="17" fontId="69" numFmtId="172" xfId="0" applyAlignment="1" applyFont="1" applyNumberFormat="1">
      <alignment horizontal="left" shrinkToFit="0" vertical="center" wrapText="1"/>
    </xf>
    <xf borderId="31" fillId="0" fontId="72" numFmtId="0" xfId="0" applyAlignment="1" applyBorder="1" applyFont="1">
      <alignment horizontal="center" readingOrder="0" shrinkToFit="0" vertical="center" wrapText="1"/>
    </xf>
    <xf borderId="31" fillId="15" fontId="72" numFmtId="0" xfId="0" applyAlignment="1" applyBorder="1" applyFont="1">
      <alignment horizontal="center" readingOrder="0" shrinkToFit="0" vertical="center" wrapText="1"/>
    </xf>
    <xf borderId="31" fillId="0" fontId="72" numFmtId="0" xfId="0" applyAlignment="1" applyBorder="1" applyFont="1">
      <alignment readingOrder="0" shrinkToFit="0" vertical="center" wrapText="1"/>
    </xf>
    <xf borderId="31" fillId="0" fontId="72" numFmtId="2" xfId="0" applyAlignment="1" applyBorder="1" applyFont="1" applyNumberFormat="1">
      <alignment horizontal="center" readingOrder="0" shrinkToFit="0" vertical="center" wrapText="1"/>
    </xf>
    <xf borderId="31" fillId="29" fontId="69" numFmtId="172" xfId="0" applyAlignment="1" applyBorder="1" applyFill="1" applyFont="1" applyNumberFormat="1">
      <alignment horizontal="center" readingOrder="0" shrinkToFit="0" vertical="center" wrapText="1"/>
    </xf>
    <xf borderId="31" fillId="0" fontId="69" numFmtId="172" xfId="0" applyAlignment="1" applyBorder="1" applyFont="1" applyNumberFormat="1">
      <alignment horizontal="right" readingOrder="0" shrinkToFit="0" vertical="center" wrapText="1"/>
    </xf>
    <xf borderId="0" fillId="0" fontId="69" numFmtId="174" xfId="0" applyAlignment="1" applyFont="1" applyNumberFormat="1">
      <alignment horizontal="center" shrinkToFit="0" vertical="center" wrapText="1"/>
    </xf>
    <xf borderId="33" fillId="30" fontId="69" numFmtId="172" xfId="0" applyAlignment="1" applyBorder="1" applyFill="1" applyFont="1" applyNumberFormat="1">
      <alignment horizontal="center" shrinkToFit="0" vertical="center" wrapText="1"/>
    </xf>
    <xf borderId="34" fillId="30" fontId="69" numFmtId="172" xfId="0" applyAlignment="1" applyBorder="1" applyFont="1" applyNumberFormat="1">
      <alignment horizontal="center" readingOrder="0" shrinkToFit="0" vertical="center" wrapText="1"/>
    </xf>
    <xf borderId="34" fillId="30" fontId="69" numFmtId="173" xfId="0" applyAlignment="1" applyBorder="1" applyFont="1" applyNumberFormat="1">
      <alignment horizontal="center" readingOrder="0" shrinkToFit="0" vertical="center" wrapText="1"/>
    </xf>
    <xf borderId="35" fillId="30" fontId="69" numFmtId="172" xfId="0" applyAlignment="1" applyBorder="1" applyFont="1" applyNumberFormat="1">
      <alignment horizontal="center" readingOrder="0" shrinkToFit="0" vertical="center" wrapText="1"/>
    </xf>
    <xf borderId="0" fillId="30" fontId="69" numFmtId="172" xfId="0" applyAlignment="1" applyFont="1" applyNumberFormat="1">
      <alignment horizontal="center" readingOrder="0" shrinkToFit="0" vertical="center" wrapText="1"/>
    </xf>
    <xf borderId="31" fillId="31" fontId="72" numFmtId="0" xfId="0" applyAlignment="1" applyBorder="1" applyFill="1" applyFont="1">
      <alignment horizontal="center" readingOrder="0" shrinkToFit="0" vertical="center" wrapText="1"/>
    </xf>
    <xf borderId="31" fillId="31" fontId="72" numFmtId="167" xfId="0" applyAlignment="1" applyBorder="1" applyFont="1" applyNumberFormat="1">
      <alignment horizontal="center" readingOrder="0" shrinkToFit="0" vertical="center" wrapText="1"/>
    </xf>
    <xf borderId="31" fillId="17" fontId="69" numFmtId="49" xfId="0" applyAlignment="1" applyBorder="1" applyFont="1" applyNumberFormat="1">
      <alignment shrinkToFit="0" vertical="center" wrapText="1"/>
    </xf>
    <xf borderId="31" fillId="5" fontId="73" numFmtId="0" xfId="0" applyAlignment="1" applyBorder="1" applyFont="1">
      <alignment horizontal="center" readingOrder="0" shrinkToFit="0" vertical="center" wrapText="1"/>
    </xf>
    <xf borderId="31" fillId="17" fontId="73" numFmtId="0" xfId="0" applyAlignment="1" applyBorder="1" applyFont="1">
      <alignment readingOrder="0" shrinkToFit="0" vertical="center" wrapText="1"/>
    </xf>
    <xf borderId="31" fillId="17" fontId="69" numFmtId="0" xfId="0" applyAlignment="1" applyBorder="1" applyFont="1">
      <alignment shrinkToFit="0" vertical="center" wrapText="1"/>
    </xf>
    <xf borderId="31" fillId="17" fontId="69" numFmtId="172" xfId="0" applyAlignment="1" applyBorder="1" applyFont="1" applyNumberFormat="1">
      <alignment shrinkToFit="0" vertical="center" wrapText="1"/>
    </xf>
    <xf borderId="25" fillId="17" fontId="69" numFmtId="172" xfId="0" applyAlignment="1" applyBorder="1" applyFont="1" applyNumberFormat="1">
      <alignment shrinkToFit="0" vertical="center" wrapText="1"/>
    </xf>
    <xf borderId="32" fillId="17" fontId="69" numFmtId="172" xfId="0" applyAlignment="1" applyBorder="1" applyFont="1" applyNumberFormat="1">
      <alignment shrinkToFit="0" vertical="center" wrapText="1"/>
    </xf>
    <xf borderId="0" fillId="17" fontId="69" numFmtId="172" xfId="0" applyAlignment="1" applyFont="1" applyNumberFormat="1">
      <alignment shrinkToFit="0" vertical="center" wrapText="1"/>
    </xf>
    <xf borderId="31" fillId="31" fontId="69" numFmtId="0" xfId="0" applyAlignment="1" applyBorder="1" applyFont="1">
      <alignment horizontal="center" readingOrder="0" shrinkToFit="0" vertical="center" wrapText="1"/>
    </xf>
    <xf borderId="31" fillId="5" fontId="69" numFmtId="0" xfId="0" applyAlignment="1" applyBorder="1" applyFont="1">
      <alignment readingOrder="0" shrinkToFit="0" vertical="center" wrapText="1"/>
    </xf>
    <xf borderId="31" fillId="5" fontId="69" numFmtId="2" xfId="0" applyAlignment="1" applyBorder="1" applyFont="1" applyNumberFormat="1">
      <alignment horizontal="center" readingOrder="0" vertical="center"/>
    </xf>
    <xf borderId="31" fillId="0" fontId="69" numFmtId="0" xfId="0" applyAlignment="1" applyBorder="1" applyFont="1">
      <alignment horizontal="center" readingOrder="0" vertical="center"/>
    </xf>
    <xf borderId="0" fillId="0" fontId="69" numFmtId="174" xfId="0" applyAlignment="1" applyFont="1" applyNumberFormat="1">
      <alignment shrinkToFit="0" vertical="center" wrapText="1"/>
    </xf>
    <xf borderId="33" fillId="30" fontId="69" numFmtId="172" xfId="0" applyAlignment="1" applyBorder="1" applyFont="1" applyNumberFormat="1">
      <alignment shrinkToFit="0" vertical="center" wrapText="1"/>
    </xf>
    <xf borderId="31" fillId="17" fontId="69" numFmtId="0" xfId="0" applyAlignment="1" applyBorder="1" applyFont="1">
      <alignment horizontal="center" readingOrder="0" shrinkToFit="0" vertical="center" wrapText="1"/>
    </xf>
    <xf borderId="31" fillId="5" fontId="69" numFmtId="0" xfId="0" applyAlignment="1" applyBorder="1" applyFont="1">
      <alignment horizontal="center" readingOrder="0" vertical="center"/>
    </xf>
    <xf borderId="31" fillId="17" fontId="69" numFmtId="167" xfId="0" applyAlignment="1" applyBorder="1" applyFont="1" applyNumberFormat="1">
      <alignment horizontal="center" readingOrder="0" shrinkToFit="0" vertical="center" wrapText="1"/>
    </xf>
    <xf borderId="31" fillId="31" fontId="69" numFmtId="167" xfId="0" applyAlignment="1" applyBorder="1" applyFont="1" applyNumberFormat="1">
      <alignment horizontal="center" readingOrder="0" shrinkToFit="0" vertical="center" wrapText="1"/>
    </xf>
    <xf borderId="31" fillId="15" fontId="69" numFmtId="0" xfId="0" applyAlignment="1" applyBorder="1" applyFont="1">
      <alignment horizontal="center" readingOrder="0" shrinkToFit="0" vertical="center" wrapText="1"/>
    </xf>
    <xf borderId="31" fillId="32" fontId="72" numFmtId="0" xfId="0" applyAlignment="1" applyBorder="1" applyFill="1" applyFont="1">
      <alignment horizontal="center" readingOrder="0" shrinkToFit="0" vertical="center" wrapText="1"/>
    </xf>
    <xf borderId="31" fillId="32" fontId="69" numFmtId="0" xfId="0" applyAlignment="1" applyBorder="1" applyFont="1">
      <alignment readingOrder="0" shrinkToFit="0" vertical="center" wrapText="1"/>
    </xf>
    <xf borderId="31" fillId="32" fontId="69" numFmtId="2" xfId="0" applyAlignment="1" applyBorder="1" applyFont="1" applyNumberFormat="1">
      <alignment horizontal="center" readingOrder="0" vertical="center"/>
    </xf>
    <xf borderId="31" fillId="32" fontId="69" numFmtId="0" xfId="0" applyAlignment="1" applyBorder="1" applyFont="1">
      <alignment horizontal="center" readingOrder="0" vertical="center"/>
    </xf>
    <xf borderId="30" fillId="28" fontId="70" numFmtId="49" xfId="0" applyAlignment="1" applyBorder="1" applyFont="1" applyNumberFormat="1">
      <alignment horizontal="center" readingOrder="0" shrinkToFit="0" vertical="center" wrapText="1"/>
    </xf>
    <xf borderId="31" fillId="5" fontId="72" numFmtId="0" xfId="0" applyAlignment="1" applyBorder="1" applyFont="1">
      <alignment horizontal="center" readingOrder="0" shrinkToFit="0" vertical="center" wrapText="1"/>
    </xf>
    <xf borderId="30" fillId="28" fontId="65" numFmtId="49" xfId="0" applyAlignment="1" applyBorder="1" applyFont="1" applyNumberFormat="1">
      <alignment vertical="center"/>
    </xf>
    <xf borderId="0" fillId="5" fontId="52" numFmtId="0" xfId="0" applyAlignment="1" applyFont="1">
      <alignment horizontal="center" readingOrder="0" shrinkToFit="0" wrapText="1"/>
    </xf>
    <xf borderId="0" fillId="28" fontId="52" numFmtId="0" xfId="0" applyAlignment="1" applyFont="1">
      <alignment readingOrder="0" shrinkToFit="0" wrapText="1"/>
    </xf>
    <xf borderId="0" fillId="28" fontId="65" numFmtId="2" xfId="0" applyAlignment="1" applyFont="1" applyNumberFormat="1">
      <alignment horizontal="center" vertical="center"/>
    </xf>
    <xf borderId="0" fillId="28" fontId="65" numFmtId="0" xfId="0" applyAlignment="1" applyFont="1">
      <alignment vertical="center"/>
    </xf>
    <xf borderId="0" fillId="28" fontId="65" numFmtId="172" xfId="0" applyFont="1" applyNumberFormat="1"/>
    <xf borderId="0" fillId="28" fontId="65" numFmtId="174" xfId="0" applyFont="1" applyNumberFormat="1"/>
    <xf borderId="0" fillId="28" fontId="70" numFmtId="172" xfId="0" applyAlignment="1" applyFont="1" applyNumberFormat="1">
      <alignment horizontal="right" readingOrder="0" shrinkToFit="0" wrapText="1"/>
    </xf>
    <xf borderId="0" fillId="28" fontId="65" numFmtId="173" xfId="0" applyFont="1" applyNumberFormat="1"/>
    <xf borderId="0" fillId="28" fontId="70" numFmtId="172" xfId="0" applyAlignment="1" applyFont="1" applyNumberFormat="1">
      <alignment horizontal="center" readingOrder="0" shrinkToFit="0" wrapText="1"/>
    </xf>
    <xf borderId="31" fillId="17" fontId="65" numFmtId="49" xfId="0" applyAlignment="1" applyBorder="1" applyFont="1" applyNumberFormat="1">
      <alignment vertical="center"/>
    </xf>
    <xf borderId="31" fillId="5" fontId="73" numFmtId="0" xfId="0" applyAlignment="1" applyBorder="1" applyFont="1">
      <alignment horizontal="center" readingOrder="0" shrinkToFit="0" wrapText="1"/>
    </xf>
    <xf borderId="31" fillId="17" fontId="73" numFmtId="0" xfId="0" applyAlignment="1" applyBorder="1" applyFont="1">
      <alignment readingOrder="0" shrinkToFit="0" wrapText="1"/>
    </xf>
    <xf borderId="31" fillId="17" fontId="65" numFmtId="2" xfId="0" applyAlignment="1" applyBorder="1" applyFont="1" applyNumberFormat="1">
      <alignment horizontal="center" vertical="center"/>
    </xf>
    <xf borderId="31" fillId="17" fontId="65" numFmtId="0" xfId="0" applyAlignment="1" applyBorder="1" applyFont="1">
      <alignment vertical="center"/>
    </xf>
    <xf borderId="31" fillId="17" fontId="65" numFmtId="172" xfId="0" applyBorder="1" applyFont="1" applyNumberFormat="1"/>
    <xf borderId="25" fillId="17" fontId="65" numFmtId="172" xfId="0" applyBorder="1" applyFont="1" applyNumberFormat="1"/>
    <xf borderId="32" fillId="17" fontId="65" numFmtId="172" xfId="0" applyBorder="1" applyFont="1" applyNumberFormat="1"/>
    <xf borderId="0" fillId="17" fontId="65" numFmtId="172" xfId="0" applyFont="1" applyNumberFormat="1"/>
    <xf borderId="0" fillId="0" fontId="65" numFmtId="174" xfId="0" applyAlignment="1" applyFont="1" applyNumberFormat="1">
      <alignment vertical="center"/>
    </xf>
    <xf borderId="33" fillId="30" fontId="65" numFmtId="172" xfId="0" applyAlignment="1" applyBorder="1" applyFont="1" applyNumberFormat="1">
      <alignment vertical="center"/>
    </xf>
    <xf borderId="34" fillId="30" fontId="65" numFmtId="172" xfId="0" applyAlignment="1" applyBorder="1" applyFont="1" applyNumberFormat="1">
      <alignment vertical="center"/>
    </xf>
    <xf borderId="34" fillId="30" fontId="65" numFmtId="173" xfId="0" applyAlignment="1" applyBorder="1" applyFont="1" applyNumberFormat="1">
      <alignment vertical="center"/>
    </xf>
    <xf borderId="31" fillId="32" fontId="72" numFmtId="0" xfId="0" applyAlignment="1" applyBorder="1" applyFont="1">
      <alignment readingOrder="0" shrinkToFit="0" vertical="center" wrapText="1"/>
    </xf>
    <xf borderId="31" fillId="32" fontId="72" numFmtId="2" xfId="0" applyAlignment="1" applyBorder="1" applyFont="1" applyNumberFormat="1">
      <alignment horizontal="center" readingOrder="0" shrinkToFit="0" vertical="center" wrapText="1"/>
    </xf>
    <xf borderId="31" fillId="17" fontId="69" numFmtId="0" xfId="0" applyAlignment="1" applyBorder="1" applyFont="1">
      <alignment horizontal="center" readingOrder="0" shrinkToFit="0" wrapText="1"/>
    </xf>
    <xf borderId="31" fillId="5" fontId="69" numFmtId="0" xfId="0" applyAlignment="1" applyBorder="1" applyFont="1">
      <alignment readingOrder="0" shrinkToFit="0" wrapText="1"/>
    </xf>
    <xf borderId="31" fillId="29" fontId="69" numFmtId="172" xfId="0" applyAlignment="1" applyBorder="1" applyFont="1" applyNumberFormat="1">
      <alignment horizontal="center" readingOrder="0" shrinkToFit="0" wrapText="1"/>
    </xf>
    <xf borderId="31" fillId="0" fontId="69" numFmtId="172" xfId="0" applyAlignment="1" applyBorder="1" applyFont="1" applyNumberFormat="1">
      <alignment horizontal="right" readingOrder="0" shrinkToFit="0" wrapText="1"/>
    </xf>
    <xf borderId="0" fillId="0" fontId="65" numFmtId="174" xfId="0" applyFont="1" applyNumberFormat="1"/>
    <xf borderId="33" fillId="30" fontId="65" numFmtId="172" xfId="0" applyBorder="1" applyFont="1" applyNumberFormat="1"/>
    <xf borderId="34" fillId="30" fontId="65" numFmtId="172" xfId="0" applyBorder="1" applyFont="1" applyNumberFormat="1"/>
    <xf borderId="34" fillId="30" fontId="65" numFmtId="173" xfId="0" applyBorder="1" applyFont="1" applyNumberFormat="1"/>
    <xf borderId="34" fillId="30" fontId="69" numFmtId="172" xfId="0" applyAlignment="1" applyBorder="1" applyFont="1" applyNumberFormat="1">
      <alignment horizontal="center" readingOrder="0" shrinkToFit="0" wrapText="1"/>
    </xf>
    <xf borderId="35" fillId="30" fontId="69" numFmtId="172" xfId="0" applyAlignment="1" applyBorder="1" applyFont="1" applyNumberFormat="1">
      <alignment horizontal="center" readingOrder="0" shrinkToFit="0" wrapText="1"/>
    </xf>
    <xf borderId="0" fillId="30" fontId="69" numFmtId="172" xfId="0" applyAlignment="1" applyFont="1" applyNumberFormat="1">
      <alignment horizontal="center" readingOrder="0" shrinkToFit="0" wrapText="1"/>
    </xf>
    <xf borderId="31" fillId="17" fontId="69" numFmtId="167" xfId="0" applyAlignment="1" applyBorder="1" applyFont="1" applyNumberFormat="1">
      <alignment horizontal="center" readingOrder="0" shrinkToFit="0" wrapText="1"/>
    </xf>
    <xf borderId="31" fillId="31" fontId="69" numFmtId="0" xfId="0" applyAlignment="1" applyBorder="1" applyFont="1">
      <alignment horizontal="center" readingOrder="0" shrinkToFit="0" wrapText="1"/>
    </xf>
    <xf borderId="31" fillId="31" fontId="69" numFmtId="167" xfId="0" applyAlignment="1" applyBorder="1" applyFont="1" applyNumberFormat="1">
      <alignment horizontal="center" readingOrder="0" shrinkToFit="0" wrapText="1"/>
    </xf>
    <xf borderId="31" fillId="32" fontId="69" numFmtId="0" xfId="0" applyAlignment="1" applyBorder="1" applyFont="1">
      <alignment readingOrder="0" shrinkToFit="0" wrapText="1"/>
    </xf>
    <xf borderId="31" fillId="32" fontId="65" numFmtId="2" xfId="0" applyAlignment="1" applyBorder="1" applyFont="1" applyNumberFormat="1">
      <alignment horizontal="center" readingOrder="0" vertical="center"/>
    </xf>
    <xf borderId="31" fillId="0" fontId="72" numFmtId="172" xfId="0" applyAlignment="1" applyBorder="1" applyFont="1" applyNumberFormat="1">
      <alignment horizontal="center" readingOrder="0" shrinkToFit="0" vertical="center" wrapText="1"/>
    </xf>
    <xf borderId="31" fillId="5" fontId="72" numFmtId="2" xfId="0" applyAlignment="1" applyBorder="1" applyFont="1" applyNumberFormat="1">
      <alignment horizontal="center" readingOrder="0" shrinkToFit="0" vertical="center" wrapText="1"/>
    </xf>
    <xf borderId="31" fillId="5" fontId="65" numFmtId="2" xfId="0" applyAlignment="1" applyBorder="1" applyFont="1" applyNumberFormat="1">
      <alignment horizontal="center" readingOrder="0" vertical="center"/>
    </xf>
    <xf borderId="0" fillId="28" fontId="70" numFmtId="172" xfId="0" applyAlignment="1" applyFont="1" applyNumberFormat="1">
      <alignment horizontal="right" shrinkToFit="0" wrapText="1"/>
    </xf>
    <xf borderId="0" fillId="28" fontId="70" numFmtId="172" xfId="0" applyAlignment="1" applyFont="1" applyNumberFormat="1">
      <alignment horizontal="center" shrinkToFit="0" wrapText="1"/>
    </xf>
    <xf borderId="31" fillId="15" fontId="69" numFmtId="0" xfId="0" applyAlignment="1" applyBorder="1" applyFont="1">
      <alignment horizontal="center" readingOrder="0" shrinkToFit="0" wrapText="1"/>
    </xf>
    <xf borderId="6" fillId="33" fontId="69" numFmtId="0" xfId="0" applyAlignment="1" applyBorder="1" applyFill="1" applyFont="1">
      <alignment horizontal="center" shrinkToFit="0" vertical="center" wrapText="1"/>
    </xf>
    <xf borderId="6" fillId="5" fontId="69" numFmtId="0" xfId="0" applyAlignment="1" applyBorder="1" applyFont="1">
      <alignment horizontal="center" shrinkToFit="0" vertical="center" wrapText="1"/>
    </xf>
    <xf borderId="6" fillId="33" fontId="69" numFmtId="0" xfId="0" applyAlignment="1" applyBorder="1" applyFont="1">
      <alignment shrinkToFit="0" vertical="center" wrapText="1"/>
    </xf>
    <xf borderId="6" fillId="33" fontId="69" numFmtId="2" xfId="0" applyAlignment="1" applyBorder="1" applyFont="1" applyNumberFormat="1">
      <alignment horizontal="center" shrinkToFit="0" vertical="center" wrapText="1"/>
    </xf>
    <xf borderId="36" fillId="33" fontId="70" numFmtId="0" xfId="0" applyAlignment="1" applyBorder="1" applyFont="1">
      <alignment horizontal="center" readingOrder="0" shrinkToFit="0" vertical="center" wrapText="1"/>
    </xf>
    <xf borderId="36" fillId="33" fontId="70" numFmtId="172" xfId="0" applyAlignment="1" applyBorder="1" applyFont="1" applyNumberFormat="1">
      <alignment horizontal="right" shrinkToFit="0" vertical="center" wrapText="1"/>
    </xf>
    <xf borderId="6" fillId="33" fontId="69" numFmtId="173" xfId="0" applyAlignment="1" applyBorder="1" applyFont="1" applyNumberFormat="1">
      <alignment shrinkToFit="0" vertical="center" wrapText="1"/>
    </xf>
    <xf borderId="36" fillId="33" fontId="70" numFmtId="0" xfId="0" applyAlignment="1" applyBorder="1" applyFont="1">
      <alignment readingOrder="0" shrinkToFit="0" vertical="center" wrapText="1"/>
    </xf>
    <xf borderId="36" fillId="33" fontId="70" numFmtId="172" xfId="0" applyAlignment="1" applyBorder="1" applyFont="1" applyNumberFormat="1">
      <alignment shrinkToFit="0" vertical="center" wrapText="1"/>
    </xf>
    <xf borderId="0" fillId="33" fontId="70" numFmtId="172" xfId="0" applyAlignment="1" applyFont="1" applyNumberFormat="1">
      <alignment shrinkToFit="0" vertical="center" wrapText="1"/>
    </xf>
    <xf borderId="0" fillId="10" fontId="74" numFmtId="0" xfId="0" applyAlignment="1" applyFont="1">
      <alignment horizontal="center" readingOrder="0" vertical="center"/>
    </xf>
    <xf borderId="0" fillId="2" fontId="75" numFmtId="0" xfId="0" applyAlignment="1" applyFont="1">
      <alignment horizontal="center" readingOrder="0"/>
    </xf>
    <xf borderId="0" fillId="2" fontId="63" numFmtId="0" xfId="0" applyAlignment="1" applyFont="1">
      <alignment horizontal="center" readingOrder="0"/>
    </xf>
    <xf borderId="0" fillId="0" fontId="76" numFmtId="0" xfId="0" applyFont="1"/>
    <xf borderId="0" fillId="0" fontId="76" numFmtId="9" xfId="0" applyFont="1" applyNumberFormat="1"/>
    <xf borderId="0" fillId="34" fontId="55" numFmtId="0" xfId="0" applyAlignment="1" applyFill="1" applyFont="1">
      <alignment readingOrder="0"/>
    </xf>
    <xf borderId="0" fillId="34" fontId="56" numFmtId="0" xfId="0" applyAlignment="1" applyFont="1">
      <alignment readingOrder="0"/>
    </xf>
    <xf borderId="0" fillId="8" fontId="9" numFmtId="0" xfId="0" applyAlignment="1" applyFont="1">
      <alignment horizontal="center" vertical="center"/>
    </xf>
    <xf borderId="0" fillId="8" fontId="9" numFmtId="3" xfId="0" applyAlignment="1" applyFont="1" applyNumberFormat="1">
      <alignment horizontal="center" vertical="center"/>
    </xf>
    <xf borderId="0" fillId="31" fontId="77" numFmtId="0" xfId="0" applyAlignment="1" applyFont="1">
      <alignment horizontal="center" vertical="center"/>
    </xf>
    <xf borderId="0" fillId="31" fontId="77" numFmtId="3" xfId="0" applyAlignment="1" applyFont="1" applyNumberFormat="1">
      <alignment horizontal="center" vertical="center"/>
    </xf>
    <xf borderId="0" fillId="31" fontId="77" numFmtId="165" xfId="0" applyAlignment="1" applyFont="1" applyNumberFormat="1">
      <alignment horizontal="center" vertical="center"/>
    </xf>
    <xf borderId="0" fillId="34" fontId="63" numFmtId="0" xfId="0" applyAlignment="1" applyFont="1">
      <alignment horizontal="center" readingOrder="0" shrinkToFit="0" vertical="center" wrapText="1"/>
    </xf>
    <xf borderId="0" fillId="34" fontId="63" numFmtId="3" xfId="0" applyAlignment="1" applyFont="1" applyNumberFormat="1">
      <alignment horizontal="center" readingOrder="0" shrinkToFit="0" vertical="center" wrapText="1"/>
    </xf>
    <xf borderId="10" fillId="0" fontId="19" numFmtId="0" xfId="0" applyAlignment="1" applyBorder="1" applyFont="1">
      <alignment horizontal="center" readingOrder="0" vertical="center"/>
    </xf>
    <xf borderId="10" fillId="0" fontId="18" numFmtId="167" xfId="0" applyAlignment="1" applyBorder="1" applyFont="1" applyNumberFormat="1">
      <alignment horizontal="center" readingOrder="0" vertical="center"/>
    </xf>
    <xf borderId="10" fillId="0" fontId="18" numFmtId="0" xfId="0" applyAlignment="1" applyBorder="1" applyFont="1">
      <alignment readingOrder="0" shrinkToFit="0" vertical="center" wrapText="1"/>
    </xf>
    <xf borderId="10" fillId="0" fontId="18" numFmtId="3" xfId="0" applyAlignment="1" applyBorder="1" applyFont="1" applyNumberFormat="1">
      <alignment horizontal="center" readingOrder="0" vertical="center"/>
    </xf>
    <xf borderId="10" fillId="0" fontId="18" numFmtId="0" xfId="0" applyAlignment="1" applyBorder="1" applyFont="1">
      <alignment horizontal="center" readingOrder="0" vertical="center"/>
    </xf>
    <xf borderId="10" fillId="0" fontId="18" numFmtId="175" xfId="0" applyAlignment="1" applyBorder="1" applyFont="1" applyNumberFormat="1">
      <alignment horizontal="center" readingOrder="0" vertical="center"/>
    </xf>
    <xf borderId="10" fillId="0" fontId="18" numFmtId="0" xfId="0" applyAlignment="1" applyBorder="1" applyFont="1">
      <alignment horizontal="center" readingOrder="0" vertical="center"/>
    </xf>
    <xf borderId="10" fillId="0" fontId="18" numFmtId="165" xfId="0" applyAlignment="1" applyBorder="1" applyFont="1" applyNumberFormat="1">
      <alignment horizontal="right" readingOrder="0" vertical="center"/>
    </xf>
    <xf borderId="10" fillId="0" fontId="18" numFmtId="0" xfId="0" applyAlignment="1" applyBorder="1" applyFont="1">
      <alignment readingOrder="0" vertical="center"/>
    </xf>
    <xf borderId="10" fillId="0" fontId="18" numFmtId="0" xfId="0" applyAlignment="1" applyBorder="1" applyFont="1">
      <alignment shrinkToFit="0" vertical="center" wrapText="1"/>
    </xf>
    <xf borderId="10" fillId="0" fontId="18" numFmtId="165" xfId="0" applyAlignment="1" applyBorder="1" applyFont="1" applyNumberFormat="1">
      <alignment horizontal="right" vertical="center"/>
    </xf>
    <xf borderId="10" fillId="0" fontId="18" numFmtId="0" xfId="0" applyAlignment="1" applyBorder="1" applyFont="1">
      <alignment vertical="center"/>
    </xf>
    <xf borderId="10" fillId="0" fontId="18" numFmtId="0" xfId="0" applyAlignment="1" applyBorder="1" applyFont="1">
      <alignment horizontal="center" vertical="center"/>
    </xf>
    <xf borderId="10" fillId="0" fontId="19" numFmtId="0" xfId="0" applyAlignment="1" applyBorder="1" applyFont="1">
      <alignment horizontal="center" vertical="center"/>
    </xf>
    <xf borderId="10" fillId="0" fontId="18" numFmtId="3" xfId="0" applyAlignment="1" applyBorder="1" applyFont="1" applyNumberFormat="1">
      <alignment horizontal="center" vertical="center"/>
    </xf>
    <xf borderId="10" fillId="0" fontId="18" numFmtId="175" xfId="0" applyAlignment="1" applyBorder="1" applyFont="1" applyNumberFormat="1">
      <alignment horizontal="center" vertical="center"/>
    </xf>
    <xf borderId="10" fillId="0" fontId="18" numFmtId="165" xfId="0" applyAlignment="1" applyBorder="1" applyFont="1" applyNumberFormat="1">
      <alignment vertical="center"/>
    </xf>
    <xf borderId="0" fillId="0" fontId="10" numFmtId="0" xfId="0" applyAlignment="1" applyFont="1">
      <alignment horizontal="center"/>
    </xf>
    <xf borderId="0" fillId="0" fontId="10" numFmtId="3" xfId="0" applyAlignment="1" applyFont="1" applyNumberFormat="1">
      <alignment horizontal="center"/>
    </xf>
    <xf borderId="0" fillId="0" fontId="10" numFmtId="175" xfId="0" applyAlignment="1" applyFont="1" applyNumberFormat="1">
      <alignment horizontal="center"/>
    </xf>
    <xf borderId="0" fillId="2" fontId="78" numFmtId="0" xfId="0" applyAlignment="1" applyFont="1">
      <alignment horizontal="center" readingOrder="0" vertical="center"/>
    </xf>
    <xf borderId="0" fillId="5" fontId="79" numFmtId="0" xfId="0" applyAlignment="1" applyFont="1">
      <alignment horizontal="center" readingOrder="0"/>
    </xf>
    <xf borderId="0" fillId="35" fontId="9" numFmtId="0" xfId="0" applyAlignment="1" applyFill="1" applyFont="1">
      <alignment horizontal="center" readingOrder="0"/>
    </xf>
    <xf borderId="0" fillId="35" fontId="9" numFmtId="0" xfId="0" applyAlignment="1" applyFont="1">
      <alignment readingOrder="0"/>
    </xf>
    <xf borderId="0" fillId="0" fontId="76" numFmtId="164" xfId="0" applyFont="1" applyNumberFormat="1"/>
    <xf borderId="0" fillId="0" fontId="76" numFmtId="164" xfId="0" applyAlignment="1" applyFont="1" applyNumberFormat="1">
      <alignment horizontal="center" readingOrder="0"/>
    </xf>
    <xf borderId="0" fillId="0" fontId="76" numFmtId="0" xfId="0" applyAlignment="1" applyFont="1">
      <alignment readingOrder="0"/>
    </xf>
    <xf borderId="0" fillId="0" fontId="76" numFmtId="0" xfId="0" applyAlignment="1" applyFont="1">
      <alignment horizontal="left" readingOrder="0"/>
    </xf>
    <xf borderId="0" fillId="0" fontId="76" numFmtId="0" xfId="0" applyAlignment="1" applyFont="1">
      <alignment readingOrder="0"/>
    </xf>
    <xf borderId="0" fillId="0" fontId="76" numFmtId="165" xfId="0" applyAlignment="1" applyFont="1" applyNumberFormat="1">
      <alignment readingOrder="0"/>
    </xf>
    <xf borderId="0" fillId="0" fontId="76" numFmtId="165" xfId="0" applyFont="1" applyNumberFormat="1"/>
    <xf borderId="0" fillId="0" fontId="76" numFmtId="164" xfId="0" applyAlignment="1" applyFont="1" applyNumberFormat="1">
      <alignment horizontal="center"/>
    </xf>
    <xf borderId="0" fillId="0" fontId="76" numFmtId="0" xfId="0" applyAlignment="1" applyFont="1">
      <alignment horizontal="left"/>
    </xf>
    <xf borderId="0" fillId="0" fontId="48" numFmtId="0" xfId="0" applyAlignment="1" applyFont="1">
      <alignment horizontal="left" readingOrder="0" shrinkToFit="0" vertical="center" wrapText="1"/>
    </xf>
    <xf borderId="6" fillId="24" fontId="49" numFmtId="0" xfId="0" applyAlignment="1" applyBorder="1" applyFont="1">
      <alignment horizontal="center" shrinkToFit="0" vertical="center" wrapText="1"/>
    </xf>
    <xf borderId="6" fillId="24" fontId="49" numFmtId="1" xfId="0" applyAlignment="1" applyBorder="1" applyFont="1" applyNumberFormat="1">
      <alignment horizontal="center" shrinkToFit="0" vertical="center" wrapText="1"/>
    </xf>
    <xf borderId="6" fillId="24" fontId="48" numFmtId="1" xfId="0" applyAlignment="1" applyBorder="1" applyFont="1" applyNumberFormat="1">
      <alignment horizontal="center" shrinkToFit="0" vertical="center" wrapText="1"/>
    </xf>
    <xf borderId="6" fillId="24" fontId="49" numFmtId="9" xfId="0" applyAlignment="1" applyBorder="1" applyFont="1" applyNumberFormat="1">
      <alignment horizontal="center" shrinkToFit="0" vertical="center" wrapText="1"/>
    </xf>
    <xf borderId="0" fillId="0" fontId="68" numFmtId="0" xfId="0" applyAlignment="1" applyFont="1">
      <alignment readingOrder="0"/>
    </xf>
    <xf borderId="0" fillId="0" fontId="68" numFmtId="0" xfId="0" applyFont="1"/>
    <xf borderId="0" fillId="10" fontId="35" numFmtId="0" xfId="0" applyAlignment="1" applyFont="1">
      <alignment horizontal="center" shrinkToFit="0" vertical="center" wrapText="1"/>
    </xf>
    <xf borderId="0" fillId="22" fontId="39" numFmtId="0" xfId="0" applyFont="1"/>
    <xf borderId="6" fillId="22" fontId="39" numFmtId="0" xfId="0" applyAlignment="1" applyBorder="1" applyFont="1">
      <alignment horizontal="left"/>
    </xf>
    <xf borderId="0" fillId="0" fontId="10" numFmtId="0" xfId="0" applyAlignment="1" applyFont="1">
      <alignment horizontal="left"/>
    </xf>
    <xf borderId="0" fillId="2" fontId="47" numFmtId="0" xfId="0" applyAlignment="1" applyFont="1">
      <alignment horizontal="center" readingOrder="0" shrinkToFit="0" vertical="center" wrapText="1"/>
    </xf>
    <xf borderId="10" fillId="2" fontId="47" numFmtId="0" xfId="0" applyAlignment="1" applyBorder="1" applyFont="1">
      <alignment horizontal="left" shrinkToFit="0" vertical="center" wrapText="1"/>
    </xf>
    <xf borderId="0" fillId="0" fontId="48" numFmtId="49" xfId="0" applyAlignment="1" applyFont="1" applyNumberFormat="1">
      <alignment horizontal="center" readingOrder="0" shrinkToFit="0" vertical="center" wrapText="1"/>
    </xf>
    <xf borderId="10" fillId="0" fontId="48" numFmtId="49" xfId="0" applyAlignment="1" applyBorder="1" applyFont="1" applyNumberFormat="1">
      <alignment horizontal="center" readingOrder="0" shrinkToFit="0" vertical="center" wrapText="1"/>
    </xf>
    <xf borderId="10" fillId="0" fontId="48" numFmtId="0" xfId="0" applyAlignment="1" applyBorder="1" applyFont="1">
      <alignment horizontal="left" readingOrder="0" shrinkToFit="0" vertical="center" wrapText="1"/>
    </xf>
    <xf borderId="10" fillId="0" fontId="48" numFmtId="0" xfId="0" applyAlignment="1" applyBorder="1" applyFont="1">
      <alignment horizontal="center" readingOrder="0" shrinkToFit="0" vertical="center" wrapText="1"/>
    </xf>
    <xf borderId="0" fillId="0" fontId="48" numFmtId="49" xfId="0" applyAlignment="1" applyFont="1" applyNumberFormat="1">
      <alignment horizontal="center" shrinkToFit="0" vertical="center" wrapText="1"/>
    </xf>
    <xf borderId="0" fillId="2" fontId="37" numFmtId="0" xfId="0" applyAlignment="1" applyFont="1">
      <alignment horizontal="left" vertical="center"/>
    </xf>
    <xf borderId="0" fillId="2" fontId="38" numFmtId="0" xfId="0" applyAlignment="1" applyFont="1">
      <alignment horizontal="left" vertical="center"/>
    </xf>
    <xf borderId="0" fillId="23" fontId="40" numFmtId="0" xfId="0" applyAlignment="1" applyFont="1">
      <alignment horizontal="center" shrinkToFit="0" vertical="center" wrapText="1"/>
    </xf>
    <xf borderId="7" fillId="5" fontId="80" numFmtId="0" xfId="0" applyAlignment="1" applyBorder="1" applyFont="1">
      <alignment horizontal="center" shrinkToFit="0" vertical="center" wrapText="1"/>
    </xf>
    <xf borderId="7" fillId="5" fontId="81" numFmtId="0" xfId="0" applyAlignment="1" applyBorder="1" applyFont="1">
      <alignment horizontal="center" shrinkToFit="0" vertical="center" wrapText="1"/>
    </xf>
    <xf borderId="0" fillId="5" fontId="81" numFmtId="0" xfId="0" applyAlignment="1" applyFont="1">
      <alignment horizontal="center" shrinkToFit="0" vertical="center" wrapText="1"/>
    </xf>
    <xf borderId="10" fillId="24" fontId="82" numFmtId="0" xfId="0" applyAlignment="1" applyBorder="1" applyFont="1">
      <alignment horizontal="center" shrinkToFit="0" vertical="center" wrapText="1"/>
    </xf>
    <xf borderId="10" fillId="24" fontId="82" numFmtId="0" xfId="0" applyAlignment="1" applyBorder="1" applyFont="1">
      <alignment horizontal="left" readingOrder="0" shrinkToFit="0" vertical="center" wrapText="1"/>
    </xf>
    <xf borderId="0" fillId="24" fontId="82" numFmtId="0" xfId="0" applyAlignment="1" applyFont="1">
      <alignment horizontal="left" readingOrder="0" shrinkToFit="0" vertical="center" wrapText="1"/>
    </xf>
    <xf borderId="10" fillId="24" fontId="82" numFmtId="0" xfId="0" applyAlignment="1" applyBorder="1" applyFont="1">
      <alignment horizontal="left" shrinkToFit="0" vertical="center" wrapText="1"/>
    </xf>
    <xf borderId="0" fillId="24" fontId="82" numFmtId="0" xfId="0" applyAlignment="1" applyFont="1">
      <alignment horizontal="left" shrinkToFit="0" vertical="center" wrapText="1"/>
    </xf>
    <xf borderId="6" fillId="22" fontId="39" numFmtId="0" xfId="0" applyAlignment="1" applyBorder="1" applyFont="1">
      <alignment horizontal="center"/>
    </xf>
    <xf borderId="3" fillId="2" fontId="52" numFmtId="0" xfId="0" applyAlignment="1" applyBorder="1" applyFont="1">
      <alignment horizontal="left" vertical="center"/>
    </xf>
    <xf borderId="10" fillId="2" fontId="47" numFmtId="0" xfId="0" applyAlignment="1" applyBorder="1" applyFont="1">
      <alignment horizontal="center" readingOrder="0" shrinkToFit="0" vertical="center" wrapText="1"/>
    </xf>
    <xf borderId="0" fillId="0" fontId="10" numFmtId="0" xfId="0" applyFont="1"/>
    <xf borderId="10" fillId="4" fontId="83" numFmtId="0" xfId="0" applyAlignment="1" applyBorder="1" applyFont="1">
      <alignment horizontal="left" shrinkToFit="0" vertical="center" wrapText="1"/>
    </xf>
    <xf borderId="10" fillId="0" fontId="48" numFmtId="165" xfId="0" applyAlignment="1" applyBorder="1" applyFont="1" applyNumberFormat="1">
      <alignment horizontal="center" shrinkToFit="0" vertical="center" wrapText="1"/>
    </xf>
    <xf borderId="10" fillId="24" fontId="49" numFmtId="165" xfId="0" applyAlignment="1" applyBorder="1" applyFont="1" applyNumberFormat="1">
      <alignment horizontal="center" shrinkToFit="0" vertical="center" wrapText="1"/>
    </xf>
    <xf borderId="10" fillId="23" fontId="40" numFmtId="0" xfId="0" applyAlignment="1" applyBorder="1" applyFont="1">
      <alignment horizontal="left" shrinkToFit="0" vertical="center" wrapText="1"/>
    </xf>
    <xf borderId="10" fillId="24" fontId="48" numFmtId="170" xfId="0" applyAlignment="1" applyBorder="1" applyFont="1" applyNumberFormat="1">
      <alignment horizontal="center" shrinkToFit="0" vertical="center" wrapText="1"/>
    </xf>
    <xf borderId="10" fillId="24" fontId="84" numFmtId="170" xfId="0" applyAlignment="1" applyBorder="1" applyFont="1" applyNumberFormat="1">
      <alignment horizontal="center" shrinkToFit="0" vertical="center" wrapText="1"/>
    </xf>
    <xf borderId="10" fillId="2" fontId="52" numFmtId="0" xfId="0" applyAlignment="1" applyBorder="1" applyFont="1">
      <alignment horizontal="center" shrinkToFit="0" vertical="center" wrapText="1"/>
    </xf>
    <xf borderId="10" fillId="2" fontId="52" numFmtId="170" xfId="0" applyAlignment="1" applyBorder="1" applyFont="1" applyNumberFormat="1">
      <alignment horizontal="center" shrinkToFit="0" vertical="center" wrapText="1"/>
    </xf>
    <xf borderId="1" fillId="10" fontId="35" numFmtId="0" xfId="0" applyAlignment="1" applyBorder="1" applyFont="1">
      <alignment horizontal="left" shrinkToFit="0" vertical="center" wrapText="1"/>
    </xf>
    <xf borderId="7" fillId="23" fontId="85" numFmtId="0" xfId="0" applyAlignment="1" applyBorder="1" applyFont="1">
      <alignment horizontal="left" shrinkToFit="0" vertical="center" wrapText="1"/>
    </xf>
    <xf borderId="7" fillId="5" fontId="86" numFmtId="0" xfId="0" applyAlignment="1" applyBorder="1" applyFont="1">
      <alignment horizontal="left" shrinkToFit="0" vertical="center" wrapText="1"/>
    </xf>
    <xf borderId="7" fillId="5" fontId="87" numFmtId="170" xfId="0" applyAlignment="1" applyBorder="1" applyFont="1" applyNumberFormat="1">
      <alignment horizontal="left" shrinkToFit="0" vertical="center" wrapText="1"/>
    </xf>
    <xf borderId="7" fillId="5" fontId="88" numFmtId="170" xfId="0" applyAlignment="1" applyBorder="1" applyFont="1" applyNumberFormat="1">
      <alignment horizontal="left" shrinkToFit="0" vertical="center" wrapText="1"/>
    </xf>
    <xf borderId="7" fillId="5" fontId="89" numFmtId="170" xfId="0" applyAlignment="1" applyBorder="1" applyFont="1" applyNumberFormat="1">
      <alignment horizontal="left" shrinkToFit="0" vertical="center" wrapText="1"/>
    </xf>
    <xf borderId="10" fillId="0" fontId="48" numFmtId="176" xfId="0" applyAlignment="1" applyBorder="1" applyFont="1" applyNumberFormat="1">
      <alignment horizontal="left" shrinkToFit="0" vertical="center" wrapText="1"/>
    </xf>
    <xf borderId="10" fillId="0" fontId="48" numFmtId="175" xfId="0" applyAlignment="1" applyBorder="1" applyFont="1" applyNumberFormat="1">
      <alignment horizontal="left" shrinkToFit="0" vertical="center" wrapText="1"/>
    </xf>
    <xf borderId="10" fillId="24" fontId="82" numFmtId="170" xfId="0" applyAlignment="1" applyBorder="1" applyFont="1" applyNumberFormat="1">
      <alignment horizontal="left" shrinkToFit="0" vertical="center" wrapText="1"/>
    </xf>
    <xf borderId="10" fillId="24" fontId="49" numFmtId="170" xfId="0" applyAlignment="1" applyBorder="1" applyFont="1" applyNumberFormat="1">
      <alignment horizontal="left" shrinkToFit="0" vertical="center" wrapText="1"/>
    </xf>
    <xf borderId="10" fillId="24" fontId="49" numFmtId="9" xfId="0" applyAlignment="1" applyBorder="1" applyFont="1" applyNumberFormat="1">
      <alignment horizontal="center" shrinkToFit="0" vertical="center" wrapText="1"/>
    </xf>
    <xf borderId="10" fillId="24" fontId="82" numFmtId="9" xfId="0" applyAlignment="1" applyBorder="1" applyFont="1" applyNumberFormat="1">
      <alignment horizontal="left" shrinkToFit="0" vertical="center" wrapText="1"/>
    </xf>
    <xf borderId="10" fillId="24" fontId="48" numFmtId="165" xfId="0" applyAlignment="1" applyBorder="1" applyFont="1" applyNumberFormat="1">
      <alignment horizontal="left" shrinkToFit="0" vertical="center" wrapText="1"/>
    </xf>
    <xf borderId="10" fillId="0" fontId="48" numFmtId="170" xfId="0" applyAlignment="1" applyBorder="1" applyFont="1" applyNumberFormat="1">
      <alignment horizontal="left" shrinkToFit="0" vertical="center" wrapText="1"/>
    </xf>
    <xf borderId="10" fillId="24" fontId="90" numFmtId="165" xfId="0" applyAlignment="1" applyBorder="1" applyFont="1" applyNumberFormat="1">
      <alignment horizontal="left" shrinkToFit="0" vertical="center" wrapText="1"/>
    </xf>
    <xf borderId="0" fillId="0" fontId="10" numFmtId="9" xfId="0" applyAlignment="1" applyFont="1" applyNumberFormat="1">
      <alignment horizontal="center"/>
    </xf>
    <xf borderId="0" fillId="0" fontId="10" numFmtId="165" xfId="0" applyAlignment="1" applyFont="1" applyNumberFormat="1">
      <alignment horizontal="left"/>
    </xf>
    <xf borderId="0" fillId="10" fontId="55" numFmtId="0" xfId="0" applyAlignment="1" applyFont="1">
      <alignment horizontal="center" readingOrder="0" vertical="center"/>
    </xf>
    <xf borderId="0" fillId="0" fontId="10" numFmtId="0" xfId="0" applyFont="1"/>
    <xf borderId="10" fillId="3" fontId="3" numFmtId="0" xfId="0" applyAlignment="1" applyBorder="1" applyFont="1">
      <alignment readingOrder="0" shrinkToFit="0" vertical="center" wrapText="1"/>
    </xf>
    <xf borderId="10" fillId="0" fontId="0" numFmtId="0" xfId="0" applyAlignment="1" applyBorder="1" applyFont="1">
      <alignment readingOrder="0" shrinkToFit="0" vertical="center" wrapText="1"/>
    </xf>
    <xf borderId="10" fillId="0" fontId="3" numFmtId="0" xfId="0" applyAlignment="1" applyBorder="1" applyFont="1">
      <alignment readingOrder="0" shrinkToFit="0" vertical="center" wrapText="1"/>
    </xf>
    <xf borderId="0" fillId="0" fontId="16" numFmtId="0" xfId="0" applyAlignment="1" applyFont="1">
      <alignment readingOrder="0"/>
    </xf>
    <xf borderId="0" fillId="0" fontId="10" numFmtId="49" xfId="0" applyAlignment="1" applyFont="1" applyNumberFormat="1">
      <alignment readingOrder="0"/>
    </xf>
    <xf borderId="0" fillId="0" fontId="48" numFmtId="0" xfId="0" applyAlignment="1" applyFont="1">
      <alignment horizontal="left" shrinkToFit="0" vertical="center" wrapText="1"/>
    </xf>
  </cellXfs>
  <cellStyles count="1">
    <cellStyle xfId="0" name="Normal" builtinId="0"/>
  </cellStyles>
  <dxfs count="32">
    <dxf>
      <font>
        <b/>
        <color rgb="FF9C0006"/>
      </font>
      <fill>
        <patternFill patternType="solid">
          <fgColor rgb="FFFFC7CE"/>
          <bgColor rgb="FFFFC7CE"/>
        </patternFill>
      </fill>
      <border/>
    </dxf>
    <dxf>
      <font>
        <b/>
        <color rgb="FF9C6500"/>
      </font>
      <fill>
        <patternFill patternType="solid">
          <fgColor rgb="FFFFEB9C"/>
          <bgColor rgb="FFFFEB9C"/>
        </patternFill>
      </fill>
      <border/>
    </dxf>
    <dxf>
      <font>
        <b/>
        <color rgb="FF006100"/>
      </font>
      <fill>
        <patternFill patternType="solid">
          <fgColor rgb="FFC6EFCE"/>
          <bgColor rgb="FFC6EFCE"/>
        </patternFill>
      </fill>
      <border/>
    </dxf>
    <dxf>
      <font>
        <b/>
        <color rgb="FF2F5496"/>
      </font>
      <fill>
        <patternFill patternType="solid">
          <fgColor rgb="FFDDEBF7"/>
          <bgColor rgb="FFDDEBF7"/>
        </patternFill>
      </fill>
      <border/>
    </dxf>
    <dxf>
      <font>
        <b/>
        <color rgb="FFC65911"/>
      </font>
      <fill>
        <patternFill patternType="solid">
          <fgColor rgb="FFFCE4D6"/>
          <bgColor rgb="FFFCE4D6"/>
        </patternFill>
      </fill>
      <border/>
    </dxf>
    <dxf>
      <font>
        <b/>
        <color rgb="FF7F7F7F"/>
      </font>
      <fill>
        <patternFill patternType="solid">
          <fgColor rgb="FFE7E6E6"/>
          <bgColor rgb="FFE7E6E6"/>
        </patternFill>
      </fill>
      <border/>
    </dxf>
    <dxf>
      <font>
        <b/>
        <color rgb="FF0B5394"/>
      </font>
      <fill>
        <patternFill patternType="solid">
          <fgColor rgb="FFCFE2F3"/>
          <bgColor rgb="FFCFE2F3"/>
        </patternFill>
      </fill>
      <border/>
    </dxf>
    <dxf>
      <font>
        <b/>
        <color rgb="FF7F6000"/>
      </font>
      <fill>
        <patternFill patternType="solid">
          <fgColor rgb="FFFFF2CC"/>
          <bgColor rgb="FFFFF2CC"/>
        </patternFill>
      </fill>
      <border/>
    </dxf>
    <dxf>
      <font>
        <b/>
        <color rgb="FFB45F06"/>
      </font>
      <fill>
        <patternFill patternType="solid">
          <fgColor rgb="FFFCE5CD"/>
          <bgColor rgb="FFFCE5CD"/>
        </patternFill>
      </fill>
      <border/>
    </dxf>
    <dxf>
      <font>
        <b/>
        <color rgb="FF274E13"/>
      </font>
      <fill>
        <patternFill patternType="solid">
          <fgColor rgb="FFD9EAD3"/>
          <bgColor rgb="FFD9EAD3"/>
        </patternFill>
      </fill>
      <border/>
    </dxf>
    <dxf>
      <font>
        <b/>
        <color rgb="FF666666"/>
      </font>
      <fill>
        <patternFill patternType="solid">
          <fgColor rgb="FFEFEFEF"/>
          <bgColor rgb="FFEFEFEF"/>
        </patternFill>
      </fill>
      <border/>
    </dxf>
    <dxf>
      <font>
        <b/>
      </font>
      <fill>
        <patternFill patternType="solid">
          <fgColor rgb="FFF9CB9C"/>
          <bgColor rgb="FFF9CB9C"/>
        </patternFill>
      </fill>
      <border/>
    </dxf>
    <dxf>
      <font>
        <b/>
        <color rgb="FF9C6500"/>
      </font>
      <fill>
        <patternFill patternType="solid">
          <fgColor rgb="FFFFF2CC"/>
          <bgColor rgb="FFFFF2CC"/>
        </patternFill>
      </fill>
      <border/>
    </dxf>
    <dxf>
      <font>
        <b/>
        <color rgb="FF375623"/>
      </font>
      <fill>
        <patternFill patternType="solid">
          <fgColor rgb="FFE2EFDA"/>
          <bgColor rgb="FFE2EFDA"/>
        </patternFill>
      </fill>
      <border/>
    </dxf>
    <dxf>
      <font>
        <b/>
        <sz val="10.0"/>
        <color rgb="FFC65911"/>
        <name val="Arial"/>
      </font>
      <fill>
        <patternFill patternType="solid">
          <fgColor rgb="FFFCE4D6"/>
          <bgColor rgb="FFFCE4D6"/>
        </patternFill>
      </fill>
      <border/>
    </dxf>
    <dxf>
      <font>
        <b/>
        <sz val="10.0"/>
        <color rgb="FF2F5496"/>
        <name val="Arial"/>
      </font>
      <fill>
        <patternFill patternType="solid">
          <fgColor rgb="FFDDEBF7"/>
          <bgColor rgb="FFDDEBF7"/>
        </patternFill>
      </fill>
      <border/>
    </dxf>
    <dxf>
      <font>
        <b/>
        <sz val="10.0"/>
        <color rgb="FF7030A0"/>
        <name val="Arial"/>
      </font>
      <fill>
        <patternFill patternType="solid">
          <fgColor rgb="FFE4DFEC"/>
          <bgColor rgb="FFE4DFEC"/>
        </patternFill>
      </fill>
      <border/>
    </dxf>
    <dxf>
      <font>
        <b/>
        <sz val="10.0"/>
        <color rgb="FF44546A"/>
        <name val="Arial"/>
      </font>
      <fill>
        <patternFill patternType="solid">
          <fgColor rgb="FFD6DCE4"/>
          <bgColor rgb="FFD6DCE4"/>
        </patternFill>
      </fill>
      <border/>
    </dxf>
    <dxf>
      <font>
        <b/>
        <sz val="10.0"/>
        <color rgb="FF1F6F5C"/>
        <name val="Arial"/>
      </font>
      <fill>
        <patternFill patternType="solid">
          <fgColor rgb="FFD0E8E4"/>
          <bgColor rgb="FFD0E8E4"/>
        </patternFill>
      </fill>
      <border/>
    </dxf>
    <dxf>
      <font>
        <b/>
        <sz val="10.0"/>
        <color rgb="FF9C0006"/>
        <name val="Arial"/>
      </font>
      <fill>
        <patternFill patternType="solid">
          <fgColor rgb="FFFFC7CE"/>
          <bgColor rgb="FFFFC7CE"/>
        </patternFill>
      </fill>
      <border/>
    </dxf>
    <dxf>
      <font>
        <b/>
        <sz val="10.0"/>
        <color rgb="FF9C6500"/>
        <name val="Arial"/>
      </font>
      <fill>
        <patternFill patternType="solid">
          <fgColor rgb="FFFFEB9C"/>
          <bgColor rgb="FFFFEB9C"/>
        </patternFill>
      </fill>
      <border/>
    </dxf>
    <dxf>
      <font>
        <b/>
        <sz val="10.0"/>
        <color rgb="FF006100"/>
        <name val="Arial"/>
      </font>
      <fill>
        <patternFill patternType="solid">
          <fgColor rgb="FFC6EFCE"/>
          <bgColor rgb="FFC6EFCE"/>
        </patternFill>
      </fill>
      <border/>
    </dxf>
    <dxf>
      <font/>
      <fill>
        <patternFill patternType="solid">
          <fgColor rgb="FFEEF3F8"/>
          <bgColor rgb="FFEEF3F8"/>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7F7F7F"/>
      </font>
      <fill>
        <patternFill patternType="solid">
          <fgColor rgb="FFE7E6E6"/>
          <bgColor rgb="FFE7E6E6"/>
        </patternFill>
      </fill>
      <border/>
    </dxf>
    <dxf>
      <font>
        <b/>
        <sz val="10.0"/>
        <color rgb="FF7F7F7F"/>
        <name val="Arial"/>
      </font>
      <fill>
        <patternFill patternType="solid">
          <fgColor rgb="FFF2F2F2"/>
          <bgColor rgb="FFF2F2F2"/>
        </patternFill>
      </fill>
      <border/>
    </dxf>
    <dxf>
      <font>
        <b/>
        <sz val="10.0"/>
        <color rgb="FF7F7F7F"/>
        <name val="Arial"/>
      </font>
      <fill>
        <patternFill patternType="solid">
          <fgColor rgb="FFE7E6E6"/>
          <bgColor rgb="FFE7E6E6"/>
        </patternFill>
      </fill>
      <border/>
    </dxf>
    <dxf>
      <font>
        <b/>
        <sz val="10.0"/>
        <color rgb="FF9C6500"/>
        <name val="Arial"/>
      </font>
      <fill>
        <patternFill patternType="solid">
          <fgColor rgb="FFFFF2CC"/>
          <bgColor rgb="FFFFF2CC"/>
        </patternFill>
      </fill>
      <border/>
    </dxf>
    <dxf>
      <font>
        <b/>
        <sz val="10.0"/>
        <color rgb="FF375623"/>
        <name val="Arial"/>
      </font>
      <fill>
        <patternFill patternType="solid">
          <fgColor rgb="FFE2EFDA"/>
          <bgColor rgb="FFE2EFDA"/>
        </patternFill>
      </fill>
      <border/>
    </dxf>
    <dxf>
      <font>
        <b/>
        <sz val="10.0"/>
        <color rgb="FF9C0006"/>
        <name val="Arial"/>
      </font>
      <fill>
        <patternFill patternType="solid">
          <fgColor rgb="FFF4CCCC"/>
          <bgColor rgb="FFF4CCCC"/>
        </patternFill>
      </fill>
      <border/>
    </dxf>
    <dxf>
      <font>
        <b/>
        <sz val="10.0"/>
        <color rgb="FF404040"/>
        <name val="Arial"/>
      </font>
      <fill>
        <patternFill patternType="solid">
          <fgColor rgb="FFE7E6E6"/>
          <bgColor rgb="FFE7E6E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Subitens por disciplina</a:t>
            </a:r>
          </a:p>
        </c:rich>
      </c:tx>
      <c:overlay val="0"/>
    </c:title>
    <c:plotArea>
      <c:layout/>
      <c:barChart>
        <c:barDir val="col"/>
        <c:ser>
          <c:idx val="0"/>
          <c:order val="0"/>
          <c:spPr>
            <a:solidFill>
              <a:schemeClr val="accent1"/>
            </a:solidFill>
            <a:ln cmpd="sng">
              <a:noFill/>
            </a:ln>
          </c:spPr>
          <c:cat>
            <c:strRef>
              <c:f>'📊 Dashboard'!$A$9:$A$23</c:f>
            </c:strRef>
          </c:cat>
          <c:val>
            <c:numRef>
              <c:f>'📊 Dashboard'!$B$9:$B$23</c:f>
              <c:numCache/>
            </c:numRef>
          </c:val>
        </c:ser>
        <c:axId val="1082580968"/>
        <c:axId val="2007001441"/>
      </c:barChart>
      <c:catAx>
        <c:axId val="1082580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07001441"/>
      </c:catAx>
      <c:valAx>
        <c:axId val="20070014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2580968"/>
      </c:valAx>
    </c:plotArea>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Status das etapas</a:t>
            </a:r>
          </a:p>
        </c:rich>
      </c:tx>
      <c:overlay val="0"/>
    </c:title>
    <c:plotArea>
      <c:layout/>
      <c:doughnutChart>
        <c:varyColors val="1"/>
        <c:ser>
          <c:idx val="0"/>
          <c:order val="0"/>
          <c:dPt>
            <c:idx val="0"/>
            <c:spPr>
              <a:solidFill>
                <a:srgbClr val="1F7A3D"/>
              </a:solidFill>
            </c:spPr>
          </c:dPt>
          <c:dPt>
            <c:idx val="1"/>
            <c:spPr>
              <a:solidFill>
                <a:srgbClr val="BF9000"/>
              </a:solidFill>
            </c:spPr>
          </c:dPt>
          <c:dPt>
            <c:idx val="2"/>
            <c:spPr>
              <a:solidFill>
                <a:srgbClr val="999999"/>
              </a:solidFill>
            </c:spPr>
          </c:dPt>
          <c:dLbls>
            <c:showLegendKey val="0"/>
            <c:showVal val="0"/>
            <c:showCatName val="0"/>
            <c:showSerName val="0"/>
            <c:showPercent val="0"/>
            <c:showBubbleSize val="0"/>
            <c:showLeaderLines val="1"/>
          </c:dLbls>
          <c:cat>
            <c:strRef>
              <c:f>Dashboard_OLD!$B$10:$B$12</c:f>
            </c:strRef>
          </c:cat>
          <c:val>
            <c:numRef>
              <c:f>Dashboard_OLD!$C$10:$C$12</c:f>
              <c:numCache/>
            </c:numRef>
          </c:val>
        </c:ser>
        <c:dLbls>
          <c:showLegendKey val="0"/>
          <c:showVal val="0"/>
          <c:showCatName val="0"/>
          <c:showSerName val="0"/>
          <c:showPercent val="0"/>
          <c:showBubbleSize val="0"/>
        </c:dLbls>
        <c:holeSize val="45"/>
      </c:doughnutChart>
    </c:plotArea>
    <c:legend>
      <c:legendPos val="r"/>
      <c:overlay val="0"/>
      <c:txPr>
        <a:bodyPr/>
        <a:lstStyle/>
        <a:p>
          <a:pPr lvl="0">
            <a:defRPr b="0">
              <a:solidFill>
                <a:srgbClr val="1A1A1A"/>
              </a:solidFill>
              <a:latin typeface="+mn-lt"/>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Etapas por segmento</a:t>
            </a:r>
          </a:p>
        </c:rich>
      </c:tx>
      <c:overlay val="0"/>
    </c:title>
    <c:plotArea>
      <c:layout/>
      <c:barChart>
        <c:barDir val="col"/>
        <c:ser>
          <c:idx val="0"/>
          <c:order val="0"/>
          <c:spPr>
            <a:solidFill>
              <a:srgbClr val="1F3864"/>
            </a:solidFill>
            <a:ln cmpd="sng">
              <a:noFill/>
            </a:ln>
          </c:spPr>
          <c:cat>
            <c:strRef>
              <c:f>Dashboard_OLD!$H$9:$H$24</c:f>
            </c:strRef>
          </c:cat>
          <c:val>
            <c:numRef>
              <c:f>Dashboard_OLD!$I$9:$I$24</c:f>
              <c:numCache/>
            </c:numRef>
          </c:val>
        </c:ser>
        <c:axId val="616037998"/>
        <c:axId val="1066852951"/>
      </c:barChart>
      <c:catAx>
        <c:axId val="6160379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66852951"/>
      </c:catAx>
      <c:valAx>
        <c:axId val="10668529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16037998"/>
      </c:valAx>
    </c:plotArea>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47625</xdr:colOff>
      <xdr:row>6</xdr:row>
      <xdr:rowOff>47625</xdr:rowOff>
    </xdr:from>
    <xdr:ext cx="4381500" cy="34290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57150</xdr:colOff>
      <xdr:row>3</xdr:row>
      <xdr:rowOff>0</xdr:rowOff>
    </xdr:from>
    <xdr:ext cx="4095750" cy="22860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57150</xdr:colOff>
      <xdr:row>19</xdr:row>
      <xdr:rowOff>0</xdr:rowOff>
    </xdr:from>
    <xdr:ext cx="4953000" cy="2667000"/>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2" width="28.71"/>
    <col customWidth="1" min="3" max="3" width="40.14"/>
    <col customWidth="1" min="4" max="4" width="48.71"/>
    <col customWidth="1" min="5" max="6" width="28.71"/>
  </cols>
  <sheetData>
    <row r="1" ht="30.0" customHeight="1">
      <c r="A1" s="1" t="s">
        <v>0</v>
      </c>
    </row>
    <row r="2" ht="21.0" customHeight="1">
      <c r="A2" s="2" t="str">
        <f>"Hoje: "&amp;TEXT(TODAY(),"dd/mm/yyyy")&amp;" - "&amp;TEXT(TODAY(),"dddd")</f>
        <v>Hoje: 28/06/2026 - domingo</v>
      </c>
    </row>
    <row r="4" ht="22.5" customHeight="1">
      <c r="A4" s="3" t="s">
        <v>1</v>
      </c>
      <c r="B4" s="3" t="s">
        <v>2</v>
      </c>
      <c r="C4" s="3" t="s">
        <v>3</v>
      </c>
      <c r="D4" s="3" t="s">
        <v>4</v>
      </c>
      <c r="E4" s="3" t="s">
        <v>5</v>
      </c>
      <c r="F4" s="3" t="s">
        <v>6</v>
      </c>
    </row>
    <row r="5" ht="37.5" customHeight="1">
      <c r="A5" s="4">
        <f>COUNTIF(Gestao!F8:F171,"Atrasado")</f>
        <v>57</v>
      </c>
      <c r="B5" s="5">
        <f>COUNTIF(Gestao!F8:F171,"Em andamento")</f>
        <v>32</v>
      </c>
      <c r="C5" s="6">
        <f>COUNTIF(Gestao!F8:F171,"A iniciar")</f>
        <v>74</v>
      </c>
      <c r="D5" s="7">
        <f>COUNTIF(Gestao!$G$8:$G$500,"Finalizado")</f>
        <v>0</v>
      </c>
      <c r="E5" s="8">
        <f>COUNTA(Detalhamento!A9:A329)</f>
        <v>321</v>
      </c>
      <c r="F5" s="7">
        <f>SUMPRODUCT((Detalhamento!E9:E329&lt;=TODAY())*(Detalhamento!F9:F329&gt;=TODAY())*(Detalhamento!A9:A329&lt;&gt;""))</f>
        <v>0</v>
      </c>
    </row>
    <row r="7" ht="21.0" customHeight="1">
      <c r="A7" s="9" t="s">
        <v>7</v>
      </c>
    </row>
    <row r="8">
      <c r="A8" s="10" t="s">
        <v>8</v>
      </c>
      <c r="B8" s="10" t="s">
        <v>9</v>
      </c>
      <c r="C8" s="10" t="s">
        <v>10</v>
      </c>
      <c r="D8" s="10" t="s">
        <v>11</v>
      </c>
      <c r="E8" s="10" t="s">
        <v>12</v>
      </c>
      <c r="F8" s="10" t="s">
        <v>13</v>
      </c>
    </row>
    <row r="9">
      <c r="A9" s="11" t="str">
        <f>IFERROR(__xludf.DUMMYFUNCTION("IFERROR(QUERY(Detalhamento!A9:H2020,""select A,B,C,D,F,H where A is not null and H &lt;&gt; 'Concluído' and F &lt; date '""&amp;TEXT(TODAY(),""yyyy-mm-dd"")&amp;""' order by F limit 50"",0),""Nenhum subitem atrasado"")"),"Nenhum subitem atrasado")</f>
        <v>Nenhum subitem atrasado</v>
      </c>
      <c r="B9" s="11"/>
      <c r="C9" s="12"/>
      <c r="D9" s="13"/>
      <c r="E9" s="14"/>
      <c r="F9" s="15"/>
    </row>
    <row r="10">
      <c r="A10" s="15"/>
      <c r="B10" s="15"/>
      <c r="C10" s="12"/>
      <c r="D10" s="13"/>
      <c r="E10" s="14"/>
      <c r="F10" s="15"/>
    </row>
    <row r="11">
      <c r="A11" s="15"/>
      <c r="B11" s="15"/>
      <c r="C11" s="12"/>
      <c r="D11" s="13"/>
      <c r="E11" s="14"/>
      <c r="F11" s="15"/>
    </row>
    <row r="12">
      <c r="A12" s="15"/>
      <c r="B12" s="15"/>
      <c r="C12" s="12"/>
      <c r="D12" s="13"/>
      <c r="E12" s="14"/>
      <c r="F12" s="15"/>
    </row>
    <row r="13">
      <c r="A13" s="15"/>
      <c r="B13" s="15"/>
      <c r="C13" s="12"/>
      <c r="D13" s="13"/>
      <c r="E13" s="14"/>
      <c r="F13" s="15"/>
    </row>
    <row r="14">
      <c r="A14" s="15"/>
      <c r="B14" s="15"/>
      <c r="C14" s="12"/>
      <c r="D14" s="13"/>
      <c r="E14" s="14"/>
      <c r="F14" s="15"/>
    </row>
    <row r="15">
      <c r="A15" s="15"/>
      <c r="B15" s="15"/>
      <c r="C15" s="12"/>
      <c r="D15" s="13"/>
      <c r="E15" s="14"/>
      <c r="F15" s="15"/>
    </row>
    <row r="16">
      <c r="A16" s="15"/>
      <c r="B16" s="15"/>
      <c r="C16" s="12"/>
      <c r="D16" s="13"/>
      <c r="E16" s="14"/>
      <c r="F16" s="15"/>
    </row>
    <row r="17">
      <c r="A17" s="15"/>
      <c r="B17" s="15"/>
      <c r="C17" s="12"/>
      <c r="D17" s="13"/>
      <c r="E17" s="14"/>
      <c r="F17" s="15"/>
    </row>
    <row r="18">
      <c r="A18" s="15"/>
      <c r="B18" s="15"/>
      <c r="C18" s="12"/>
      <c r="D18" s="13"/>
      <c r="E18" s="14"/>
      <c r="F18" s="15"/>
    </row>
    <row r="19">
      <c r="A19" s="15"/>
      <c r="B19" s="15"/>
      <c r="C19" s="12"/>
      <c r="D19" s="13"/>
      <c r="E19" s="14"/>
      <c r="F19" s="15"/>
    </row>
    <row r="20" ht="21.0" customHeight="1">
      <c r="A20" s="11"/>
      <c r="B20" s="11"/>
      <c r="C20" s="16"/>
      <c r="D20" s="17"/>
      <c r="E20" s="14"/>
      <c r="F20" s="11"/>
    </row>
    <row r="21">
      <c r="A21" s="11"/>
      <c r="B21" s="11"/>
      <c r="C21" s="16"/>
      <c r="D21" s="17"/>
      <c r="E21" s="14"/>
      <c r="F21" s="11"/>
    </row>
    <row r="22">
      <c r="A22" s="15"/>
      <c r="B22" s="15"/>
      <c r="C22" s="12"/>
      <c r="D22" s="13"/>
      <c r="E22" s="14"/>
      <c r="F22" s="15"/>
    </row>
    <row r="23">
      <c r="A23" s="15"/>
      <c r="B23" s="15"/>
      <c r="C23" s="12"/>
      <c r="D23" s="13"/>
      <c r="E23" s="14"/>
      <c r="F23" s="15"/>
    </row>
    <row r="24">
      <c r="A24" s="15"/>
      <c r="B24" s="15"/>
      <c r="C24" s="12"/>
      <c r="D24" s="13"/>
      <c r="E24" s="14"/>
      <c r="F24" s="15"/>
    </row>
    <row r="25">
      <c r="A25" s="15"/>
      <c r="B25" s="15"/>
      <c r="C25" s="12"/>
      <c r="D25" s="13"/>
      <c r="E25" s="14"/>
      <c r="F25" s="15"/>
    </row>
    <row r="26">
      <c r="A26" s="15"/>
      <c r="B26" s="15"/>
      <c r="C26" s="12"/>
      <c r="D26" s="13"/>
      <c r="E26" s="14"/>
      <c r="F26" s="15"/>
    </row>
    <row r="27">
      <c r="A27" s="15"/>
      <c r="B27" s="15"/>
      <c r="C27" s="12"/>
      <c r="D27" s="13"/>
      <c r="E27" s="14"/>
      <c r="F27" s="15"/>
    </row>
    <row r="28">
      <c r="A28" s="15"/>
      <c r="B28" s="15"/>
      <c r="C28" s="12"/>
      <c r="D28" s="13"/>
      <c r="E28" s="14"/>
      <c r="F28" s="15"/>
    </row>
    <row r="29">
      <c r="A29" s="15"/>
      <c r="B29" s="15"/>
      <c r="C29" s="12"/>
      <c r="D29" s="13"/>
      <c r="E29" s="14"/>
      <c r="F29" s="15"/>
    </row>
    <row r="30">
      <c r="A30" s="15"/>
      <c r="B30" s="15"/>
      <c r="C30" s="12"/>
      <c r="D30" s="13"/>
      <c r="E30" s="14"/>
      <c r="F30" s="15"/>
    </row>
    <row r="31">
      <c r="A31" s="15"/>
      <c r="B31" s="15"/>
      <c r="C31" s="12"/>
      <c r="D31" s="13"/>
      <c r="E31" s="14"/>
      <c r="F31" s="15"/>
    </row>
    <row r="32">
      <c r="A32" s="15"/>
      <c r="B32" s="15"/>
      <c r="C32" s="12"/>
      <c r="D32" s="13"/>
      <c r="E32" s="14"/>
      <c r="F32" s="15"/>
    </row>
    <row r="33">
      <c r="A33" s="15"/>
      <c r="B33" s="15"/>
      <c r="C33" s="12"/>
      <c r="D33" s="13"/>
      <c r="E33" s="14"/>
      <c r="F33" s="15"/>
    </row>
    <row r="34">
      <c r="A34" s="15"/>
      <c r="B34" s="15"/>
      <c r="C34" s="12"/>
      <c r="D34" s="13"/>
      <c r="E34" s="14"/>
      <c r="F34" s="15"/>
    </row>
    <row r="35">
      <c r="A35" s="15"/>
      <c r="B35" s="15"/>
      <c r="C35" s="12"/>
      <c r="D35" s="13"/>
      <c r="E35" s="14"/>
      <c r="F35" s="15"/>
    </row>
    <row r="36">
      <c r="A36" s="15"/>
      <c r="B36" s="15"/>
      <c r="C36" s="12"/>
      <c r="D36" s="13"/>
      <c r="E36" s="14"/>
      <c r="F36" s="15"/>
    </row>
    <row r="37">
      <c r="A37" s="15"/>
      <c r="B37" s="15"/>
      <c r="C37" s="12"/>
      <c r="D37" s="13"/>
      <c r="E37" s="14"/>
      <c r="F37" s="15"/>
    </row>
    <row r="38" ht="21.0" customHeight="1">
      <c r="A38" s="11"/>
      <c r="B38" s="11"/>
      <c r="C38" s="16"/>
      <c r="D38" s="17"/>
      <c r="E38" s="14"/>
      <c r="F38" s="11"/>
    </row>
    <row r="39">
      <c r="A39" s="11"/>
      <c r="B39" s="11"/>
      <c r="C39" s="16"/>
      <c r="D39" s="17"/>
      <c r="E39" s="14"/>
      <c r="F39" s="11"/>
    </row>
    <row r="40">
      <c r="A40" s="15"/>
      <c r="B40" s="15"/>
      <c r="C40" s="12"/>
      <c r="D40" s="13"/>
      <c r="E40" s="14"/>
      <c r="F40" s="15"/>
    </row>
    <row r="41">
      <c r="A41" s="15"/>
      <c r="B41" s="15"/>
      <c r="C41" s="12"/>
      <c r="D41" s="13"/>
      <c r="E41" s="14"/>
      <c r="F41" s="15"/>
    </row>
    <row r="42">
      <c r="A42" s="15"/>
      <c r="B42" s="15"/>
      <c r="C42" s="12"/>
      <c r="D42" s="13"/>
      <c r="E42" s="14"/>
      <c r="F42" s="15"/>
    </row>
    <row r="43">
      <c r="A43" s="15"/>
      <c r="B43" s="15"/>
      <c r="C43" s="12"/>
      <c r="D43" s="13"/>
      <c r="E43" s="14"/>
      <c r="F43" s="15"/>
    </row>
    <row r="44">
      <c r="A44" s="15"/>
      <c r="B44" s="15"/>
      <c r="C44" s="12"/>
      <c r="D44" s="13"/>
      <c r="E44" s="14"/>
      <c r="F44" s="15"/>
    </row>
    <row r="45">
      <c r="A45" s="15"/>
      <c r="B45" s="15"/>
      <c r="C45" s="12"/>
      <c r="D45" s="13"/>
      <c r="E45" s="14"/>
      <c r="F45" s="15"/>
    </row>
    <row r="46">
      <c r="A46" s="15"/>
      <c r="B46" s="15"/>
      <c r="C46" s="12"/>
      <c r="D46" s="13"/>
      <c r="E46" s="14"/>
      <c r="F46" s="15"/>
    </row>
    <row r="47">
      <c r="A47" s="15"/>
      <c r="B47" s="15"/>
      <c r="C47" s="12"/>
      <c r="D47" s="13"/>
      <c r="E47" s="14"/>
      <c r="F47" s="15"/>
    </row>
    <row r="48">
      <c r="A48" s="15"/>
      <c r="B48" s="15"/>
      <c r="C48" s="12"/>
      <c r="D48" s="13"/>
      <c r="E48" s="14"/>
      <c r="F48" s="15"/>
    </row>
    <row r="49">
      <c r="A49" s="15"/>
      <c r="B49" s="15"/>
      <c r="C49" s="12"/>
      <c r="D49" s="13"/>
      <c r="E49" s="14"/>
      <c r="F49" s="15"/>
    </row>
    <row r="50">
      <c r="A50" s="15"/>
      <c r="B50" s="15"/>
      <c r="C50" s="12"/>
      <c r="D50" s="13"/>
      <c r="E50" s="14"/>
      <c r="F50" s="15"/>
    </row>
    <row r="51">
      <c r="A51" s="15"/>
      <c r="B51" s="15"/>
      <c r="C51" s="12"/>
      <c r="D51" s="13"/>
      <c r="E51" s="14"/>
      <c r="F51" s="15"/>
    </row>
    <row r="52">
      <c r="A52" s="15"/>
      <c r="B52" s="15"/>
      <c r="C52" s="12"/>
      <c r="D52" s="13"/>
      <c r="E52" s="14"/>
      <c r="F52" s="15"/>
    </row>
    <row r="53">
      <c r="A53" s="15"/>
      <c r="B53" s="15"/>
      <c r="C53" s="12"/>
      <c r="D53" s="13"/>
      <c r="E53" s="14"/>
      <c r="F53" s="15"/>
    </row>
    <row r="54">
      <c r="A54" s="15"/>
      <c r="B54" s="15"/>
      <c r="C54" s="12"/>
      <c r="D54" s="13"/>
      <c r="E54" s="14"/>
      <c r="F54" s="15"/>
    </row>
    <row r="55">
      <c r="A55" s="15"/>
      <c r="B55" s="15"/>
      <c r="C55" s="12"/>
      <c r="D55" s="13"/>
      <c r="E55" s="14"/>
      <c r="F55" s="15"/>
    </row>
    <row r="56">
      <c r="A56" s="15"/>
      <c r="B56" s="15"/>
      <c r="C56" s="12"/>
      <c r="D56" s="13"/>
      <c r="E56" s="14"/>
      <c r="F56" s="15"/>
    </row>
    <row r="57">
      <c r="A57" s="15"/>
      <c r="B57" s="15"/>
      <c r="C57" s="12"/>
      <c r="D57" s="13"/>
      <c r="E57" s="14"/>
      <c r="F57" s="15"/>
    </row>
    <row r="58">
      <c r="A58" s="15"/>
      <c r="B58" s="15"/>
      <c r="C58" s="12"/>
      <c r="D58" s="13"/>
      <c r="E58" s="14"/>
      <c r="F58" s="15"/>
    </row>
    <row r="59">
      <c r="A59" s="15"/>
      <c r="B59" s="15"/>
      <c r="C59" s="12"/>
      <c r="D59" s="13"/>
      <c r="E59" s="14"/>
      <c r="F59" s="15"/>
    </row>
    <row r="60">
      <c r="A60" s="15"/>
      <c r="B60" s="15"/>
      <c r="C60" s="12"/>
      <c r="D60" s="13"/>
      <c r="E60" s="14"/>
      <c r="F60" s="15"/>
    </row>
    <row r="61">
      <c r="A61" s="15"/>
      <c r="B61" s="15"/>
      <c r="C61" s="12"/>
      <c r="D61" s="13"/>
      <c r="E61" s="14"/>
      <c r="F61" s="15"/>
    </row>
    <row r="62" ht="21.0" customHeight="1">
      <c r="A62" s="18" t="s">
        <v>14</v>
      </c>
    </row>
    <row r="63">
      <c r="A63" s="10" t="s">
        <v>8</v>
      </c>
      <c r="B63" s="10" t="s">
        <v>9</v>
      </c>
      <c r="C63" s="19" t="s">
        <v>10</v>
      </c>
      <c r="D63" s="20" t="s">
        <v>11</v>
      </c>
      <c r="E63" s="21" t="s">
        <v>15</v>
      </c>
      <c r="F63" s="10" t="s">
        <v>13</v>
      </c>
    </row>
    <row r="64">
      <c r="A64" s="15" t="str">
        <f>IFERROR(__xludf.DUMMYFUNCTION("IFERROR(QUERY(Detalhamento!A9:H2020,""select A,B,C,D,E,H where A is not null and E &gt;= date '""&amp;TEXT(TODAY(),""yyyy-mm-dd"")&amp;""' and E &lt;= date '""&amp;TEXT(TODAY()+15,""yyyy-mm-dd"")&amp;""' order by E limit 50"",0),""Nada nos próximos 15 dias"")"),"Nada nos próximos 15 dias")</f>
        <v>Nada nos próximos 15 dias</v>
      </c>
      <c r="B64" s="15"/>
      <c r="C64" s="12"/>
      <c r="D64" s="13"/>
      <c r="E64" s="14"/>
      <c r="F64" s="15"/>
    </row>
    <row r="65">
      <c r="A65" s="15"/>
      <c r="B65" s="15"/>
      <c r="C65" s="12"/>
      <c r="D65" s="13"/>
      <c r="E65" s="14"/>
      <c r="F65" s="15"/>
    </row>
    <row r="66">
      <c r="A66" s="15"/>
      <c r="B66" s="15"/>
      <c r="C66" s="12"/>
      <c r="D66" s="13"/>
      <c r="E66" s="14"/>
      <c r="F66" s="15"/>
    </row>
    <row r="67">
      <c r="A67" s="15"/>
      <c r="B67" s="15"/>
      <c r="C67" s="12"/>
      <c r="D67" s="13"/>
      <c r="E67" s="14"/>
      <c r="F67" s="15"/>
    </row>
    <row r="68">
      <c r="A68" s="15"/>
      <c r="B68" s="15"/>
      <c r="C68" s="12"/>
      <c r="D68" s="13"/>
      <c r="E68" s="14"/>
      <c r="F68" s="15"/>
    </row>
    <row r="69">
      <c r="A69" s="15"/>
      <c r="B69" s="15"/>
      <c r="C69" s="12"/>
      <c r="D69" s="13"/>
      <c r="E69" s="14"/>
      <c r="F69" s="15"/>
    </row>
    <row r="70">
      <c r="A70" s="15"/>
      <c r="B70" s="15"/>
      <c r="C70" s="12"/>
      <c r="D70" s="13"/>
      <c r="E70" s="14"/>
      <c r="F70" s="15"/>
    </row>
    <row r="71">
      <c r="A71" s="15"/>
      <c r="B71" s="15"/>
      <c r="C71" s="12"/>
      <c r="D71" s="13"/>
      <c r="E71" s="14"/>
      <c r="F71" s="15"/>
    </row>
    <row r="72">
      <c r="A72" s="15"/>
      <c r="B72" s="15"/>
      <c r="C72" s="12"/>
      <c r="D72" s="13"/>
      <c r="E72" s="14"/>
      <c r="F72" s="15"/>
    </row>
    <row r="73">
      <c r="A73" s="15"/>
      <c r="B73" s="15"/>
      <c r="C73" s="12"/>
      <c r="D73" s="13"/>
      <c r="E73" s="14"/>
      <c r="F73" s="15"/>
    </row>
    <row r="74">
      <c r="A74" s="15"/>
      <c r="B74" s="15"/>
      <c r="C74" s="12"/>
      <c r="D74" s="13"/>
      <c r="E74" s="14"/>
      <c r="F74" s="15"/>
    </row>
    <row r="75">
      <c r="A75" s="15"/>
      <c r="B75" s="15"/>
      <c r="C75" s="12"/>
      <c r="D75" s="13"/>
      <c r="E75" s="14"/>
      <c r="F75" s="15"/>
    </row>
    <row r="76">
      <c r="A76" s="15"/>
      <c r="B76" s="15"/>
      <c r="C76" s="12"/>
      <c r="D76" s="13"/>
      <c r="E76" s="14"/>
      <c r="F76" s="15"/>
    </row>
    <row r="77">
      <c r="A77" s="15"/>
      <c r="B77" s="15"/>
      <c r="C77" s="12"/>
      <c r="D77" s="13"/>
      <c r="E77" s="14"/>
      <c r="F77" s="15"/>
    </row>
    <row r="78">
      <c r="A78" s="15"/>
      <c r="B78" s="15"/>
      <c r="C78" s="12"/>
      <c r="D78" s="13"/>
      <c r="E78" s="14"/>
      <c r="F78" s="15"/>
    </row>
    <row r="79">
      <c r="A79" s="15"/>
      <c r="B79" s="15"/>
      <c r="C79" s="12"/>
      <c r="D79" s="13"/>
      <c r="E79" s="14"/>
      <c r="F79" s="15"/>
    </row>
    <row r="80">
      <c r="A80" s="15"/>
      <c r="B80" s="15"/>
      <c r="C80" s="12"/>
      <c r="D80" s="13"/>
      <c r="E80" s="14"/>
      <c r="F80" s="15"/>
    </row>
    <row r="81">
      <c r="A81" s="15"/>
      <c r="B81" s="15"/>
      <c r="C81" s="12"/>
      <c r="D81" s="13"/>
      <c r="E81" s="14"/>
      <c r="F81" s="15"/>
    </row>
    <row r="82">
      <c r="A82" s="15"/>
      <c r="B82" s="15"/>
      <c r="C82" s="12"/>
      <c r="D82" s="13"/>
      <c r="E82" s="14"/>
      <c r="F82" s="15"/>
    </row>
    <row r="83">
      <c r="A83" s="15"/>
      <c r="B83" s="15"/>
      <c r="C83" s="12"/>
      <c r="D83" s="13"/>
      <c r="E83" s="14"/>
      <c r="F83" s="15"/>
    </row>
    <row r="84">
      <c r="A84" s="15"/>
      <c r="B84" s="15"/>
      <c r="C84" s="12"/>
      <c r="D84" s="13"/>
      <c r="E84" s="14"/>
      <c r="F84" s="15"/>
    </row>
    <row r="85">
      <c r="A85" s="15"/>
      <c r="B85" s="15"/>
      <c r="C85" s="12"/>
      <c r="D85" s="13"/>
      <c r="E85" s="14"/>
      <c r="F85" s="15"/>
    </row>
    <row r="86">
      <c r="A86" s="15"/>
      <c r="B86" s="15"/>
      <c r="C86" s="12"/>
      <c r="D86" s="13"/>
      <c r="E86" s="14"/>
      <c r="F86" s="15"/>
    </row>
    <row r="87">
      <c r="A87" s="15"/>
      <c r="B87" s="15"/>
      <c r="C87" s="12"/>
      <c r="D87" s="13"/>
      <c r="E87" s="14"/>
      <c r="F87" s="15"/>
    </row>
    <row r="88">
      <c r="A88" s="15"/>
      <c r="B88" s="15"/>
      <c r="C88" s="12"/>
      <c r="D88" s="13"/>
      <c r="E88" s="14"/>
      <c r="F88" s="15"/>
    </row>
    <row r="89">
      <c r="A89" s="15"/>
      <c r="B89" s="15"/>
      <c r="C89" s="12"/>
      <c r="D89" s="13"/>
      <c r="E89" s="14"/>
      <c r="F89" s="15"/>
    </row>
    <row r="90">
      <c r="A90" s="15"/>
      <c r="B90" s="15"/>
      <c r="C90" s="12"/>
      <c r="D90" s="13"/>
      <c r="E90" s="14"/>
      <c r="F90" s="15"/>
    </row>
    <row r="91">
      <c r="A91" s="15"/>
      <c r="B91" s="15"/>
      <c r="C91" s="12"/>
      <c r="D91" s="13"/>
      <c r="E91" s="14"/>
      <c r="F91" s="15"/>
    </row>
    <row r="92">
      <c r="A92" s="15"/>
      <c r="B92" s="15"/>
      <c r="C92" s="12"/>
      <c r="D92" s="13"/>
      <c r="E92" s="14"/>
      <c r="F92" s="15"/>
    </row>
    <row r="93">
      <c r="A93" s="15"/>
      <c r="B93" s="15"/>
      <c r="C93" s="12"/>
      <c r="D93" s="13"/>
      <c r="E93" s="14"/>
      <c r="F93" s="15"/>
    </row>
    <row r="94">
      <c r="A94" s="15"/>
      <c r="B94" s="15"/>
      <c r="C94" s="12"/>
      <c r="D94" s="13"/>
      <c r="E94" s="14"/>
      <c r="F94" s="15"/>
    </row>
    <row r="95">
      <c r="A95" s="15"/>
      <c r="B95" s="15"/>
      <c r="C95" s="12"/>
      <c r="D95" s="13"/>
      <c r="E95" s="14"/>
      <c r="F95" s="15"/>
    </row>
    <row r="96">
      <c r="A96" s="15"/>
      <c r="B96" s="15"/>
      <c r="C96" s="12"/>
      <c r="D96" s="13"/>
      <c r="E96" s="14"/>
      <c r="F96" s="15"/>
    </row>
    <row r="97">
      <c r="A97" s="15"/>
      <c r="B97" s="15"/>
      <c r="C97" s="12"/>
      <c r="D97" s="13"/>
      <c r="E97" s="14"/>
      <c r="F97" s="15"/>
    </row>
    <row r="98">
      <c r="A98" s="15"/>
      <c r="B98" s="15"/>
      <c r="C98" s="12"/>
      <c r="D98" s="13"/>
      <c r="E98" s="14"/>
      <c r="F98" s="15"/>
    </row>
    <row r="99">
      <c r="A99" s="15"/>
      <c r="B99" s="15"/>
      <c r="C99" s="12"/>
      <c r="D99" s="13"/>
      <c r="E99" s="14"/>
      <c r="F99" s="15"/>
    </row>
    <row r="100">
      <c r="A100" s="15"/>
      <c r="B100" s="15"/>
      <c r="C100" s="12"/>
      <c r="D100" s="13"/>
      <c r="E100" s="14"/>
      <c r="F100" s="15"/>
    </row>
    <row r="101">
      <c r="A101" s="15"/>
      <c r="B101" s="15"/>
      <c r="C101" s="12"/>
      <c r="D101" s="13"/>
      <c r="E101" s="14"/>
      <c r="F101" s="15"/>
    </row>
    <row r="102">
      <c r="A102" s="15"/>
      <c r="B102" s="15"/>
      <c r="C102" s="12"/>
      <c r="D102" s="13"/>
      <c r="E102" s="14"/>
      <c r="F102" s="15"/>
    </row>
    <row r="103">
      <c r="A103" s="15"/>
      <c r="B103" s="15"/>
      <c r="C103" s="12"/>
      <c r="D103" s="13"/>
      <c r="E103" s="14"/>
      <c r="F103" s="15"/>
    </row>
    <row r="104">
      <c r="A104" s="15"/>
      <c r="B104" s="15"/>
      <c r="C104" s="12"/>
      <c r="D104" s="13"/>
      <c r="E104" s="14"/>
      <c r="F104" s="15"/>
    </row>
    <row r="105">
      <c r="A105" s="15"/>
      <c r="B105" s="15"/>
      <c r="C105" s="12"/>
      <c r="D105" s="13"/>
      <c r="E105" s="14"/>
      <c r="F105" s="15"/>
    </row>
    <row r="106">
      <c r="A106" s="15"/>
      <c r="B106" s="15"/>
      <c r="C106" s="12"/>
      <c r="D106" s="13"/>
      <c r="E106" s="14"/>
      <c r="F106" s="15"/>
    </row>
    <row r="107">
      <c r="A107" s="15"/>
      <c r="B107" s="15"/>
      <c r="C107" s="12"/>
      <c r="D107" s="13"/>
      <c r="E107" s="14"/>
      <c r="F107" s="15"/>
    </row>
    <row r="108">
      <c r="A108" s="15"/>
      <c r="B108" s="15"/>
      <c r="C108" s="12"/>
      <c r="D108" s="13"/>
      <c r="E108" s="14"/>
      <c r="F108" s="15"/>
    </row>
    <row r="109">
      <c r="A109" s="15"/>
      <c r="B109" s="15"/>
      <c r="C109" s="12"/>
      <c r="D109" s="13"/>
      <c r="E109" s="14"/>
      <c r="F109" s="15"/>
    </row>
    <row r="110">
      <c r="A110" s="15"/>
      <c r="B110" s="15"/>
      <c r="C110" s="12"/>
      <c r="D110" s="13"/>
      <c r="E110" s="14"/>
      <c r="F110" s="15"/>
    </row>
    <row r="111">
      <c r="A111" s="15"/>
      <c r="B111" s="15"/>
      <c r="C111" s="12"/>
      <c r="D111" s="13"/>
      <c r="E111" s="14"/>
      <c r="F111" s="15"/>
    </row>
    <row r="112">
      <c r="A112" s="15"/>
      <c r="B112" s="15"/>
      <c r="C112" s="12"/>
      <c r="D112" s="13"/>
      <c r="E112" s="14"/>
      <c r="F112" s="15"/>
    </row>
    <row r="113">
      <c r="A113" s="15"/>
      <c r="B113" s="15"/>
      <c r="C113" s="12"/>
      <c r="D113" s="13"/>
      <c r="E113" s="14"/>
      <c r="F113" s="15"/>
    </row>
    <row r="114">
      <c r="A114" s="15"/>
      <c r="B114" s="15"/>
      <c r="C114" s="12"/>
      <c r="D114" s="13"/>
      <c r="E114" s="14"/>
      <c r="F114" s="15"/>
    </row>
    <row r="115">
      <c r="A115" s="15"/>
      <c r="B115" s="15"/>
      <c r="C115" s="12"/>
      <c r="D115" s="13"/>
      <c r="E115" s="14"/>
      <c r="F115" s="15"/>
    </row>
    <row r="116">
      <c r="A116" s="15"/>
      <c r="B116" s="15"/>
      <c r="C116" s="12"/>
      <c r="D116" s="13"/>
      <c r="E116" s="14"/>
      <c r="F116" s="15"/>
    </row>
    <row r="117" ht="21.0" customHeight="1">
      <c r="A117" s="22" t="s">
        <v>16</v>
      </c>
    </row>
    <row r="118">
      <c r="A118" s="10" t="s">
        <v>17</v>
      </c>
      <c r="B118" s="10" t="s">
        <v>18</v>
      </c>
      <c r="C118" s="19" t="s">
        <v>11</v>
      </c>
      <c r="D118" s="20" t="s">
        <v>19</v>
      </c>
      <c r="E118" s="21" t="s">
        <v>20</v>
      </c>
      <c r="F118" s="10" t="s">
        <v>13</v>
      </c>
    </row>
    <row r="119">
      <c r="A119" s="15" t="str">
        <f>IFERROR(__xludf.DUMMYFUNCTION("IFERROR(QUERY(Pagamentos!A7:V600,""select A,B,D,N,O,R where O &gt;= date '""&amp;TEXT(TODAY(),""yyyy-mm-dd"")&amp;""' and O &lt;= date '""&amp;TEXT(TODAY()+7,""yyyy-mm-dd"")&amp;""' and R &lt;&gt; 'Pago' order by O limit 30"",0),""Nenhum pagamento nos próximos 7 dias"")"),"Nenhum pagamento nos próximos 7 dias")</f>
        <v>Nenhum pagamento nos próximos 7 dias</v>
      </c>
      <c r="B119" s="15"/>
      <c r="C119" s="12"/>
      <c r="D119" s="23"/>
      <c r="E119" s="14"/>
      <c r="F119" s="15"/>
    </row>
    <row r="120">
      <c r="A120" s="15"/>
      <c r="B120" s="15"/>
      <c r="C120" s="12"/>
      <c r="D120" s="23"/>
      <c r="E120" s="14"/>
      <c r="F120" s="15"/>
    </row>
    <row r="121">
      <c r="A121" s="15"/>
      <c r="B121" s="15"/>
      <c r="C121" s="12"/>
      <c r="D121" s="23"/>
      <c r="E121" s="14"/>
      <c r="F121" s="15"/>
    </row>
    <row r="122">
      <c r="A122" s="15"/>
      <c r="B122" s="15"/>
      <c r="C122" s="12"/>
      <c r="D122" s="23"/>
      <c r="E122" s="14"/>
      <c r="F122" s="15"/>
    </row>
    <row r="123">
      <c r="A123" s="15"/>
      <c r="B123" s="15"/>
      <c r="C123" s="12"/>
      <c r="D123" s="23"/>
      <c r="E123" s="14"/>
      <c r="F123" s="15"/>
    </row>
    <row r="124">
      <c r="A124" s="15"/>
      <c r="B124" s="15"/>
      <c r="C124" s="12"/>
      <c r="D124" s="23"/>
      <c r="E124" s="14"/>
      <c r="F124" s="15"/>
    </row>
    <row r="125">
      <c r="A125" s="15"/>
      <c r="B125" s="15"/>
      <c r="C125" s="12"/>
      <c r="D125" s="23"/>
      <c r="E125" s="14"/>
      <c r="F125" s="15"/>
    </row>
    <row r="126">
      <c r="A126" s="15"/>
      <c r="B126" s="15"/>
      <c r="C126" s="12"/>
      <c r="D126" s="23"/>
      <c r="E126" s="14"/>
      <c r="F126" s="15"/>
    </row>
    <row r="127">
      <c r="A127" s="15"/>
      <c r="B127" s="15"/>
      <c r="C127" s="12"/>
      <c r="D127" s="23"/>
      <c r="E127" s="14"/>
      <c r="F127" s="15"/>
    </row>
    <row r="128">
      <c r="A128" s="15"/>
      <c r="B128" s="15"/>
      <c r="C128" s="12"/>
      <c r="D128" s="23"/>
      <c r="E128" s="14"/>
      <c r="F128" s="15"/>
    </row>
    <row r="129">
      <c r="A129" s="15"/>
      <c r="B129" s="15"/>
      <c r="C129" s="12"/>
      <c r="D129" s="23"/>
      <c r="E129" s="14"/>
      <c r="F129" s="15"/>
    </row>
    <row r="130">
      <c r="A130" s="15"/>
      <c r="B130" s="15"/>
      <c r="C130" s="12"/>
      <c r="D130" s="23"/>
      <c r="E130" s="14"/>
      <c r="F130" s="15"/>
    </row>
    <row r="131">
      <c r="A131" s="15"/>
      <c r="B131" s="15"/>
      <c r="C131" s="12"/>
      <c r="D131" s="23"/>
      <c r="E131" s="14"/>
      <c r="F131" s="15"/>
    </row>
    <row r="132">
      <c r="A132" s="15"/>
      <c r="B132" s="15"/>
      <c r="C132" s="12"/>
      <c r="D132" s="23"/>
      <c r="E132" s="14"/>
      <c r="F132" s="15"/>
    </row>
    <row r="133">
      <c r="A133" s="15"/>
      <c r="B133" s="15"/>
      <c r="C133" s="12"/>
      <c r="D133" s="23"/>
      <c r="E133" s="14"/>
      <c r="F133" s="15"/>
    </row>
    <row r="134">
      <c r="A134" s="15"/>
      <c r="B134" s="15"/>
      <c r="C134" s="12"/>
      <c r="D134" s="23"/>
      <c r="E134" s="14"/>
      <c r="F134" s="15"/>
    </row>
    <row r="135">
      <c r="A135" s="15"/>
      <c r="B135" s="15"/>
      <c r="C135" s="12"/>
      <c r="D135" s="23"/>
      <c r="E135" s="14"/>
      <c r="F135" s="15"/>
    </row>
    <row r="136">
      <c r="A136" s="15"/>
      <c r="B136" s="15"/>
      <c r="C136" s="12"/>
      <c r="D136" s="23"/>
      <c r="E136" s="14"/>
      <c r="F136" s="15"/>
    </row>
    <row r="137">
      <c r="A137" s="15"/>
      <c r="B137" s="15"/>
      <c r="C137" s="12"/>
      <c r="D137" s="23"/>
      <c r="E137" s="14"/>
      <c r="F137" s="15"/>
    </row>
    <row r="138">
      <c r="A138" s="15"/>
      <c r="B138" s="15"/>
      <c r="C138" s="12"/>
      <c r="D138" s="23"/>
      <c r="E138" s="14"/>
      <c r="F138" s="15"/>
    </row>
    <row r="139">
      <c r="A139" s="15"/>
      <c r="B139" s="15"/>
      <c r="C139" s="12"/>
      <c r="D139" s="23"/>
      <c r="E139" s="14"/>
      <c r="F139" s="15"/>
    </row>
    <row r="140">
      <c r="A140" s="15"/>
      <c r="B140" s="15"/>
      <c r="C140" s="12"/>
      <c r="D140" s="23"/>
      <c r="E140" s="14"/>
      <c r="F140" s="15"/>
    </row>
    <row r="141">
      <c r="A141" s="15"/>
      <c r="B141" s="15"/>
      <c r="C141" s="12"/>
      <c r="D141" s="23"/>
      <c r="E141" s="14"/>
      <c r="F141" s="15"/>
    </row>
    <row r="142">
      <c r="A142" s="15"/>
      <c r="B142" s="15"/>
      <c r="C142" s="12"/>
      <c r="D142" s="23"/>
      <c r="E142" s="14"/>
      <c r="F142" s="15"/>
    </row>
    <row r="143">
      <c r="A143" s="15"/>
      <c r="B143" s="15"/>
      <c r="C143" s="12"/>
      <c r="D143" s="23"/>
      <c r="E143" s="14"/>
      <c r="F143" s="15"/>
    </row>
    <row r="144">
      <c r="A144" s="15"/>
      <c r="B144" s="15"/>
      <c r="C144" s="12"/>
      <c r="D144" s="23"/>
      <c r="E144" s="14"/>
      <c r="F144" s="15"/>
    </row>
    <row r="145">
      <c r="A145" s="15"/>
      <c r="B145" s="15"/>
      <c r="C145" s="12"/>
      <c r="D145" s="23"/>
      <c r="E145" s="14"/>
      <c r="F145" s="15"/>
    </row>
    <row r="146">
      <c r="A146" s="15"/>
      <c r="B146" s="15"/>
      <c r="C146" s="12"/>
      <c r="D146" s="23"/>
      <c r="E146" s="14"/>
      <c r="F146" s="15"/>
    </row>
    <row r="147">
      <c r="A147" s="15"/>
      <c r="B147" s="15"/>
      <c r="C147" s="12"/>
      <c r="D147" s="23"/>
      <c r="E147" s="14"/>
      <c r="F147" s="15"/>
    </row>
    <row r="148">
      <c r="A148" s="15"/>
      <c r="B148" s="15"/>
      <c r="C148" s="12"/>
      <c r="D148" s="23"/>
      <c r="E148" s="14"/>
      <c r="F148" s="15"/>
    </row>
    <row r="149">
      <c r="A149" s="15"/>
      <c r="B149" s="15"/>
      <c r="C149" s="12"/>
      <c r="D149" s="23"/>
      <c r="E149" s="14"/>
      <c r="F149" s="15"/>
    </row>
    <row r="150">
      <c r="A150" s="15"/>
      <c r="B150" s="15"/>
      <c r="C150" s="12"/>
      <c r="D150" s="23"/>
      <c r="E150" s="14"/>
      <c r="F150" s="15"/>
    </row>
    <row r="151">
      <c r="A151" s="15"/>
      <c r="B151" s="15"/>
      <c r="C151" s="12"/>
      <c r="D151" s="23"/>
      <c r="E151" s="14"/>
      <c r="F151" s="15"/>
    </row>
    <row r="152">
      <c r="A152" s="15"/>
      <c r="B152" s="15"/>
      <c r="C152" s="12"/>
      <c r="D152" s="23"/>
      <c r="E152" s="14"/>
      <c r="F152" s="15"/>
    </row>
    <row r="153">
      <c r="A153" s="15"/>
      <c r="B153" s="15"/>
      <c r="C153" s="12"/>
      <c r="D153" s="23"/>
      <c r="E153" s="14"/>
      <c r="F153" s="15"/>
    </row>
    <row r="154">
      <c r="A154" s="15"/>
      <c r="B154" s="15"/>
      <c r="C154" s="12"/>
      <c r="D154" s="23"/>
      <c r="E154" s="14"/>
      <c r="F154" s="15"/>
    </row>
    <row r="155">
      <c r="A155" s="15"/>
      <c r="B155" s="15"/>
      <c r="C155" s="12"/>
      <c r="D155" s="23"/>
      <c r="E155" s="14"/>
      <c r="F155" s="15"/>
    </row>
    <row r="156">
      <c r="A156" s="15"/>
      <c r="B156" s="15"/>
      <c r="C156" s="12"/>
      <c r="D156" s="23"/>
      <c r="E156" s="14"/>
      <c r="F156" s="15"/>
    </row>
    <row r="157">
      <c r="A157" s="15"/>
      <c r="B157" s="15"/>
      <c r="C157" s="12"/>
      <c r="D157" s="23"/>
      <c r="E157" s="14"/>
      <c r="F157" s="15"/>
    </row>
    <row r="158">
      <c r="A158" s="15"/>
      <c r="B158" s="15"/>
      <c r="C158" s="12"/>
      <c r="D158" s="23"/>
      <c r="E158" s="14"/>
      <c r="F158" s="15"/>
    </row>
    <row r="159">
      <c r="A159" s="15"/>
      <c r="B159" s="15"/>
      <c r="C159" s="12"/>
      <c r="D159" s="23"/>
      <c r="E159" s="14"/>
      <c r="F159" s="15"/>
    </row>
    <row r="160">
      <c r="A160" s="15"/>
      <c r="B160" s="15"/>
      <c r="C160" s="12"/>
      <c r="D160" s="23"/>
      <c r="E160" s="14"/>
      <c r="F160" s="15"/>
    </row>
  </sheetData>
  <mergeCells count="5">
    <mergeCell ref="A1:F1"/>
    <mergeCell ref="A2:F2"/>
    <mergeCell ref="A7:F7"/>
    <mergeCell ref="A62:F62"/>
    <mergeCell ref="A117:F1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0.14"/>
    <col customWidth="1" min="2" max="3" width="10.14"/>
    <col customWidth="1" min="4" max="4" width="17.29"/>
    <col customWidth="1" min="5" max="5" width="27.43"/>
    <col customWidth="1" min="6" max="6" width="43.0"/>
    <col customWidth="1" min="7" max="7" width="9.0"/>
    <col customWidth="1" min="8" max="8" width="3.29"/>
    <col customWidth="1" min="9" max="9" width="23.0"/>
    <col customWidth="1" min="10" max="10" width="13.0"/>
    <col customWidth="1" min="11" max="11" width="10.14"/>
    <col hidden="1" min="27" max="29" width="14.43"/>
  </cols>
  <sheetData>
    <row r="1">
      <c r="A1" s="24" t="s">
        <v>21</v>
      </c>
    </row>
    <row r="2">
      <c r="A2" s="25" t="s">
        <v>22</v>
      </c>
    </row>
    <row r="4">
      <c r="A4" s="26" t="s">
        <v>23</v>
      </c>
      <c r="C4" s="26" t="s">
        <v>24</v>
      </c>
      <c r="E4" s="26" t="s">
        <v>25</v>
      </c>
      <c r="G4" s="26" t="s">
        <v>26</v>
      </c>
      <c r="I4" s="26" t="s">
        <v>27</v>
      </c>
      <c r="K4" s="26" t="s">
        <v>28</v>
      </c>
    </row>
    <row r="5">
      <c r="A5" s="27">
        <f>'🏠 Hoje'!A5</f>
        <v>57</v>
      </c>
      <c r="C5" s="27">
        <f>'🏠 Hoje'!B5</f>
        <v>32</v>
      </c>
      <c r="E5" s="27">
        <f>'🏠 Hoje'!C5</f>
        <v>74</v>
      </c>
      <c r="G5" s="27">
        <f>'🏠 Hoje'!D5</f>
        <v>0</v>
      </c>
      <c r="I5" s="27">
        <f>'🏠 Hoje'!E5</f>
        <v>321</v>
      </c>
      <c r="K5" s="28">
        <f>IFERROR(AVERAGEIFS(Detalhamento!O8:O1000,Detalhamento!C8:C1000,"&lt;&gt;"),0)</f>
        <v>0</v>
      </c>
    </row>
    <row r="7">
      <c r="A7" s="29" t="s">
        <v>29</v>
      </c>
      <c r="E7" s="30" t="s">
        <v>30</v>
      </c>
      <c r="I7" s="31" t="s">
        <v>31</v>
      </c>
    </row>
    <row r="8">
      <c r="A8" s="32" t="s">
        <v>32</v>
      </c>
      <c r="B8" s="32" t="s">
        <v>33</v>
      </c>
      <c r="C8" s="32" t="s">
        <v>34</v>
      </c>
      <c r="D8" s="33" t="s">
        <v>35</v>
      </c>
      <c r="E8" s="34" t="s">
        <v>36</v>
      </c>
      <c r="F8" s="34" t="s">
        <v>10</v>
      </c>
      <c r="G8" s="34" t="s">
        <v>12</v>
      </c>
      <c r="H8" s="35"/>
      <c r="I8" s="36" t="s">
        <v>37</v>
      </c>
      <c r="J8" s="36" t="s">
        <v>38</v>
      </c>
      <c r="K8" s="36" t="s">
        <v>39</v>
      </c>
      <c r="L8" s="35"/>
    </row>
    <row r="9">
      <c r="A9" s="37" t="s">
        <v>40</v>
      </c>
      <c r="B9" s="35">
        <f>COUNTIF(Detalhamento!$G$8:$G1000,A9)</f>
        <v>4</v>
      </c>
      <c r="C9" s="38">
        <f>IFERROR(AVERAGEIF(Detalhamento!$G$8:$G1000,A9,Detalhamento!$O$8:$O1000),0)</f>
        <v>0</v>
      </c>
      <c r="D9" s="39" t="str">
        <f t="shared" ref="D9:D23" si="1">IF(B9=0,"",REPT("▮",MAX(1,ROUND(B9/MAX($B$9:$B$23)*12,0))))</f>
        <v>▮</v>
      </c>
      <c r="E9" s="40" t="str">
        <f t="array" ref="E9:E24">IF($AA9:$AA24="","",$AA9:$AA24)</f>
        <v>1.1</v>
      </c>
      <c r="F9" s="40" t="str">
        <f t="array" ref="F9:F24">IF($AB9:$AB24="","",IF(LEN($AB9:$AB24)&gt;50,LEFT($AB9:$AB24,49)&amp;"…",$AB9:$AB24))</f>
        <v>Gerenciamento técnico de obra - 2 Engenheiros (40…</v>
      </c>
      <c r="G9" s="41" t="str">
        <f t="array" ref="G9:G24">IF($AC9:$AC24="","",$AC9:$AC24)</f>
        <v/>
      </c>
      <c r="H9" s="35"/>
      <c r="I9" s="35" t="str">
        <f>IFERROR(__xludf.DUMMYFUNCTION("QUERY(Inventario!A6:H1000,""select A,B,F where F &gt; 0 order by F desc limit 16"",0)"),"Areia media lavada")</f>
        <v>Areia media lavada</v>
      </c>
      <c r="J9" s="35" t="str">
        <f>IFERROR(__xludf.DUMMYFUNCTION("""COMPUTED_VALUE"""),"Material")</f>
        <v>Material</v>
      </c>
      <c r="K9" s="42">
        <f>IFERROR(__xludf.DUMMYFUNCTION("""COMPUTED_VALUE"""),318.0)</f>
        <v>318</v>
      </c>
      <c r="L9" s="35"/>
      <c r="AA9" s="43" t="str">
        <f>IFERROR(__xludf.DUMMYFUNCTION("ARRAY_CONSTRAIN(UNIQUE(FILTER({Detalhamento!A8:A1000,Detalhamento!C8:C1000,Detalhamento!F8:F1000},(Detalhamento!C8:C1000&lt;&gt;"""")*(Detalhamento!H8:H1000&lt;&gt;""Concluído""))),16,3)"),"1.1")</f>
        <v>1.1</v>
      </c>
      <c r="AB9" s="44" t="str">
        <f>IFERROR(__xludf.DUMMYFUNCTION("""COMPUTED_VALUE"""),"Gerenciamento técnico de obra - 2 Engenheiros (40h/mês) , assistente tecnico (40h/mês) , mestre de obra (160h/mês)")</f>
        <v>Gerenciamento técnico de obra - 2 Engenheiros (40h/mês) , assistente tecnico (40h/mês) , mestre de obra (160h/mês)</v>
      </c>
      <c r="AC9" s="44"/>
    </row>
    <row r="10">
      <c r="A10" s="37" t="s">
        <v>41</v>
      </c>
      <c r="B10" s="35">
        <f>COUNTIF(Detalhamento!$G$8:$G1000,A10)</f>
        <v>281</v>
      </c>
      <c r="C10" s="38">
        <f>IFERROR(AVERAGEIF(Detalhamento!$G$8:$G1000,A10,Detalhamento!$O$8:$O1000),0)</f>
        <v>0</v>
      </c>
      <c r="D10" s="39" t="str">
        <f t="shared" si="1"/>
        <v>▮▮▮▮▮▮▮▮▮▮▮▮</v>
      </c>
      <c r="E10" s="40" t="s">
        <v>42</v>
      </c>
      <c r="F10" s="40" t="s">
        <v>43</v>
      </c>
      <c r="G10" s="41" t="s">
        <v>44</v>
      </c>
      <c r="H10" s="35"/>
      <c r="I10" s="35" t="str">
        <f>IFERROR(__xludf.DUMMYFUNCTION("""COMPUTED_VALUE"""),"Cimento CP-II 50kg")</f>
        <v>Cimento CP-II 50kg</v>
      </c>
      <c r="J10" s="35" t="str">
        <f>IFERROR(__xludf.DUMMYFUNCTION("""COMPUTED_VALUE"""),"Material")</f>
        <v>Material</v>
      </c>
      <c r="K10" s="42">
        <f>IFERROR(__xludf.DUMMYFUNCTION("""COMPUTED_VALUE"""),50.0)</f>
        <v>50</v>
      </c>
      <c r="L10" s="35"/>
      <c r="AA10" s="43" t="str">
        <f>IFERROR(__xludf.DUMMYFUNCTION("""COMPUTED_VALUE"""),"1.3")</f>
        <v>1.3</v>
      </c>
      <c r="AB10" s="44" t="str">
        <f>IFERROR(__xludf.DUMMYFUNCTION("""COMPUTED_VALUE"""),"Mobilização de canteiro e equipes e deslocamento")</f>
        <v>Mobilização de canteiro e equipes e deslocamento</v>
      </c>
      <c r="AC10" s="45"/>
    </row>
    <row r="11">
      <c r="A11" s="37" t="s">
        <v>45</v>
      </c>
      <c r="B11" s="35">
        <f>COUNTIF(Detalhamento!$G$8:$G1000,A11)</f>
        <v>0</v>
      </c>
      <c r="C11" s="38">
        <f>IFERROR(AVERAGEIF(Detalhamento!$G$8:$G1000,A11,Detalhamento!$O$8:$O1000),0)</f>
        <v>0</v>
      </c>
      <c r="D11" s="39" t="str">
        <f t="shared" si="1"/>
        <v/>
      </c>
      <c r="E11" s="40" t="s">
        <v>46</v>
      </c>
      <c r="F11" s="40" t="s">
        <v>47</v>
      </c>
      <c r="G11" s="41" t="s">
        <v>44</v>
      </c>
      <c r="H11" s="35"/>
      <c r="I11" s="35"/>
      <c r="J11" s="35"/>
      <c r="K11" s="35"/>
      <c r="L11" s="35"/>
      <c r="AA11" s="43" t="str">
        <f>IFERROR(__xludf.DUMMYFUNCTION("""COMPUTED_VALUE"""),"1.4")</f>
        <v>1.4</v>
      </c>
      <c r="AB11" s="44" t="str">
        <f>IFERROR(__xludf.DUMMYFUNCTION("""COMPUTED_VALUE"""),"Tapume de vedacao ou protecao, executado com chapas de compensado, tipo chapa resinada ou similar, com 6mm de espessura, exclusive pintura. Proteção chegada elvadores;.")</f>
        <v>Tapume de vedacao ou protecao, executado com chapas de compensado, tipo chapa resinada ou similar, com 6mm de espessura, exclusive pintura. Proteção chegada elvadores;.</v>
      </c>
      <c r="AC11" s="45"/>
    </row>
    <row r="12">
      <c r="A12" s="37" t="s">
        <v>48</v>
      </c>
      <c r="B12" s="35">
        <f>COUNTIF(Detalhamento!$G$8:$G1000,A12)</f>
        <v>85</v>
      </c>
      <c r="C12" s="38">
        <f>IFERROR(AVERAGEIF(Detalhamento!$G$8:$G1000,A12,Detalhamento!$O$8:$O1000),0)</f>
        <v>0</v>
      </c>
      <c r="D12" s="39" t="str">
        <f t="shared" si="1"/>
        <v>▮▮▮▮</v>
      </c>
      <c r="E12" s="40" t="s">
        <v>49</v>
      </c>
      <c r="F12" s="40" t="s">
        <v>50</v>
      </c>
      <c r="G12" s="41" t="s">
        <v>44</v>
      </c>
      <c r="H12" s="35"/>
      <c r="I12" s="35"/>
      <c r="J12" s="35"/>
      <c r="K12" s="35"/>
      <c r="L12" s="35"/>
      <c r="AA12" s="43" t="str">
        <f>IFERROR(__xludf.DUMMYFUNCTION("""COMPUTED_VALUE"""),"1.5")</f>
        <v>1.5</v>
      </c>
      <c r="AB12" s="44" t="str">
        <f>IFERROR(__xludf.DUMMYFUNCTION("""COMPUTED_VALUE"""),"Limpeza permanente de obra")</f>
        <v>Limpeza permanente de obra</v>
      </c>
      <c r="AC12" s="45"/>
    </row>
    <row r="13">
      <c r="A13" s="37" t="s">
        <v>51</v>
      </c>
      <c r="B13" s="35">
        <f>COUNTIF(Detalhamento!$G$8:$G1000,A13)</f>
        <v>65</v>
      </c>
      <c r="C13" s="38">
        <f>IFERROR(AVERAGEIF(Detalhamento!$G$8:$G1000,A13,Detalhamento!$O$8:$O1000),0)</f>
        <v>0</v>
      </c>
      <c r="D13" s="39" t="str">
        <f t="shared" si="1"/>
        <v>▮▮▮</v>
      </c>
      <c r="E13" s="40" t="s">
        <v>52</v>
      </c>
      <c r="F13" s="40" t="s">
        <v>53</v>
      </c>
      <c r="G13" s="41" t="s">
        <v>44</v>
      </c>
      <c r="H13" s="35"/>
      <c r="I13" s="35"/>
      <c r="J13" s="35"/>
      <c r="K13" s="35"/>
      <c r="L13" s="35"/>
      <c r="AA13" s="43" t="str">
        <f>IFERROR(__xludf.DUMMYFUNCTION("""COMPUTED_VALUE"""),"2.1")</f>
        <v>2.1</v>
      </c>
      <c r="AB13" s="44" t="str">
        <f>IFERROR(__xludf.DUMMYFUNCTION("""COMPUTED_VALUE"""),"Demolicão manual de alvenaria de tijolos furados, contrapiso de 5 cm no deposito 5, inclusive empilhamento dentro do canteiro de servico.")</f>
        <v>Demolicão manual de alvenaria de tijolos furados, contrapiso de 5 cm no deposito 5, inclusive empilhamento dentro do canteiro de servico.</v>
      </c>
      <c r="AC13" s="45"/>
    </row>
    <row r="14">
      <c r="A14" s="37" t="s">
        <v>54</v>
      </c>
      <c r="B14" s="35">
        <f>COUNTIF(Detalhamento!$G$8:$G1000,A14)</f>
        <v>0</v>
      </c>
      <c r="C14" s="38">
        <f>IFERROR(AVERAGEIF(Detalhamento!$G$8:$G1000,A14,Detalhamento!$O$8:$O1000),0)</f>
        <v>0</v>
      </c>
      <c r="D14" s="39" t="str">
        <f t="shared" si="1"/>
        <v/>
      </c>
      <c r="E14" s="40" t="s">
        <v>55</v>
      </c>
      <c r="F14" s="40" t="s">
        <v>56</v>
      </c>
      <c r="G14" s="41" t="s">
        <v>44</v>
      </c>
      <c r="H14" s="35"/>
      <c r="I14" s="35"/>
      <c r="J14" s="35"/>
      <c r="K14" s="35"/>
      <c r="L14" s="35"/>
      <c r="AA14" s="43" t="str">
        <f>IFERROR(__xludf.DUMMYFUNCTION("""COMPUTED_VALUE"""),"2.2")</f>
        <v>2.2</v>
      </c>
      <c r="AB14" s="44" t="str">
        <f>IFERROR(__xludf.DUMMYFUNCTION("""COMPUTED_VALUE"""),"Demolição controlada e monitrada para rebaixamento da laje e abertura na laje superior e dos vãos de portas nos andares")</f>
        <v>Demolição controlada e monitrada para rebaixamento da laje e abertura na laje superior e dos vãos de portas nos andares</v>
      </c>
      <c r="AC14" s="45"/>
    </row>
    <row r="15">
      <c r="A15" s="37" t="s">
        <v>57</v>
      </c>
      <c r="B15" s="35">
        <f>COUNTIF(Detalhamento!$G$8:$G1000,A15)</f>
        <v>0</v>
      </c>
      <c r="C15" s="38">
        <f>IFERROR(AVERAGEIF(Detalhamento!$G$8:$G1000,A15,Detalhamento!$O$8:$O1000),0)</f>
        <v>0</v>
      </c>
      <c r="D15" s="39" t="str">
        <f t="shared" si="1"/>
        <v/>
      </c>
      <c r="E15" s="40" t="s">
        <v>58</v>
      </c>
      <c r="F15" s="40" t="s">
        <v>59</v>
      </c>
      <c r="G15" s="41" t="s">
        <v>44</v>
      </c>
      <c r="H15" s="35"/>
      <c r="I15" s="35"/>
      <c r="J15" s="35"/>
      <c r="K15" s="35"/>
      <c r="L15" s="35"/>
      <c r="AA15" s="43" t="str">
        <f>IFERROR(__xludf.DUMMYFUNCTION("""COMPUTED_VALUE"""),"2.3")</f>
        <v>2.3</v>
      </c>
      <c r="AB15" s="44" t="str">
        <f>IFERROR(__xludf.DUMMYFUNCTION("""COMPUTED_VALUE"""),"Caçamba para entulho 4m³")</f>
        <v>Caçamba para entulho 4m³</v>
      </c>
      <c r="AC15" s="45"/>
    </row>
    <row r="16">
      <c r="A16" s="37" t="s">
        <v>60</v>
      </c>
      <c r="B16" s="35">
        <f>COUNTIF(Detalhamento!$G$8:$G1000,A16)</f>
        <v>12</v>
      </c>
      <c r="C16" s="38">
        <f>IFERROR(AVERAGEIF(Detalhamento!$G$8:$G1000,A16,Detalhamento!$O$8:$O1000),0)</f>
        <v>0</v>
      </c>
      <c r="D16" s="39" t="str">
        <f t="shared" si="1"/>
        <v>▮</v>
      </c>
      <c r="E16" s="40" t="s">
        <v>61</v>
      </c>
      <c r="F16" s="40" t="s">
        <v>62</v>
      </c>
      <c r="G16" s="41" t="s">
        <v>44</v>
      </c>
      <c r="H16" s="35"/>
      <c r="I16" s="35"/>
      <c r="J16" s="35"/>
      <c r="K16" s="35"/>
      <c r="L16" s="35"/>
      <c r="AA16" s="43" t="str">
        <f>IFERROR(__xludf.DUMMYFUNCTION("""COMPUTED_VALUE"""),"2.4")</f>
        <v>2.4</v>
      </c>
      <c r="AB16" s="44" t="str">
        <f>IFERROR(__xludf.DUMMYFUNCTION("""COMPUTED_VALUE"""),"Transporte de entulho e grades")</f>
        <v>Transporte de entulho e grades</v>
      </c>
      <c r="AC16" s="45"/>
    </row>
    <row r="17">
      <c r="A17" s="37" t="s">
        <v>63</v>
      </c>
      <c r="B17" s="35">
        <f>COUNTIF(Detalhamento!$G$8:$G1000,A17)</f>
        <v>28</v>
      </c>
      <c r="C17" s="38">
        <f>IFERROR(AVERAGEIF(Detalhamento!$G$8:$G1000,A17,Detalhamento!$O$8:$O1000),0)</f>
        <v>0</v>
      </c>
      <c r="D17" s="39" t="str">
        <f t="shared" si="1"/>
        <v>▮</v>
      </c>
      <c r="E17" s="40" t="s">
        <v>64</v>
      </c>
      <c r="F17" s="40" t="s">
        <v>59</v>
      </c>
      <c r="G17" s="41" t="s">
        <v>44</v>
      </c>
      <c r="H17" s="35"/>
      <c r="I17" s="35"/>
      <c r="J17" s="35"/>
      <c r="K17" s="35"/>
      <c r="L17" s="35"/>
      <c r="AA17" s="43" t="str">
        <f>IFERROR(__xludf.DUMMYFUNCTION("""COMPUTED_VALUE"""),"2.5")</f>
        <v>2.5</v>
      </c>
      <c r="AB17" s="44" t="str">
        <f>IFERROR(__xludf.DUMMYFUNCTION("""COMPUTED_VALUE"""),"Caçamba para entulho 4m³")</f>
        <v>Caçamba para entulho 4m³</v>
      </c>
      <c r="AC17" s="45"/>
    </row>
    <row r="18">
      <c r="A18" s="37" t="s">
        <v>65</v>
      </c>
      <c r="B18" s="35">
        <f>COUNTIF(Detalhamento!$G$8:$G1000,A18)</f>
        <v>48</v>
      </c>
      <c r="C18" s="38">
        <f>IFERROR(AVERAGEIF(Detalhamento!$G$8:$G1000,A18,Detalhamento!$O$8:$O1000),0)</f>
        <v>0</v>
      </c>
      <c r="D18" s="39" t="str">
        <f t="shared" si="1"/>
        <v>▮▮</v>
      </c>
      <c r="E18" s="40" t="s">
        <v>66</v>
      </c>
      <c r="F18" s="40" t="s">
        <v>67</v>
      </c>
      <c r="G18" s="41" t="s">
        <v>44</v>
      </c>
      <c r="H18" s="35"/>
      <c r="I18" s="35"/>
      <c r="J18" s="35"/>
      <c r="K18" s="35"/>
      <c r="L18" s="35"/>
      <c r="AA18" s="43" t="str">
        <f>IFERROR(__xludf.DUMMYFUNCTION("""COMPUTED_VALUE"""),"2.6")</f>
        <v>2.6</v>
      </c>
      <c r="AB18" s="44" t="str">
        <f>IFERROR(__xludf.DUMMYFUNCTION("""COMPUTED_VALUE"""),"Transporte de entulho")</f>
        <v>Transporte de entulho</v>
      </c>
      <c r="AC18" s="45"/>
    </row>
    <row r="19">
      <c r="A19" s="37" t="s">
        <v>68</v>
      </c>
      <c r="B19" s="35">
        <f>COUNTIF(Detalhamento!$G$8:$G1000,A19)</f>
        <v>38</v>
      </c>
      <c r="C19" s="38">
        <f>IFERROR(AVERAGEIF(Detalhamento!$G$8:$G1000,A19,Detalhamento!$O$8:$O1000),0)</f>
        <v>0</v>
      </c>
      <c r="D19" s="39" t="str">
        <f t="shared" si="1"/>
        <v>▮▮</v>
      </c>
      <c r="E19" s="40" t="s">
        <v>69</v>
      </c>
      <c r="F19" s="40" t="s">
        <v>70</v>
      </c>
      <c r="G19" s="41" t="s">
        <v>44</v>
      </c>
      <c r="H19" s="35"/>
      <c r="I19" s="35"/>
      <c r="J19" s="35"/>
      <c r="K19" s="35"/>
      <c r="L19" s="35"/>
      <c r="AA19" s="43" t="str">
        <f>IFERROR(__xludf.DUMMYFUNCTION("""COMPUTED_VALUE"""),"2.7")</f>
        <v>2.7</v>
      </c>
      <c r="AB19" s="44" t="str">
        <f>IFERROR(__xludf.DUMMYFUNCTION("""COMPUTED_VALUE"""),"Montagem e desmontagem de andaime direcional estrutural com chumbadores e plataforma")</f>
        <v>Montagem e desmontagem de andaime direcional estrutural com chumbadores e plataforma</v>
      </c>
      <c r="AC19" s="45"/>
    </row>
    <row r="20">
      <c r="A20" s="37" t="s">
        <v>71</v>
      </c>
      <c r="B20" s="35">
        <f>COUNTIF(Detalhamento!$G$8:$G1000,A20)</f>
        <v>23</v>
      </c>
      <c r="C20" s="38">
        <f>IFERROR(AVERAGEIF(Detalhamento!$G$8:$G1000,A20,Detalhamento!$O$8:$O1000),0)</f>
        <v>0</v>
      </c>
      <c r="D20" s="39" t="str">
        <f t="shared" si="1"/>
        <v>▮</v>
      </c>
      <c r="E20" s="40" t="s">
        <v>72</v>
      </c>
      <c r="F20" s="40" t="s">
        <v>73</v>
      </c>
      <c r="G20" s="41" t="s">
        <v>44</v>
      </c>
      <c r="H20" s="35"/>
      <c r="I20" s="35"/>
      <c r="J20" s="35"/>
      <c r="K20" s="35"/>
      <c r="L20" s="35"/>
      <c r="AA20" s="43" t="str">
        <f>IFERROR(__xludf.DUMMYFUNCTION("""COMPUTED_VALUE"""),"3.1")</f>
        <v>3.1</v>
      </c>
      <c r="AB20" s="44" t="str">
        <f>IFERROR(__xludf.DUMMYFUNCTION("""COMPUTED_VALUE"""),"Construção do prolongamento da caixa do elevador")</f>
        <v>Construção do prolongamento da caixa do elevador</v>
      </c>
      <c r="AC20" s="45"/>
    </row>
    <row r="21">
      <c r="A21" s="37" t="s">
        <v>74</v>
      </c>
      <c r="B21" s="35">
        <f>COUNTIF(Detalhamento!$G$8:$G1000,A21)</f>
        <v>16</v>
      </c>
      <c r="C21" s="38">
        <f>IFERROR(AVERAGEIF(Detalhamento!$G$8:$G1000,A21,Detalhamento!$O$8:$O1000),0)</f>
        <v>0</v>
      </c>
      <c r="D21" s="39" t="str">
        <f t="shared" si="1"/>
        <v>▮</v>
      </c>
      <c r="E21" s="40" t="s">
        <v>75</v>
      </c>
      <c r="F21" s="40" t="s">
        <v>76</v>
      </c>
      <c r="G21" s="41" t="s">
        <v>44</v>
      </c>
      <c r="H21" s="35"/>
      <c r="I21" s="35"/>
      <c r="J21" s="35"/>
      <c r="K21" s="35"/>
      <c r="L21" s="35"/>
      <c r="AA21" s="43" t="str">
        <f>IFERROR(__xludf.DUMMYFUNCTION("""COMPUTED_VALUE"""),"3.2")</f>
        <v>3.2</v>
      </c>
      <c r="AB21" s="44" t="str">
        <f>IFERROR(__xludf.DUMMYFUNCTION("""COMPUTED_VALUE"""),"Construção da laje de cobertura da torre com Alça para içamento do pistão")</f>
        <v>Construção da laje de cobertura da torre com Alça para içamento do pistão</v>
      </c>
      <c r="AC21" s="45"/>
    </row>
    <row r="22">
      <c r="A22" s="37" t="s">
        <v>77</v>
      </c>
      <c r="B22" s="35">
        <f>COUNTIF(Detalhamento!$G$8:$G1000,A22)</f>
        <v>31</v>
      </c>
      <c r="C22" s="38">
        <f>IFERROR(AVERAGEIF(Detalhamento!$G$8:$G1000,A22,Detalhamento!$O$8:$O1000),0)</f>
        <v>0</v>
      </c>
      <c r="D22" s="39" t="str">
        <f t="shared" si="1"/>
        <v>▮</v>
      </c>
      <c r="E22" s="40" t="s">
        <v>78</v>
      </c>
      <c r="F22" s="40" t="s">
        <v>79</v>
      </c>
      <c r="G22" s="41" t="s">
        <v>44</v>
      </c>
      <c r="H22" s="35"/>
      <c r="I22" s="35"/>
      <c r="J22" s="35"/>
      <c r="K22" s="35"/>
      <c r="L22" s="35"/>
      <c r="AA22" s="43" t="str">
        <f>IFERROR(__xludf.DUMMYFUNCTION("""COMPUTED_VALUE"""),"3.3")</f>
        <v>3.3</v>
      </c>
      <c r="AB22" s="44" t="str">
        <f>IFERROR(__xludf.DUMMYFUNCTION("""COMPUTED_VALUE"""),"Cintas intermediárias em todos os andares")</f>
        <v>Cintas intermediárias em todos os andares</v>
      </c>
      <c r="AC22" s="45"/>
    </row>
    <row r="23">
      <c r="A23" s="37" t="s">
        <v>80</v>
      </c>
      <c r="B23" s="35">
        <f>COUNTIF(Detalhamento!$G$8:$G1000,A23)</f>
        <v>6</v>
      </c>
      <c r="C23" s="38">
        <f>IFERROR(AVERAGEIF(Detalhamento!$G$8:$G1000,A23,Detalhamento!$O$8:$O1000),0)</f>
        <v>0</v>
      </c>
      <c r="D23" s="39" t="str">
        <f t="shared" si="1"/>
        <v>▮</v>
      </c>
      <c r="E23" s="40" t="s">
        <v>81</v>
      </c>
      <c r="F23" s="40" t="s">
        <v>82</v>
      </c>
      <c r="G23" s="41" t="s">
        <v>44</v>
      </c>
      <c r="H23" s="35"/>
      <c r="I23" s="35"/>
      <c r="J23" s="35"/>
      <c r="K23" s="35"/>
      <c r="L23" s="35"/>
      <c r="AA23" s="43" t="str">
        <f>IFERROR(__xludf.DUMMYFUNCTION("""COMPUTED_VALUE"""),"3.4")</f>
        <v>3.4</v>
      </c>
      <c r="AB23" s="44" t="str">
        <f>IFERROR(__xludf.DUMMYFUNCTION("""COMPUTED_VALUE"""),"Fechamento das laterais e fundos em alvenaria no prolongamento da torre")</f>
        <v>Fechamento das laterais e fundos em alvenaria no prolongamento da torre</v>
      </c>
      <c r="AC23" s="45"/>
    </row>
    <row r="24">
      <c r="A24" s="35"/>
      <c r="B24" s="35"/>
      <c r="C24" s="35"/>
      <c r="D24" s="35"/>
      <c r="E24" s="40" t="s">
        <v>83</v>
      </c>
      <c r="F24" s="40" t="s">
        <v>84</v>
      </c>
      <c r="G24" s="41" t="s">
        <v>44</v>
      </c>
      <c r="H24" s="35"/>
      <c r="I24" s="35"/>
      <c r="J24" s="35"/>
      <c r="K24" s="35"/>
      <c r="L24" s="35"/>
      <c r="AA24" s="43" t="str">
        <f>IFERROR(__xludf.DUMMYFUNCTION("""COMPUTED_VALUE"""),"3.5")</f>
        <v>3.5</v>
      </c>
      <c r="AB24" s="44" t="str">
        <f>IFERROR(__xludf.DUMMYFUNCTION("""COMPUTED_VALUE"""),"Rebocamento no prolongamento da torre")</f>
        <v>Rebocamento no prolongamento da torre</v>
      </c>
      <c r="AC24" s="45"/>
    </row>
    <row r="25">
      <c r="A25" s="35"/>
      <c r="B25" s="35"/>
      <c r="C25" s="35"/>
      <c r="D25" s="35"/>
      <c r="E25" s="35"/>
      <c r="F25" s="35"/>
      <c r="G25" s="46"/>
      <c r="H25" s="35"/>
      <c r="I25" s="35"/>
      <c r="J25" s="35"/>
      <c r="K25" s="35"/>
      <c r="L25" s="35"/>
    </row>
    <row r="26">
      <c r="A26" s="47" t="s">
        <v>85</v>
      </c>
      <c r="D26" s="35"/>
      <c r="E26" s="48" t="s">
        <v>86</v>
      </c>
      <c r="H26" s="35"/>
      <c r="I26" s="49" t="s">
        <v>87</v>
      </c>
      <c r="L26" s="35"/>
    </row>
    <row r="27">
      <c r="A27" s="34" t="s">
        <v>88</v>
      </c>
      <c r="B27" s="34" t="s">
        <v>89</v>
      </c>
      <c r="C27" s="35"/>
      <c r="D27" s="35"/>
      <c r="E27" s="50" t="s">
        <v>90</v>
      </c>
      <c r="F27" s="50" t="s">
        <v>19</v>
      </c>
      <c r="G27" s="51"/>
      <c r="H27" s="35"/>
      <c r="I27" s="52" t="s">
        <v>90</v>
      </c>
      <c r="J27" s="52" t="s">
        <v>19</v>
      </c>
      <c r="K27" s="53"/>
      <c r="L27" s="35"/>
    </row>
    <row r="28">
      <c r="A28" s="37" t="s">
        <v>91</v>
      </c>
      <c r="B28" s="35">
        <f>COUNTIF(Detalhamento!J8:J1000,"Não")</f>
        <v>0</v>
      </c>
      <c r="C28" s="35"/>
      <c r="D28" s="35"/>
      <c r="E28" s="37" t="s">
        <v>92</v>
      </c>
      <c r="F28" s="54">
        <f>SUMPRODUCT(SC!H6:H205,SC!J6:J205)</f>
        <v>14422.64</v>
      </c>
      <c r="G28" s="35"/>
      <c r="H28" s="35"/>
      <c r="I28" s="55" t="s">
        <v>93</v>
      </c>
      <c r="J28" s="40">
        <f>COUNTA(Compatibilizacao!A5:A1000)</f>
        <v>996</v>
      </c>
      <c r="K28" s="35"/>
      <c r="L28" s="35"/>
    </row>
    <row r="29">
      <c r="A29" s="37" t="s">
        <v>94</v>
      </c>
      <c r="B29" s="35">
        <f>COUNTIF(Detalhamento!K8:K1000,"Não")</f>
        <v>0</v>
      </c>
      <c r="C29" s="35"/>
      <c r="D29" s="35"/>
      <c r="E29" s="37" t="s">
        <v>95</v>
      </c>
      <c r="F29" s="35">
        <f>COUNTA(SC!D6:D205)</f>
        <v>7</v>
      </c>
      <c r="G29" s="35"/>
      <c r="H29" s="35"/>
      <c r="I29" s="55" t="s">
        <v>96</v>
      </c>
      <c r="J29" s="40">
        <f>COUNTIF(Compatibilizacao!F5:F1000,"*🟢*")</f>
        <v>42</v>
      </c>
      <c r="K29" s="35"/>
      <c r="L29" s="35"/>
    </row>
    <row r="30">
      <c r="A30" s="37" t="s">
        <v>97</v>
      </c>
      <c r="B30" s="35">
        <f>COUNTIF(Detalhamento!L8:L1000,"Não")</f>
        <v>0</v>
      </c>
      <c r="C30" s="35"/>
      <c r="D30" s="35"/>
      <c r="E30" s="37" t="s">
        <v>98</v>
      </c>
      <c r="F30" s="35">
        <f>COUNTIF(Inventario!F6:F1000,"&gt;0")</f>
        <v>2</v>
      </c>
      <c r="G30" s="35"/>
      <c r="H30" s="35"/>
      <c r="I30" s="55" t="s">
        <v>99</v>
      </c>
      <c r="J30" s="56">
        <f>COUNTIF(Compatibilizacao!F5:F1000,"*🔴*")</f>
        <v>126</v>
      </c>
      <c r="K30" s="35"/>
      <c r="L30" s="35"/>
    </row>
    <row r="31">
      <c r="A31" s="37" t="s">
        <v>100</v>
      </c>
      <c r="B31" s="35">
        <f>COUNTIF(Detalhamento!M8:M1000,"Não")</f>
        <v>0</v>
      </c>
      <c r="C31" s="35"/>
      <c r="D31" s="35"/>
      <c r="E31" s="35"/>
      <c r="F31" s="35"/>
      <c r="G31" s="35"/>
      <c r="H31" s="35"/>
      <c r="I31" s="55" t="s">
        <v>101</v>
      </c>
      <c r="J31" s="57">
        <f>IFERROR(COUNTIF(Compatibilizacao!F5:F1000,"*🟢*")/COUNTA(Compatibilizacao!A5:A1000),0)</f>
        <v>0.0421686747</v>
      </c>
      <c r="K31" s="35"/>
      <c r="L31" s="35"/>
    </row>
    <row r="32">
      <c r="A32" s="37" t="s">
        <v>102</v>
      </c>
      <c r="B32" s="35">
        <f>COUNTIF(Detalhamento!N8:N1000,"Não")</f>
        <v>0</v>
      </c>
      <c r="C32" s="35"/>
      <c r="D32" s="35"/>
      <c r="E32" s="35"/>
      <c r="F32" s="35"/>
      <c r="G32" s="35"/>
      <c r="H32" s="35"/>
      <c r="I32" s="35"/>
      <c r="J32" s="35"/>
      <c r="K32" s="35"/>
      <c r="L32" s="35"/>
    </row>
    <row r="33">
      <c r="A33" s="35"/>
      <c r="B33" s="35"/>
      <c r="C33" s="35"/>
      <c r="D33" s="35"/>
      <c r="E33" s="35"/>
      <c r="F33" s="35"/>
      <c r="G33" s="35"/>
      <c r="H33" s="35"/>
      <c r="I33" s="35"/>
      <c r="J33" s="35"/>
      <c r="K33" s="35"/>
      <c r="L33" s="35"/>
    </row>
    <row r="34">
      <c r="A34" s="35"/>
      <c r="B34" s="35"/>
      <c r="C34" s="35"/>
      <c r="D34" s="35"/>
      <c r="E34" s="35"/>
      <c r="F34" s="35"/>
      <c r="G34" s="35"/>
      <c r="H34" s="35"/>
      <c r="I34" s="35"/>
      <c r="J34" s="35"/>
      <c r="K34" s="35"/>
      <c r="L34" s="35"/>
    </row>
    <row r="35">
      <c r="A35" s="35"/>
      <c r="B35" s="35"/>
      <c r="C35" s="35"/>
      <c r="D35" s="35"/>
      <c r="E35" s="35"/>
      <c r="F35" s="35"/>
      <c r="G35" s="35"/>
      <c r="H35" s="35"/>
      <c r="I35" s="35"/>
      <c r="J35" s="35"/>
      <c r="K35" s="35"/>
      <c r="L35" s="35"/>
    </row>
    <row r="36">
      <c r="A36" s="35"/>
      <c r="B36" s="35"/>
      <c r="C36" s="35"/>
      <c r="D36" s="35"/>
      <c r="E36" s="35"/>
      <c r="F36" s="35"/>
      <c r="G36" s="35"/>
      <c r="H36" s="35"/>
      <c r="I36" s="35"/>
      <c r="J36" s="35"/>
      <c r="K36" s="35"/>
      <c r="L36" s="35"/>
    </row>
    <row r="37">
      <c r="A37" s="35"/>
      <c r="B37" s="35"/>
      <c r="C37" s="35"/>
      <c r="D37" s="35"/>
      <c r="E37" s="35"/>
      <c r="F37" s="35"/>
      <c r="G37" s="35"/>
      <c r="H37" s="35"/>
      <c r="I37" s="35"/>
      <c r="J37" s="35"/>
      <c r="K37" s="35"/>
      <c r="L37" s="35"/>
    </row>
    <row r="38">
      <c r="A38" s="35"/>
      <c r="B38" s="35"/>
      <c r="C38" s="35"/>
      <c r="D38" s="35"/>
      <c r="E38" s="35"/>
      <c r="F38" s="35"/>
      <c r="G38" s="35"/>
      <c r="H38" s="35"/>
      <c r="I38" s="35"/>
      <c r="J38" s="35"/>
      <c r="K38" s="35"/>
      <c r="L38" s="35"/>
    </row>
    <row r="39">
      <c r="A39" s="35"/>
      <c r="B39" s="35"/>
      <c r="C39" s="35"/>
      <c r="D39" s="35"/>
      <c r="E39" s="35"/>
      <c r="F39" s="35"/>
      <c r="G39" s="35"/>
      <c r="H39" s="35"/>
      <c r="I39" s="35"/>
      <c r="J39" s="35"/>
      <c r="K39" s="35"/>
      <c r="L39" s="35"/>
    </row>
    <row r="40">
      <c r="A40" s="35"/>
      <c r="B40" s="35"/>
      <c r="C40" s="35"/>
      <c r="D40" s="35"/>
      <c r="E40" s="35"/>
      <c r="F40" s="35"/>
      <c r="G40" s="35"/>
      <c r="H40" s="35"/>
      <c r="I40" s="35"/>
      <c r="J40" s="35"/>
      <c r="K40" s="35"/>
      <c r="L40" s="35"/>
    </row>
    <row r="41">
      <c r="A41" s="35"/>
      <c r="B41" s="35"/>
      <c r="C41" s="35"/>
      <c r="D41" s="35"/>
      <c r="E41" s="35"/>
      <c r="F41" s="35"/>
      <c r="G41" s="35"/>
      <c r="H41" s="35"/>
      <c r="I41" s="35"/>
      <c r="J41" s="35"/>
      <c r="K41" s="35"/>
      <c r="L41" s="35"/>
    </row>
    <row r="42">
      <c r="A42" s="35"/>
      <c r="B42" s="35"/>
      <c r="C42" s="35"/>
      <c r="D42" s="35"/>
      <c r="E42" s="35"/>
      <c r="F42" s="35"/>
      <c r="G42" s="35"/>
      <c r="H42" s="35"/>
      <c r="I42" s="35"/>
      <c r="J42" s="35"/>
      <c r="K42" s="35"/>
      <c r="L42" s="35"/>
    </row>
    <row r="43">
      <c r="A43" s="35"/>
      <c r="B43" s="35"/>
      <c r="C43" s="35"/>
      <c r="D43" s="35"/>
      <c r="E43" s="35"/>
      <c r="F43" s="35"/>
      <c r="G43" s="35"/>
      <c r="H43" s="35"/>
      <c r="I43" s="35"/>
      <c r="J43" s="35"/>
      <c r="K43" s="35"/>
      <c r="L43" s="35"/>
    </row>
    <row r="44">
      <c r="A44" s="35"/>
      <c r="B44" s="35"/>
      <c r="C44" s="35"/>
      <c r="D44" s="35"/>
      <c r="E44" s="35"/>
      <c r="F44" s="35"/>
      <c r="G44" s="35"/>
      <c r="H44" s="35"/>
      <c r="I44" s="35"/>
      <c r="J44" s="35"/>
      <c r="K44" s="35"/>
      <c r="L44" s="35"/>
    </row>
    <row r="45">
      <c r="A45" s="35"/>
      <c r="B45" s="35"/>
      <c r="C45" s="35"/>
      <c r="D45" s="35"/>
      <c r="E45" s="35"/>
      <c r="F45" s="35"/>
      <c r="G45" s="35"/>
      <c r="H45" s="35"/>
      <c r="I45" s="35"/>
      <c r="J45" s="35"/>
      <c r="K45" s="35"/>
      <c r="L45" s="35"/>
    </row>
    <row r="46">
      <c r="A46" s="35"/>
      <c r="B46" s="35"/>
      <c r="C46" s="35"/>
      <c r="D46" s="35"/>
      <c r="E46" s="35"/>
      <c r="F46" s="35"/>
      <c r="G46" s="35"/>
      <c r="H46" s="35"/>
      <c r="I46" s="35"/>
      <c r="J46" s="35"/>
      <c r="K46" s="35"/>
      <c r="L46" s="35"/>
    </row>
    <row r="47">
      <c r="A47" s="35"/>
      <c r="B47" s="35"/>
      <c r="C47" s="35"/>
      <c r="D47" s="35"/>
      <c r="E47" s="35"/>
      <c r="F47" s="35"/>
      <c r="G47" s="35"/>
      <c r="H47" s="35"/>
      <c r="I47" s="35"/>
      <c r="J47" s="35"/>
      <c r="K47" s="35"/>
      <c r="L47" s="35"/>
    </row>
  </sheetData>
  <mergeCells count="20">
    <mergeCell ref="A1:N1"/>
    <mergeCell ref="A2:N2"/>
    <mergeCell ref="C4:D4"/>
    <mergeCell ref="E4:F4"/>
    <mergeCell ref="G4:H4"/>
    <mergeCell ref="I4:J4"/>
    <mergeCell ref="K4:L4"/>
    <mergeCell ref="A7:D7"/>
    <mergeCell ref="E7:G7"/>
    <mergeCell ref="I7:K7"/>
    <mergeCell ref="A26:C26"/>
    <mergeCell ref="E26:G26"/>
    <mergeCell ref="I26:K26"/>
    <mergeCell ref="A4:B4"/>
    <mergeCell ref="A5:B5"/>
    <mergeCell ref="C5:D5"/>
    <mergeCell ref="E5:F5"/>
    <mergeCell ref="G5:H5"/>
    <mergeCell ref="I5:J5"/>
    <mergeCell ref="K5:L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8" t="s">
        <v>103</v>
      </c>
    </row>
    <row r="2">
      <c r="A2" s="59">
        <v>46023.0</v>
      </c>
    </row>
    <row r="3">
      <c r="A3" s="59">
        <v>46054.0</v>
      </c>
    </row>
    <row r="4">
      <c r="A4" s="59">
        <v>46082.0</v>
      </c>
    </row>
    <row r="5">
      <c r="A5" s="59">
        <v>46113.0</v>
      </c>
    </row>
    <row r="6">
      <c r="A6" s="59">
        <v>46143.0</v>
      </c>
    </row>
    <row r="7">
      <c r="A7" s="59">
        <v>46024.0</v>
      </c>
    </row>
    <row r="8">
      <c r="A8" s="59">
        <v>46055.0</v>
      </c>
    </row>
    <row r="9">
      <c r="A9" s="59">
        <v>46083.0</v>
      </c>
    </row>
    <row r="10">
      <c r="A10" s="59">
        <v>46114.0</v>
      </c>
    </row>
    <row r="11">
      <c r="A11" s="59">
        <v>46144.0</v>
      </c>
    </row>
    <row r="12">
      <c r="A12" s="59">
        <v>46175.0</v>
      </c>
    </row>
    <row r="13">
      <c r="A13" s="59">
        <v>46205.0</v>
      </c>
    </row>
    <row r="14">
      <c r="A14" s="59">
        <v>46025.0</v>
      </c>
    </row>
    <row r="15">
      <c r="A15" s="59">
        <v>46056.0</v>
      </c>
    </row>
    <row r="16">
      <c r="A16" s="59">
        <v>46084.0</v>
      </c>
    </row>
    <row r="17">
      <c r="A17" s="59">
        <v>46115.0</v>
      </c>
    </row>
    <row r="18">
      <c r="A18" s="59">
        <v>46145.0</v>
      </c>
    </row>
    <row r="19">
      <c r="A19" s="59">
        <v>46176.0</v>
      </c>
    </row>
    <row r="20">
      <c r="A20" s="59">
        <v>46026.0</v>
      </c>
    </row>
    <row r="21">
      <c r="A21" s="59">
        <v>46057.0</v>
      </c>
    </row>
    <row r="22">
      <c r="A22" s="59">
        <v>46085.0</v>
      </c>
    </row>
    <row r="23">
      <c r="A23" s="59">
        <v>46116.0</v>
      </c>
    </row>
    <row r="24">
      <c r="A24" s="59">
        <v>46146.0</v>
      </c>
    </row>
    <row r="25">
      <c r="A25" s="59">
        <v>46177.0</v>
      </c>
    </row>
    <row r="26">
      <c r="A26" s="59">
        <v>46207.0</v>
      </c>
    </row>
    <row r="27">
      <c r="A27" s="59">
        <v>46238.0</v>
      </c>
    </row>
    <row r="28">
      <c r="A28" s="59">
        <v>46269.0</v>
      </c>
    </row>
    <row r="29">
      <c r="A29" s="59">
        <v>46299.0</v>
      </c>
    </row>
    <row r="30">
      <c r="A30" s="59">
        <v>46330.0</v>
      </c>
    </row>
    <row r="31">
      <c r="A31" s="59">
        <v>46360.0</v>
      </c>
    </row>
    <row r="32">
      <c r="A32" s="58" t="s">
        <v>104</v>
      </c>
    </row>
    <row r="33">
      <c r="A33" s="58" t="s">
        <v>105</v>
      </c>
    </row>
    <row r="34">
      <c r="A34" s="58" t="s">
        <v>106</v>
      </c>
    </row>
    <row r="35">
      <c r="A35" s="58" t="s">
        <v>107</v>
      </c>
    </row>
    <row r="36">
      <c r="A36" s="58" t="s">
        <v>108</v>
      </c>
    </row>
    <row r="37">
      <c r="A37" s="58">
        <v>11.0</v>
      </c>
    </row>
    <row r="38">
      <c r="A38" s="58">
        <v>12.0</v>
      </c>
    </row>
    <row r="39">
      <c r="A39" s="58">
        <v>12.0</v>
      </c>
    </row>
    <row r="40">
      <c r="A40" s="59">
        <v>46034.0</v>
      </c>
    </row>
    <row r="41">
      <c r="A41" s="58">
        <v>13.0</v>
      </c>
    </row>
    <row r="42">
      <c r="A42" s="58">
        <v>14.0</v>
      </c>
    </row>
    <row r="43">
      <c r="A43" s="59">
        <v>46035.0</v>
      </c>
    </row>
    <row r="44">
      <c r="A44" s="59">
        <v>46027.0</v>
      </c>
    </row>
    <row r="45">
      <c r="A45" s="59">
        <v>46058.0</v>
      </c>
    </row>
    <row r="46">
      <c r="A46" s="59">
        <v>46086.0</v>
      </c>
    </row>
    <row r="47">
      <c r="A47" s="59">
        <v>46117.0</v>
      </c>
    </row>
    <row r="48">
      <c r="A48" s="59">
        <v>46147.0</v>
      </c>
    </row>
    <row r="49">
      <c r="A49" s="59">
        <v>46178.0</v>
      </c>
    </row>
    <row r="50">
      <c r="A50" s="59">
        <v>46208.0</v>
      </c>
    </row>
    <row r="51">
      <c r="A51" s="59">
        <v>46239.0</v>
      </c>
    </row>
    <row r="52">
      <c r="A52" s="59">
        <v>46270.0</v>
      </c>
    </row>
    <row r="53">
      <c r="A53" s="59">
        <v>46300.0</v>
      </c>
    </row>
    <row r="54">
      <c r="A54" s="59">
        <v>46331.0</v>
      </c>
    </row>
    <row r="55">
      <c r="A55" s="59">
        <v>46361.0</v>
      </c>
    </row>
    <row r="56">
      <c r="A56" s="58" t="s">
        <v>109</v>
      </c>
    </row>
    <row r="57">
      <c r="A57" s="58" t="s">
        <v>110</v>
      </c>
    </row>
    <row r="58">
      <c r="A58" s="58" t="s">
        <v>111</v>
      </c>
    </row>
    <row r="59">
      <c r="A59" s="58" t="s">
        <v>112</v>
      </c>
    </row>
    <row r="60">
      <c r="A60" s="58" t="s">
        <v>113</v>
      </c>
    </row>
    <row r="61">
      <c r="A61" s="58" t="s">
        <v>114</v>
      </c>
    </row>
    <row r="62">
      <c r="A62" s="58" t="s">
        <v>115</v>
      </c>
    </row>
    <row r="63">
      <c r="A63" s="58" t="s">
        <v>116</v>
      </c>
    </row>
    <row r="64">
      <c r="A64" s="58" t="s">
        <v>117</v>
      </c>
    </row>
    <row r="65">
      <c r="A65" s="58" t="s">
        <v>118</v>
      </c>
    </row>
    <row r="66">
      <c r="A66" s="58" t="s">
        <v>119</v>
      </c>
    </row>
    <row r="67">
      <c r="A67" s="58" t="s">
        <v>120</v>
      </c>
    </row>
    <row r="68">
      <c r="A68" s="58" t="s">
        <v>121</v>
      </c>
    </row>
    <row r="69">
      <c r="A69" s="58" t="s">
        <v>122</v>
      </c>
    </row>
    <row r="70">
      <c r="A70" s="58" t="s">
        <v>123</v>
      </c>
    </row>
    <row r="71">
      <c r="A71" s="58" t="s">
        <v>124</v>
      </c>
    </row>
    <row r="72">
      <c r="A72" s="58" t="s">
        <v>125</v>
      </c>
    </row>
    <row r="73">
      <c r="A73" s="58" t="s">
        <v>126</v>
      </c>
    </row>
    <row r="74">
      <c r="A74" s="58" t="s">
        <v>127</v>
      </c>
    </row>
    <row r="75">
      <c r="A75" s="58" t="s">
        <v>128</v>
      </c>
    </row>
    <row r="76">
      <c r="A76" s="58" t="s">
        <v>129</v>
      </c>
    </row>
    <row r="77">
      <c r="A77" s="58" t="s">
        <v>130</v>
      </c>
    </row>
    <row r="78">
      <c r="A78" s="58" t="s">
        <v>131</v>
      </c>
    </row>
    <row r="79">
      <c r="A79" s="58" t="s">
        <v>132</v>
      </c>
    </row>
    <row r="80">
      <c r="A80" s="58" t="s">
        <v>133</v>
      </c>
    </row>
    <row r="81">
      <c r="A81" s="58" t="s">
        <v>134</v>
      </c>
    </row>
    <row r="82">
      <c r="A82" s="58" t="s">
        <v>135</v>
      </c>
    </row>
    <row r="83">
      <c r="A83" s="58" t="s">
        <v>136</v>
      </c>
    </row>
    <row r="84">
      <c r="A84" s="58" t="s">
        <v>137</v>
      </c>
    </row>
    <row r="85">
      <c r="A85" s="58" t="s">
        <v>138</v>
      </c>
    </row>
    <row r="86">
      <c r="A86" s="58" t="s">
        <v>139</v>
      </c>
    </row>
    <row r="87">
      <c r="A87" s="58" t="s">
        <v>140</v>
      </c>
    </row>
    <row r="88">
      <c r="A88" s="58" t="s">
        <v>141</v>
      </c>
    </row>
    <row r="89">
      <c r="A89" s="58" t="s">
        <v>142</v>
      </c>
    </row>
    <row r="90">
      <c r="A90" s="58" t="s">
        <v>143</v>
      </c>
    </row>
    <row r="91">
      <c r="A91" s="58" t="s">
        <v>144</v>
      </c>
    </row>
    <row r="92">
      <c r="A92" s="58" t="s">
        <v>145</v>
      </c>
    </row>
    <row r="93">
      <c r="A93" s="59">
        <v>46028.0</v>
      </c>
    </row>
    <row r="94">
      <c r="A94" s="59">
        <v>46059.0</v>
      </c>
    </row>
    <row r="95">
      <c r="A95" s="59">
        <v>46087.0</v>
      </c>
    </row>
    <row r="96">
      <c r="A96" s="59">
        <v>46118.0</v>
      </c>
    </row>
    <row r="97">
      <c r="A97" s="59">
        <v>46148.0</v>
      </c>
    </row>
    <row r="98">
      <c r="A98" s="59">
        <v>46179.0</v>
      </c>
    </row>
    <row r="99">
      <c r="A99" s="59">
        <v>46209.0</v>
      </c>
    </row>
    <row r="100">
      <c r="A100" s="59">
        <v>46240.0</v>
      </c>
    </row>
    <row r="101">
      <c r="A101" s="59">
        <v>46271.0</v>
      </c>
    </row>
    <row r="102">
      <c r="A102" s="59">
        <v>46301.0</v>
      </c>
    </row>
    <row r="103">
      <c r="A103" s="59">
        <v>46332.0</v>
      </c>
    </row>
    <row r="104">
      <c r="A104" s="59">
        <v>46362.0</v>
      </c>
    </row>
    <row r="105">
      <c r="A105" s="58" t="s">
        <v>146</v>
      </c>
    </row>
    <row r="106">
      <c r="A106" s="58" t="s">
        <v>147</v>
      </c>
    </row>
    <row r="107">
      <c r="A107" s="58" t="s">
        <v>148</v>
      </c>
    </row>
    <row r="108">
      <c r="A108" s="58" t="s">
        <v>149</v>
      </c>
    </row>
    <row r="109">
      <c r="A109" s="58" t="s">
        <v>150</v>
      </c>
    </row>
    <row r="110">
      <c r="A110" s="58" t="s">
        <v>151</v>
      </c>
    </row>
    <row r="111">
      <c r="A111" s="58" t="s">
        <v>152</v>
      </c>
    </row>
    <row r="112">
      <c r="A112" s="58" t="s">
        <v>153</v>
      </c>
    </row>
    <row r="113">
      <c r="A113" s="58" t="s">
        <v>154</v>
      </c>
    </row>
    <row r="114">
      <c r="A114" s="58" t="s">
        <v>155</v>
      </c>
    </row>
    <row r="115">
      <c r="A115" s="58" t="s">
        <v>156</v>
      </c>
    </row>
    <row r="116">
      <c r="A116" s="58" t="s">
        <v>157</v>
      </c>
    </row>
    <row r="117">
      <c r="A117" s="58" t="s">
        <v>158</v>
      </c>
    </row>
    <row r="118">
      <c r="A118" s="58" t="s">
        <v>159</v>
      </c>
    </row>
    <row r="119">
      <c r="A119" s="58" t="s">
        <v>160</v>
      </c>
    </row>
    <row r="120">
      <c r="A120" s="58" t="s">
        <v>161</v>
      </c>
    </row>
    <row r="121">
      <c r="A121" s="58" t="s">
        <v>162</v>
      </c>
    </row>
    <row r="122">
      <c r="A122" s="58" t="s">
        <v>163</v>
      </c>
    </row>
    <row r="123">
      <c r="A123" s="58" t="s">
        <v>164</v>
      </c>
    </row>
    <row r="124">
      <c r="A124" s="58" t="s">
        <v>165</v>
      </c>
    </row>
    <row r="125">
      <c r="A125" s="58" t="s">
        <v>166</v>
      </c>
    </row>
    <row r="126">
      <c r="A126" s="58" t="s">
        <v>167</v>
      </c>
    </row>
    <row r="127">
      <c r="A127" s="58" t="s">
        <v>168</v>
      </c>
    </row>
    <row r="128">
      <c r="A128" s="58" t="s">
        <v>169</v>
      </c>
    </row>
    <row r="129">
      <c r="A129" s="58" t="s">
        <v>170</v>
      </c>
    </row>
    <row r="130">
      <c r="A130" s="59">
        <v>46029.0</v>
      </c>
    </row>
    <row r="131">
      <c r="A131" s="59">
        <v>46060.0</v>
      </c>
    </row>
    <row r="132">
      <c r="A132" s="59">
        <v>46088.0</v>
      </c>
    </row>
    <row r="133">
      <c r="A133" s="59">
        <v>46119.0</v>
      </c>
    </row>
    <row r="134">
      <c r="A134" s="59">
        <v>46149.0</v>
      </c>
    </row>
    <row r="135">
      <c r="A135" s="59">
        <v>46180.0</v>
      </c>
    </row>
    <row r="136">
      <c r="A136" s="59">
        <v>46210.0</v>
      </c>
    </row>
    <row r="137">
      <c r="A137" s="59">
        <v>46241.0</v>
      </c>
    </row>
    <row r="138">
      <c r="A138" s="59">
        <v>46272.0</v>
      </c>
    </row>
    <row r="139">
      <c r="A139" s="59">
        <v>46302.0</v>
      </c>
    </row>
    <row r="140">
      <c r="A140" s="59">
        <v>46333.0</v>
      </c>
    </row>
    <row r="141">
      <c r="A141" s="59">
        <v>46363.0</v>
      </c>
    </row>
    <row r="142">
      <c r="A142" s="59">
        <v>46030.0</v>
      </c>
    </row>
    <row r="143">
      <c r="A143" s="59">
        <v>46061.0</v>
      </c>
    </row>
    <row r="144">
      <c r="A144" s="59">
        <v>46089.0</v>
      </c>
    </row>
    <row r="145">
      <c r="A145" s="59">
        <v>46120.0</v>
      </c>
    </row>
    <row r="146">
      <c r="A146" s="59">
        <v>46150.0</v>
      </c>
    </row>
    <row r="147">
      <c r="A147" s="59">
        <v>46181.0</v>
      </c>
    </row>
    <row r="148">
      <c r="A148" s="59">
        <v>46211.0</v>
      </c>
    </row>
    <row r="149">
      <c r="A149" s="59">
        <v>46242.0</v>
      </c>
    </row>
    <row r="150">
      <c r="A150" s="59">
        <v>46273.0</v>
      </c>
    </row>
    <row r="151">
      <c r="A151" s="59">
        <v>46303.0</v>
      </c>
    </row>
    <row r="152">
      <c r="A152" s="59">
        <v>46334.0</v>
      </c>
    </row>
    <row r="153">
      <c r="A153" s="59">
        <v>46364.0</v>
      </c>
    </row>
    <row r="154">
      <c r="A154" s="59">
        <v>46031.0</v>
      </c>
    </row>
    <row r="155">
      <c r="A155" s="59">
        <v>46062.0</v>
      </c>
    </row>
    <row r="156">
      <c r="A156" s="59">
        <v>46090.0</v>
      </c>
    </row>
    <row r="157">
      <c r="A157" s="59">
        <v>46121.0</v>
      </c>
    </row>
    <row r="158">
      <c r="A158" s="59">
        <v>46151.0</v>
      </c>
    </row>
    <row r="159">
      <c r="A159" s="59">
        <v>46182.0</v>
      </c>
    </row>
    <row r="160">
      <c r="A160" s="59">
        <v>46212.0</v>
      </c>
    </row>
    <row r="161">
      <c r="A161" s="59">
        <v>46243.0</v>
      </c>
    </row>
    <row r="162">
      <c r="A162" s="59">
        <v>46274.0</v>
      </c>
    </row>
    <row r="163">
      <c r="A163" s="59">
        <v>46304.0</v>
      </c>
    </row>
    <row r="164">
      <c r="A164" s="59">
        <v>46032.0</v>
      </c>
    </row>
    <row r="165">
      <c r="A165" s="59">
        <v>46063.0</v>
      </c>
    </row>
    <row r="166">
      <c r="A166" s="60">
        <v>46042.0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4.43" defaultRowHeight="15.0"/>
  <cols>
    <col customWidth="1" min="1" max="1" width="3.57"/>
    <col customWidth="1" min="2" max="2" width="28.71"/>
    <col customWidth="1" min="3" max="5" width="11.57"/>
    <col customWidth="1" min="6" max="6" width="13.86"/>
    <col customWidth="1" min="7" max="7" width="3.29"/>
    <col customWidth="1" min="8" max="8" width="27.29"/>
    <col customWidth="1" min="9" max="9" width="11.57"/>
    <col customWidth="1" min="10" max="11" width="10.43"/>
    <col customWidth="1" min="12" max="12" width="13.86"/>
    <col customWidth="1" min="13" max="13" width="3.29"/>
    <col customWidth="1" min="14" max="20" width="10.43"/>
  </cols>
  <sheetData>
    <row r="1" ht="24.0" customHeight="1">
      <c r="B1" s="61" t="s">
        <v>171</v>
      </c>
    </row>
    <row r="2">
      <c r="B2" s="62" t="str">
        <f>"Consulado Geral da Itália  ·  atualizado em "&amp;TEXT(TODAY(),"dd/mm/yyyy")</f>
        <v>Consulado Geral da Itália  ·  atualizado em 28/06/2026</v>
      </c>
    </row>
    <row r="3" ht="4.5" customHeight="1"/>
    <row r="4" ht="16.5" customHeight="1">
      <c r="B4" s="63" t="s">
        <v>172</v>
      </c>
      <c r="D4" s="63" t="s">
        <v>173</v>
      </c>
      <c r="F4" s="64" t="s">
        <v>174</v>
      </c>
      <c r="I4" s="65" t="s">
        <v>175</v>
      </c>
      <c r="K4" s="66" t="s">
        <v>176</v>
      </c>
    </row>
    <row r="5" ht="30.0" customHeight="1">
      <c r="B5" s="67">
        <f>IFERROR(COUNTIF(Detalhamento!$H$9:$H1000,"Concluído")/COUNTA(Detalhamento!$H$9:$H1000),0)</f>
        <v>0.006651884701</v>
      </c>
      <c r="D5" s="68" t="str">
        <f>COUNTIF(Detalhamento!$H$9:$H1000,"Concluído")&amp;" / "&amp;COUNTA(Detalhamento!$H$9:$H1000)</f>
        <v>6 / 902</v>
      </c>
      <c r="F5" s="69">
        <f>COUNTIF(Gestao!$F$4:$F1000,"Atrasado")</f>
        <v>58</v>
      </c>
      <c r="I5" s="70">
        <f>COUNTIFS(Gestao!$E$4:$E1000,"&gt;="&amp;TODAY(),Gestao!$E$4:$E1000,"&lt;="&amp;TODAY()+30)</f>
        <v>7</v>
      </c>
      <c r="K5" s="71" t="str">
        <f>IFERROR(TEXT(Orcamentos!$Q$6,"R$ #.##0")&amp;" / "&amp;TEXT(Orcamentos!$O$6,"R$ #.##0"),"—")</f>
        <v>R$ ,0 / R$ ,0</v>
      </c>
    </row>
    <row r="6" ht="6.0" customHeight="1"/>
    <row r="8" ht="19.5" customHeight="1">
      <c r="B8" s="72" t="s">
        <v>177</v>
      </c>
      <c r="H8" s="72" t="s">
        <v>178</v>
      </c>
    </row>
    <row r="9">
      <c r="B9" s="73" t="s">
        <v>13</v>
      </c>
      <c r="C9" s="73" t="s">
        <v>89</v>
      </c>
      <c r="D9" s="73" t="s">
        <v>179</v>
      </c>
      <c r="E9" s="73" t="s">
        <v>180</v>
      </c>
      <c r="F9" s="74"/>
      <c r="H9" s="73" t="s">
        <v>181</v>
      </c>
      <c r="I9" s="73" t="s">
        <v>182</v>
      </c>
      <c r="J9" s="73" t="s">
        <v>183</v>
      </c>
      <c r="K9" s="73" t="s">
        <v>179</v>
      </c>
      <c r="L9" s="73" t="s">
        <v>180</v>
      </c>
    </row>
    <row r="10">
      <c r="B10" s="75" t="s">
        <v>184</v>
      </c>
      <c r="C10" s="44">
        <f>COUNTIF(Detalhamento!$H$9:$H1000,"Concluído")</f>
        <v>6</v>
      </c>
      <c r="D10" s="76">
        <f>IFERROR(C10/COUNTA(Detalhamento!$H$9:$H1000),0)</f>
        <v>0.006651884701</v>
      </c>
      <c r="E10" s="77" t="str">
        <f t="shared" ref="E10:E12" si="1">IFERROR(REPT("▮",ROUND(D10*20,0)),"")</f>
        <v/>
      </c>
      <c r="H10" s="58" t="s">
        <v>41</v>
      </c>
      <c r="I10" s="44">
        <f>COUNTIF(Detalhamento!$G$9:$G1000,"Civil")</f>
        <v>281</v>
      </c>
      <c r="J10" s="44">
        <f>COUNTIFS(Detalhamento!$G$9:$G1000,"Civil",Detalhamento!$H$9:$H1000,"Concluído")</f>
        <v>0</v>
      </c>
      <c r="K10" s="78">
        <f t="shared" ref="K10:K24" si="2">IFERROR(J10/I10,0)</f>
        <v>0</v>
      </c>
      <c r="L10" s="77" t="str">
        <f t="shared" ref="L10:L24" si="3">IFERROR(REPT("▮",ROUND(K10*12,0)),"")</f>
        <v/>
      </c>
    </row>
    <row r="11">
      <c r="B11" s="79" t="s">
        <v>185</v>
      </c>
      <c r="C11" s="44">
        <f>COUNTIF(Detalhamento!$H$9:$H1000,"Em andamento")</f>
        <v>2</v>
      </c>
      <c r="D11" s="76">
        <f>IFERROR(C11/COUNTA(Detalhamento!$H$9:$H1000),0)</f>
        <v>0.0022172949</v>
      </c>
      <c r="E11" s="80" t="str">
        <f t="shared" si="1"/>
        <v/>
      </c>
      <c r="H11" s="58" t="s">
        <v>186</v>
      </c>
      <c r="I11" s="44">
        <f>COUNTIF(Detalhamento!$G$9:$G1000,"Estrutura")</f>
        <v>0</v>
      </c>
      <c r="J11" s="44">
        <f>COUNTIFS(Detalhamento!$G$9:$G1000,"Estrutura",Detalhamento!$H$9:$H1000,"Concluído")</f>
        <v>0</v>
      </c>
      <c r="K11" s="78">
        <f t="shared" si="2"/>
        <v>0</v>
      </c>
      <c r="L11" s="77" t="str">
        <f t="shared" si="3"/>
        <v/>
      </c>
    </row>
    <row r="12">
      <c r="B12" s="81" t="s">
        <v>187</v>
      </c>
      <c r="C12" s="44">
        <f>COUNTIF(Detalhamento!$H$9:$H1000,"A iniciar")</f>
        <v>894</v>
      </c>
      <c r="D12" s="76">
        <f>IFERROR(C12/COUNTA(Detalhamento!$H$9:$H1000),0)</f>
        <v>0.9911308204</v>
      </c>
      <c r="E12" s="82" t="str">
        <f t="shared" si="1"/>
        <v>▮▮▮▮▮▮▮▮▮▮▮▮▮▮▮▮▮▮▮▮</v>
      </c>
      <c r="H12" s="58" t="s">
        <v>60</v>
      </c>
      <c r="I12" s="44">
        <f>COUNTIF(Detalhamento!$G$9:$G1000,"Instalacoes")</f>
        <v>12</v>
      </c>
      <c r="J12" s="44">
        <f>COUNTIFS(Detalhamento!$G$9:$G1000,"Instalacoes",Detalhamento!$H$9:$H1000,"Concluído")</f>
        <v>0</v>
      </c>
      <c r="K12" s="78">
        <f t="shared" si="2"/>
        <v>0</v>
      </c>
      <c r="L12" s="77" t="str">
        <f t="shared" si="3"/>
        <v/>
      </c>
    </row>
    <row r="13">
      <c r="H13" s="58" t="s">
        <v>188</v>
      </c>
      <c r="I13" s="44">
        <f>COUNTIF(Detalhamento!$G$9:$G1000,"Hidraulica")</f>
        <v>30</v>
      </c>
      <c r="J13" s="44">
        <f>COUNTIFS(Detalhamento!$G$9:$G1000,"Hidraulica",Detalhamento!$H$9:$H1000,"Concluído")</f>
        <v>0</v>
      </c>
      <c r="K13" s="78">
        <f t="shared" si="2"/>
        <v>0</v>
      </c>
      <c r="L13" s="77" t="str">
        <f t="shared" si="3"/>
        <v/>
      </c>
    </row>
    <row r="14" ht="19.5" customHeight="1">
      <c r="B14" s="72" t="s">
        <v>189</v>
      </c>
      <c r="H14" s="58" t="s">
        <v>190</v>
      </c>
      <c r="I14" s="44">
        <f>COUNTIF(Detalhamento!$G$9:$G1000,"Eletrica")</f>
        <v>86</v>
      </c>
      <c r="J14" s="44">
        <f>COUNTIFS(Detalhamento!$G$9:$G1000,"Eletrica",Detalhamento!$H$9:$H1000,"Concluído")</f>
        <v>0</v>
      </c>
      <c r="K14" s="78">
        <f t="shared" si="2"/>
        <v>0</v>
      </c>
      <c r="L14" s="77" t="str">
        <f t="shared" si="3"/>
        <v/>
      </c>
    </row>
    <row r="15">
      <c r="B15" s="73" t="s">
        <v>191</v>
      </c>
      <c r="C15" s="73" t="s">
        <v>192</v>
      </c>
      <c r="D15" s="73" t="s">
        <v>193</v>
      </c>
      <c r="E15" s="73" t="s">
        <v>194</v>
      </c>
      <c r="F15" s="73" t="s">
        <v>187</v>
      </c>
      <c r="H15" s="58" t="s">
        <v>71</v>
      </c>
      <c r="I15" s="44">
        <f>COUNTIF(Detalhamento!$G$9:$G1000,"Climatizacao")</f>
        <v>23</v>
      </c>
      <c r="J15" s="44">
        <f>COUNTIFS(Detalhamento!$G$9:$G1000,"Climatizacao",Detalhamento!$H$9:$H1000,"Concluído")</f>
        <v>0</v>
      </c>
      <c r="K15" s="78">
        <f t="shared" si="2"/>
        <v>0</v>
      </c>
      <c r="L15" s="77" t="str">
        <f t="shared" si="3"/>
        <v/>
      </c>
    </row>
    <row r="16">
      <c r="B16" s="58" t="s">
        <v>195</v>
      </c>
      <c r="C16" s="44">
        <f>COUNTIF(Gestao!$C$4:$C1000,"Andar 8")</f>
        <v>49</v>
      </c>
      <c r="D16" s="83">
        <f>COUNTIFS(Gestao!$C$4:$C1000,"Andar 8",Gestao!$F$4:$F1000,"Atrasado")</f>
        <v>19</v>
      </c>
      <c r="E16" s="80">
        <f>COUNTIFS(Gestao!$C$4:$C1000,"Andar 8",Gestao!$F$4:$F1000,"Em andamento")</f>
        <v>8</v>
      </c>
      <c r="F16" s="84">
        <f>COUNTIFS(Gestao!$C$4:$C1000,"Andar 8",Gestao!$F$4:$F1000,"A iniciar")</f>
        <v>21</v>
      </c>
      <c r="H16" s="58" t="s">
        <v>48</v>
      </c>
      <c r="I16" s="44">
        <f>COUNTIF(Detalhamento!$G$9:$G1000,"Revestimento")</f>
        <v>85</v>
      </c>
      <c r="J16" s="44">
        <f>COUNTIFS(Detalhamento!$G$9:$G1000,"Revestimento",Detalhamento!$H$9:$H1000,"Concluído")</f>
        <v>0</v>
      </c>
      <c r="K16" s="78">
        <f t="shared" si="2"/>
        <v>0</v>
      </c>
      <c r="L16" s="77" t="str">
        <f t="shared" si="3"/>
        <v/>
      </c>
    </row>
    <row r="17">
      <c r="B17" s="58" t="s">
        <v>196</v>
      </c>
      <c r="C17" s="44">
        <f>COUNTIF(Gestao!$C$4:$C1000,"Andar 9")</f>
        <v>37</v>
      </c>
      <c r="D17" s="83">
        <f>COUNTIFS(Gestao!$C$4:$C1000,"Andar 9",Gestao!$F$4:$F1000,"Atrasado")</f>
        <v>15</v>
      </c>
      <c r="E17" s="80">
        <f>COUNTIFS(Gestao!$C$4:$C1000,"Andar 9",Gestao!$F$4:$F1000,"Em andamento")</f>
        <v>6</v>
      </c>
      <c r="F17" s="84">
        <f>COUNTIFS(Gestao!$C$4:$C1000,"Andar 9",Gestao!$F$4:$F1000,"A iniciar")</f>
        <v>16</v>
      </c>
      <c r="H17" s="58" t="s">
        <v>68</v>
      </c>
      <c r="I17" s="44">
        <f>COUNTIF(Detalhamento!$G$9:$G1000,"Forro")</f>
        <v>38</v>
      </c>
      <c r="J17" s="44">
        <f>COUNTIFS(Detalhamento!$G$9:$G1000,"Forro",Detalhamento!$H$9:$H1000,"Concluído")</f>
        <v>0</v>
      </c>
      <c r="K17" s="78">
        <f t="shared" si="2"/>
        <v>0</v>
      </c>
      <c r="L17" s="77" t="str">
        <f t="shared" si="3"/>
        <v/>
      </c>
    </row>
    <row r="18">
      <c r="B18" s="58" t="s">
        <v>197</v>
      </c>
      <c r="C18" s="44">
        <f>COUNTIF(Gestao!$C$4:$C1000,"Roof Top")</f>
        <v>12</v>
      </c>
      <c r="D18" s="83">
        <f>COUNTIFS(Gestao!$C$4:$C1000,"Roof Top",Gestao!$F$4:$F1000,"Atrasado")</f>
        <v>6</v>
      </c>
      <c r="E18" s="80">
        <f>COUNTIFS(Gestao!$C$4:$C1000,"Roof Top",Gestao!$F$4:$F1000,"Em andamento")</f>
        <v>0</v>
      </c>
      <c r="F18" s="84">
        <f>COUNTIFS(Gestao!$C$4:$C1000,"Roof Top",Gestao!$F$4:$F1000,"A iniciar")</f>
        <v>6</v>
      </c>
      <c r="H18" s="58" t="s">
        <v>51</v>
      </c>
      <c r="I18" s="44">
        <f>COUNTIF(Detalhamento!$G$9:$G1000,"Pintura")</f>
        <v>65</v>
      </c>
      <c r="J18" s="44">
        <f>COUNTIFS(Detalhamento!$G$9:$G1000,"Pintura",Detalhamento!$H$9:$H1000,"Concluído")</f>
        <v>0</v>
      </c>
      <c r="K18" s="78">
        <f t="shared" si="2"/>
        <v>0</v>
      </c>
      <c r="L18" s="77" t="str">
        <f t="shared" si="3"/>
        <v/>
      </c>
    </row>
    <row r="19">
      <c r="B19" s="58" t="s">
        <v>77</v>
      </c>
      <c r="C19" s="44">
        <f>COUNTIF(Gestao!$C$4:$C1000,"Elevadores")</f>
        <v>41</v>
      </c>
      <c r="D19" s="83">
        <f>COUNTIFS(Gestao!$C$4:$C1000,"Elevadores",Gestao!$F$4:$F1000,"Atrasado")</f>
        <v>11</v>
      </c>
      <c r="E19" s="80">
        <f>COUNTIFS(Gestao!$C$4:$C1000,"Elevadores",Gestao!$F$4:$F1000,"Em andamento")</f>
        <v>16</v>
      </c>
      <c r="F19" s="84">
        <f>COUNTIFS(Gestao!$C$4:$C1000,"Elevadores",Gestao!$F$4:$F1000,"A iniciar")</f>
        <v>11</v>
      </c>
      <c r="H19" s="58" t="s">
        <v>63</v>
      </c>
      <c r="I19" s="44">
        <f>COUNTIF(Detalhamento!$G$9:$G1000,"Esquadrias")</f>
        <v>28</v>
      </c>
      <c r="J19" s="44">
        <f>COUNTIFS(Detalhamento!$G$9:$G1000,"Esquadrias",Detalhamento!$H$9:$H1000,"Concluído")</f>
        <v>0</v>
      </c>
      <c r="K19" s="78">
        <f t="shared" si="2"/>
        <v>0</v>
      </c>
      <c r="L19" s="77" t="str">
        <f t="shared" si="3"/>
        <v/>
      </c>
    </row>
    <row r="20">
      <c r="B20" s="58" t="s">
        <v>40</v>
      </c>
      <c r="C20" s="44">
        <f>COUNTIF(Gestao!$C$4:$C1000,"Preliminares")</f>
        <v>5</v>
      </c>
      <c r="D20" s="83">
        <f>COUNTIFS(Gestao!$C$4:$C1000,"Preliminares",Gestao!$F$4:$F1000,"Atrasado")</f>
        <v>4</v>
      </c>
      <c r="E20" s="80">
        <f>COUNTIFS(Gestao!$C$4:$C1000,"Preliminares",Gestao!$F$4:$F1000,"Em andamento")</f>
        <v>1</v>
      </c>
      <c r="F20" s="84">
        <f>COUNTIFS(Gestao!$C$4:$C1000,"Preliminares",Gestao!$F$4:$F1000,"A iniciar")</f>
        <v>0</v>
      </c>
      <c r="H20" s="58" t="s">
        <v>65</v>
      </c>
      <c r="I20" s="44">
        <f>COUNTIF(Detalhamento!$G$9:$G1000,"Serralheria")</f>
        <v>48</v>
      </c>
      <c r="J20" s="44">
        <f>COUNTIFS(Detalhamento!$G$9:$G1000,"Serralheria",Detalhamento!$H$9:$H1000,"Concluído")</f>
        <v>5</v>
      </c>
      <c r="K20" s="78">
        <f t="shared" si="2"/>
        <v>0.1041666667</v>
      </c>
      <c r="L20" s="77" t="str">
        <f t="shared" si="3"/>
        <v>▮</v>
      </c>
    </row>
    <row r="21">
      <c r="B21" s="58" t="s">
        <v>198</v>
      </c>
      <c r="C21" s="44">
        <f>COUNTIF(Gestao!$C$4:$C1000,"M1 - Novo Arquivo")</f>
        <v>12</v>
      </c>
      <c r="D21" s="83">
        <f>COUNTIFS(Gestao!$C$4:$C1000,"M1 - Novo Arquivo",Gestao!$F$4:$F1000,"Atrasado")</f>
        <v>0</v>
      </c>
      <c r="E21" s="80">
        <f>COUNTIFS(Gestao!$C$4:$C1000,"M1 - Novo Arquivo",Gestao!$F$4:$F1000,"Em andamento")</f>
        <v>0</v>
      </c>
      <c r="F21" s="84">
        <f>COUNTIFS(Gestao!$C$4:$C1000,"M1 - Novo Arquivo",Gestao!$F$4:$F1000,"A iniciar")</f>
        <v>12</v>
      </c>
      <c r="H21" s="58" t="s">
        <v>74</v>
      </c>
      <c r="I21" s="44">
        <f>COUNTIF(Detalhamento!$G$9:$G1000,"Impermeabilizacao")</f>
        <v>16</v>
      </c>
      <c r="J21" s="44">
        <f>COUNTIFS(Detalhamento!$G$9:$G1000,"Impermeabilizacao",Detalhamento!$H$9:$H1000,"Concluído")</f>
        <v>0</v>
      </c>
      <c r="K21" s="78">
        <f t="shared" si="2"/>
        <v>0</v>
      </c>
      <c r="L21" s="77" t="str">
        <f t="shared" si="3"/>
        <v/>
      </c>
    </row>
    <row r="22">
      <c r="B22" s="58" t="s">
        <v>199</v>
      </c>
      <c r="C22" s="44">
        <f>COUNTIF(Gestao!$C$4:$C1000,"Halls - M1/Terreo/M2")</f>
        <v>10</v>
      </c>
      <c r="D22" s="83">
        <f>COUNTIFS(Gestao!$C$4:$C1000,"Halls - M1/Terreo/M2",Gestao!$F$4:$F1000,"Atrasado")</f>
        <v>3</v>
      </c>
      <c r="E22" s="80">
        <f>COUNTIFS(Gestao!$C$4:$C1000,"Halls - M1/Terreo/M2",Gestao!$F$4:$F1000,"Em andamento")</f>
        <v>1</v>
      </c>
      <c r="F22" s="84">
        <f>COUNTIFS(Gestao!$C$4:$C1000,"Halls - M1/Terreo/M2",Gestao!$F$4:$F1000,"A iniciar")</f>
        <v>6</v>
      </c>
      <c r="H22" s="58" t="s">
        <v>77</v>
      </c>
      <c r="I22" s="44">
        <f>COUNTIF(Detalhamento!$G$9:$G1000,"Elevadores")</f>
        <v>31</v>
      </c>
      <c r="J22" s="44">
        <f>COUNTIFS(Detalhamento!$G$9:$G1000,"Elevadores",Detalhamento!$H$9:$H1000,"Concluído")</f>
        <v>0</v>
      </c>
      <c r="K22" s="78">
        <f t="shared" si="2"/>
        <v>0</v>
      </c>
      <c r="L22" s="77" t="str">
        <f t="shared" si="3"/>
        <v/>
      </c>
    </row>
    <row r="23">
      <c r="B23" s="58" t="s">
        <v>200</v>
      </c>
      <c r="C23" s="44">
        <f>COUNTIF(Gestao!$C$4:$C1000,"Halls - Subsolos")</f>
        <v>2</v>
      </c>
      <c r="D23" s="83">
        <f>COUNTIFS(Gestao!$C$4:$C1000,"Halls - Subsolos",Gestao!$F$4:$F1000,"Atrasado")</f>
        <v>0</v>
      </c>
      <c r="E23" s="80">
        <f>COUNTIFS(Gestao!$C$4:$C1000,"Halls - Subsolos",Gestao!$F$4:$F1000,"Em andamento")</f>
        <v>0</v>
      </c>
      <c r="F23" s="84">
        <f>COUNTIFS(Gestao!$C$4:$C1000,"Halls - Subsolos",Gestao!$F$4:$F1000,"A iniciar")</f>
        <v>2</v>
      </c>
      <c r="H23" s="58" t="s">
        <v>40</v>
      </c>
      <c r="I23" s="44">
        <f>COUNTIF(Detalhamento!$G$9:$G1000,"Preliminares")</f>
        <v>3</v>
      </c>
      <c r="J23" s="44">
        <f>COUNTIFS(Detalhamento!$G$9:$G1000,"Preliminares",Detalhamento!$H$9:$H1000,"Concluído")</f>
        <v>1</v>
      </c>
      <c r="K23" s="78">
        <f t="shared" si="2"/>
        <v>0.3333333333</v>
      </c>
      <c r="L23" s="77" t="str">
        <f t="shared" si="3"/>
        <v>▮▮▮▮</v>
      </c>
    </row>
    <row r="24">
      <c r="H24" s="58" t="s">
        <v>80</v>
      </c>
      <c r="I24" s="44">
        <f>COUNTIF(Detalhamento!$G$9:$G1000,"Limpeza")</f>
        <v>6</v>
      </c>
      <c r="J24" s="44">
        <f>COUNTIFS(Detalhamento!$G$9:$G1000,"Limpeza",Detalhamento!$H$9:$H1000,"Concluído")</f>
        <v>0</v>
      </c>
      <c r="K24" s="78">
        <f t="shared" si="2"/>
        <v>0</v>
      </c>
      <c r="L24" s="77" t="str">
        <f t="shared" si="3"/>
        <v/>
      </c>
    </row>
    <row r="25" ht="19.5" customHeight="1">
      <c r="B25" s="85" t="s">
        <v>201</v>
      </c>
    </row>
    <row r="26">
      <c r="B26" s="73" t="s">
        <v>36</v>
      </c>
      <c r="C26" s="73" t="s">
        <v>10</v>
      </c>
      <c r="D26" s="73" t="s">
        <v>191</v>
      </c>
      <c r="E26" s="73" t="s">
        <v>12</v>
      </c>
      <c r="F26" s="74"/>
    </row>
    <row r="27" ht="19.5" customHeight="1">
      <c r="B27" s="44" t="str">
        <f>IFERROR(__xludf.DUMMYFUNCTION("IFERROR(QUERY(Gestao!A4:F1000,""select A,B,C,E where F = 'Atrasado' order by E limit 52"",0),""Nenhum atrasado"")"),"1.2")</f>
        <v>1.2</v>
      </c>
      <c r="C27" s="44" t="str">
        <f>IFERROR(__xludf.DUMMYFUNCTION("""COMPUTED_VALUE"""),"Emissão de ART Obra(Anotação de responsabilidade técnica)")</f>
        <v>Emissão de ART Obra(Anotação de responsabilidade técnica)</v>
      </c>
      <c r="D27" s="44" t="str">
        <f>IFERROR(__xludf.DUMMYFUNCTION("""COMPUTED_VALUE"""),"Preliminares")</f>
        <v>Preliminares</v>
      </c>
      <c r="E27" s="45">
        <f>IFERROR(__xludf.DUMMYFUNCTION("""COMPUTED_VALUE"""),46050.0)</f>
        <v>46050</v>
      </c>
      <c r="H27" s="72" t="s">
        <v>202</v>
      </c>
    </row>
    <row r="28">
      <c r="B28" s="44" t="str">
        <f>IFERROR(__xludf.DUMMYFUNCTION("""COMPUTED_VALUE"""),"1.3")</f>
        <v>1.3</v>
      </c>
      <c r="C28" s="44" t="str">
        <f>IFERROR(__xludf.DUMMYFUNCTION("""COMPUTED_VALUE"""),"Mobilização de canteiro e equipes e deslocamento")</f>
        <v>Mobilização de canteiro e equipes e deslocamento</v>
      </c>
      <c r="D28" s="44" t="str">
        <f>IFERROR(__xludf.DUMMYFUNCTION("""COMPUTED_VALUE"""),"Preliminares")</f>
        <v>Preliminares</v>
      </c>
      <c r="E28" s="45">
        <f>IFERROR(__xludf.DUMMYFUNCTION("""COMPUTED_VALUE"""),46065.0)</f>
        <v>46065</v>
      </c>
      <c r="H28" s="58" t="s">
        <v>203</v>
      </c>
      <c r="K28" s="86">
        <f>Orcamentos!$O$6</f>
        <v>0</v>
      </c>
    </row>
    <row r="29">
      <c r="B29" s="44" t="str">
        <f>IFERROR(__xludf.DUMMYFUNCTION("""COMPUTED_VALUE"""),"6.1")</f>
        <v>6.1</v>
      </c>
      <c r="C29" s="44" t="str">
        <f>IFERROR(__xludf.DUMMYFUNCTION("""COMPUTED_VALUE"""),"Demolicão manual de alvenaria de tijolos furados, contrapiso de 5 cm no deposito 5, inclusive empilhamento dentro do canteiro de servico.")</f>
        <v>Demolicão manual de alvenaria de tijolos furados, contrapiso de 5 cm no deposito 5, inclusive empilhamento dentro do canteiro de servico.</v>
      </c>
      <c r="D29" s="44" t="str">
        <f>IFERROR(__xludf.DUMMYFUNCTION("""COMPUTED_VALUE"""),"Andar 9")</f>
        <v>Andar 9</v>
      </c>
      <c r="E29" s="45">
        <f>IFERROR(__xludf.DUMMYFUNCTION("""COMPUTED_VALUE"""),46072.0)</f>
        <v>46072</v>
      </c>
      <c r="H29" s="58" t="s">
        <v>204</v>
      </c>
      <c r="K29" s="86">
        <f>Orcamentos!$P$6</f>
        <v>0</v>
      </c>
    </row>
    <row r="30">
      <c r="B30" s="44" t="str">
        <f>IFERROR(__xludf.DUMMYFUNCTION("""COMPUTED_VALUE"""),"6.6")</f>
        <v>6.6</v>
      </c>
      <c r="C30" s="44" t="str">
        <f>IFERROR(__xludf.DUMMYFUNCTION("""COMPUTED_VALUE"""),"Retiro porta existente.")</f>
        <v>Retiro porta existente.</v>
      </c>
      <c r="D30" s="44" t="str">
        <f>IFERROR(__xludf.DUMMYFUNCTION("""COMPUTED_VALUE"""),"Andar 9")</f>
        <v>Andar 9</v>
      </c>
      <c r="E30" s="45">
        <f>IFERROR(__xludf.DUMMYFUNCTION("""COMPUTED_VALUE"""),46072.0)</f>
        <v>46072</v>
      </c>
      <c r="H30" s="58" t="s">
        <v>205</v>
      </c>
      <c r="K30" s="86">
        <f>Orcamentos!$Q$6</f>
        <v>0</v>
      </c>
    </row>
    <row r="31">
      <c r="B31" s="44" t="str">
        <f>IFERROR(__xludf.DUMMYFUNCTION("""COMPUTED_VALUE"""),"1.1")</f>
        <v>1.1</v>
      </c>
      <c r="C31" s="44" t="str">
        <f>IFERROR(__xludf.DUMMYFUNCTION("""COMPUTED_VALUE"""),"Gerenciamento técnico de obra - 2 Engenheiros (40h/mês) , assistente tecnico (40h/mês) , mestre de obra (160h/mês)")</f>
        <v>Gerenciamento técnico de obra - 2 Engenheiros (40h/mês) , assistente tecnico (40h/mês) , mestre de obra (160h/mês)</v>
      </c>
      <c r="D31" s="44" t="str">
        <f>IFERROR(__xludf.DUMMYFUNCTION("""COMPUTED_VALUE"""),"Preliminares")</f>
        <v>Preliminares</v>
      </c>
      <c r="E31" s="45">
        <f>IFERROR(__xludf.DUMMYFUNCTION("""COMPUTED_VALUE"""),46073.0)</f>
        <v>46073</v>
      </c>
      <c r="H31" s="58" t="s">
        <v>206</v>
      </c>
      <c r="K31" s="86">
        <f>Orcamentos!$R$6</f>
        <v>0</v>
      </c>
    </row>
    <row r="32">
      <c r="B32" s="44" t="str">
        <f>IFERROR(__xludf.DUMMYFUNCTION("""COMPUTED_VALUE"""),"1.4")</f>
        <v>1.4</v>
      </c>
      <c r="C32" s="44" t="str">
        <f>IFERROR(__xludf.DUMMYFUNCTION("""COMPUTED_VALUE"""),"Tapume de vedacao ou protecao, executado com chapas de compensado, tipo chapa resinada ou similar, com 6mm de espessura, exclusive pintura. Proteção chegada elvadores;.")</f>
        <v>Tapume de vedacao ou protecao, executado com chapas de compensado, tipo chapa resinada ou similar, com 6mm de espessura, exclusive pintura. Proteção chegada elvadores;.</v>
      </c>
      <c r="D32" s="44" t="str">
        <f>IFERROR(__xludf.DUMMYFUNCTION("""COMPUTED_VALUE"""),"Preliminares")</f>
        <v>Preliminares</v>
      </c>
      <c r="E32" s="45">
        <f>IFERROR(__xludf.DUMMYFUNCTION("""COMPUTED_VALUE"""),46080.0)</f>
        <v>46080</v>
      </c>
      <c r="H32" s="58" t="s">
        <v>207</v>
      </c>
      <c r="K32" s="87" t="str">
        <f>Pagamentos!$C$2</f>
        <v/>
      </c>
    </row>
    <row r="33">
      <c r="B33" s="44" t="str">
        <f>IFERROR(__xludf.DUMMYFUNCTION("""COMPUTED_VALUE"""),"5.7")</f>
        <v>5.7</v>
      </c>
      <c r="C33" s="44" t="str">
        <f>IFERROR(__xludf.DUMMYFUNCTION("""COMPUTED_VALUE"""),"Retiro porta existente.")</f>
        <v>Retiro porta existente.</v>
      </c>
      <c r="D33" s="44" t="str">
        <f>IFERROR(__xludf.DUMMYFUNCTION("""COMPUTED_VALUE"""),"Andar 8")</f>
        <v>Andar 8</v>
      </c>
      <c r="E33" s="45">
        <f>IFERROR(__xludf.DUMMYFUNCTION("""COMPUTED_VALUE"""),46080.0)</f>
        <v>46080</v>
      </c>
      <c r="H33" s="58" t="s">
        <v>208</v>
      </c>
      <c r="K33" s="87" t="str">
        <f>Pagamentos!$G$2</f>
        <v/>
      </c>
    </row>
    <row r="34">
      <c r="B34" s="44" t="str">
        <f>IFERROR(__xludf.DUMMYFUNCTION("""COMPUTED_VALUE"""),"5.11")</f>
        <v>5.11</v>
      </c>
      <c r="C34" s="44" t="str">
        <f>IFERROR(__xludf.DUMMYFUNCTION("""COMPUTED_VALUE"""),"Realização da nova janela considerando as aberturas já existentes e os fechamentos com tijolos onde necessarios.")</f>
        <v>Realização da nova janela considerando as aberturas já existentes e os fechamentos com tijolos onde necessarios.</v>
      </c>
      <c r="D34" s="44" t="str">
        <f>IFERROR(__xludf.DUMMYFUNCTION("""COMPUTED_VALUE"""),"Andar 8")</f>
        <v>Andar 8</v>
      </c>
      <c r="E34" s="45">
        <f>IFERROR(__xludf.DUMMYFUNCTION("""COMPUTED_VALUE"""),46086.0)</f>
        <v>46086</v>
      </c>
      <c r="H34" s="58" t="s">
        <v>209</v>
      </c>
      <c r="K34" s="87" t="str">
        <f>Pagamentos!$I$2</f>
        <v/>
      </c>
    </row>
    <row r="35">
      <c r="B35" s="44" t="str">
        <f>IFERROR(__xludf.DUMMYFUNCTION("""COMPUTED_VALUE"""),"5.1")</f>
        <v>5.1</v>
      </c>
      <c r="C35" s="44" t="str">
        <f>IFERROR(__xludf.DUMMYFUNCTION("""COMPUTED_VALUE"""),"Demolicão manual de alvenaria de tijolos furados, contrapiso de 5 cm no deposito 5, inclusive empilhamento dentro do canteiro de servico.")</f>
        <v>Demolicão manual de alvenaria de tijolos furados, contrapiso de 5 cm no deposito 5, inclusive empilhamento dentro do canteiro de servico.</v>
      </c>
      <c r="D35" s="44" t="str">
        <f>IFERROR(__xludf.DUMMYFUNCTION("""COMPUTED_VALUE"""),"Andar 8")</f>
        <v>Andar 8</v>
      </c>
      <c r="E35" s="45">
        <f>IFERROR(__xludf.DUMMYFUNCTION("""COMPUTED_VALUE"""),46094.0)</f>
        <v>46094</v>
      </c>
    </row>
    <row r="36">
      <c r="B36" s="44" t="str">
        <f>IFERROR(__xludf.DUMMYFUNCTION("""COMPUTED_VALUE"""),"5.9")</f>
        <v>5.9</v>
      </c>
      <c r="C36" s="44" t="str">
        <f>IFERROR(__xludf.DUMMYFUNCTION("""COMPUTED_VALUE"""),"Demolição do suporte em concreto do velho sistema de ar-condicionado e nivelamento bruto do piso")</f>
        <v>Demolição do suporte em concreto do velho sistema de ar-condicionado e nivelamento bruto do piso</v>
      </c>
      <c r="D36" s="44" t="str">
        <f>IFERROR(__xludf.DUMMYFUNCTION("""COMPUTED_VALUE"""),"Andar 8")</f>
        <v>Andar 8</v>
      </c>
      <c r="E36" s="45">
        <f>IFERROR(__xludf.DUMMYFUNCTION("""COMPUTED_VALUE"""),46094.0)</f>
        <v>46094</v>
      </c>
    </row>
    <row r="37">
      <c r="B37" s="44" t="str">
        <f>IFERROR(__xludf.DUMMYFUNCTION("""COMPUTED_VALUE"""),"5.2")</f>
        <v>5.2</v>
      </c>
      <c r="C37" s="44" t="str">
        <f>IFERROR(__xludf.DUMMYFUNCTION("""COMPUTED_VALUE"""),"Demolição controlada e monitrada para rebaixamento da laje e abertura na laje e paredes em concreto armado")</f>
        <v>Demolição controlada e monitrada para rebaixamento da laje e abertura na laje e paredes em concreto armado</v>
      </c>
      <c r="D37" s="44" t="str">
        <f>IFERROR(__xludf.DUMMYFUNCTION("""COMPUTED_VALUE"""),"Andar 8")</f>
        <v>Andar 8</v>
      </c>
      <c r="E37" s="45">
        <f>IFERROR(__xludf.DUMMYFUNCTION("""COMPUTED_VALUE"""),46103.0)</f>
        <v>46103</v>
      </c>
    </row>
    <row r="38">
      <c r="B38" s="44" t="str">
        <f>IFERROR(__xludf.DUMMYFUNCTION("""COMPUTED_VALUE"""),"5.8")</f>
        <v>5.8</v>
      </c>
      <c r="C38" s="44" t="str">
        <f>IFERROR(__xludf.DUMMYFUNCTION("""COMPUTED_VALUE"""),"Demolição controlada e monitorada do cocreto para abertura das novas portas")</f>
        <v>Demolição controlada e monitorada do cocreto para abertura das novas portas</v>
      </c>
      <c r="D38" s="44" t="str">
        <f>IFERROR(__xludf.DUMMYFUNCTION("""COMPUTED_VALUE"""),"Andar 8")</f>
        <v>Andar 8</v>
      </c>
      <c r="E38" s="45">
        <f>IFERROR(__xludf.DUMMYFUNCTION("""COMPUTED_VALUE"""),46122.0)</f>
        <v>46122</v>
      </c>
    </row>
    <row r="39">
      <c r="B39" s="44" t="str">
        <f>IFERROR(__xludf.DUMMYFUNCTION("""COMPUTED_VALUE"""),"6.2")</f>
        <v>6.2</v>
      </c>
      <c r="C39" s="44" t="str">
        <f>IFERROR(__xludf.DUMMYFUNCTION("""COMPUTED_VALUE"""),"Demolição controlada e monitrada para rebaixamento da laje e abertura na laje e paredes em concreto armado")</f>
        <v>Demolição controlada e monitrada para rebaixamento da laje e abertura na laje e paredes em concreto armado</v>
      </c>
      <c r="D39" s="44" t="str">
        <f>IFERROR(__xludf.DUMMYFUNCTION("""COMPUTED_VALUE"""),"Andar 9")</f>
        <v>Andar 9</v>
      </c>
      <c r="E39" s="45">
        <f>IFERROR(__xludf.DUMMYFUNCTION("""COMPUTED_VALUE"""),46135.0)</f>
        <v>46135</v>
      </c>
    </row>
    <row r="40">
      <c r="B40" s="44" t="str">
        <f>IFERROR(__xludf.DUMMYFUNCTION("""COMPUTED_VALUE"""),"5.13")</f>
        <v>5.13</v>
      </c>
      <c r="C40" s="44" t="str">
        <f>IFERROR(__xludf.DUMMYFUNCTION("""COMPUTED_VALUE"""),"Construção da separação das duas novas portas e da parede de separação do novo corredor verso externo.")</f>
        <v>Construção da separação das duas novas portas e da parede de separação do novo corredor verso externo.</v>
      </c>
      <c r="D40" s="44" t="str">
        <f>IFERROR(__xludf.DUMMYFUNCTION("""COMPUTED_VALUE"""),"Andar 8")</f>
        <v>Andar 8</v>
      </c>
      <c r="E40" s="45">
        <f>IFERROR(__xludf.DUMMYFUNCTION("""COMPUTED_VALUE"""),46136.0)</f>
        <v>46136</v>
      </c>
    </row>
    <row r="41">
      <c r="B41" s="44" t="str">
        <f>IFERROR(__xludf.DUMMYFUNCTION("""COMPUTED_VALUE"""),"5.15")</f>
        <v>5.15</v>
      </c>
      <c r="C41" s="44" t="str">
        <f>IFERROR(__xludf.DUMMYFUNCTION("""COMPUTED_VALUE"""),"Fornecimento e execução de parede em alvenaria com bloco cimentício, considerando chapisco e reboco (desonerado)")</f>
        <v>Fornecimento e execução de parede em alvenaria com bloco cimentício, considerando chapisco e reboco (desonerado)</v>
      </c>
      <c r="D41" s="44" t="str">
        <f>IFERROR(__xludf.DUMMYFUNCTION("""COMPUTED_VALUE"""),"Andar 8")</f>
        <v>Andar 8</v>
      </c>
      <c r="E41" s="45">
        <f>IFERROR(__xludf.DUMMYFUNCTION("""COMPUTED_VALUE"""),46136.0)</f>
        <v>46136</v>
      </c>
    </row>
    <row r="42">
      <c r="B42" s="44" t="str">
        <f>IFERROR(__xludf.DUMMYFUNCTION("""COMPUTED_VALUE"""),"5.32")</f>
        <v>5.32</v>
      </c>
      <c r="C42" s="44" t="str">
        <f>IFERROR(__xludf.DUMMYFUNCTION("""COMPUTED_VALUE"""),"Fornecimento e instalação de QUADRO DE DITRIBUÇÃO completo, embutido ou sobreposto, em caixa metálica ou termoplástica, com porta, pintura eletrostática e grau de proteção mínimo IP40. Equipado com disjuntores termomagnéticos monopolares, bipolares ou tri"&amp;"polares conforme projeto, barramentos de fase, neutro e terra, trilho DIN, identificação dos circuitos e acessórios. Inclusos todos os materiais, componentes, mão de obra para montagem, fixação, aterramento, testes e conformidade com as normas técnicas vi"&amp;"gentes (NBR 5410 e NR-10).")</f>
        <v>Fornecimento e instalação de QUADRO DE DITRIBUÇÃO completo, embutido ou sobreposto, em caixa metálica ou termoplástica, com porta, pintura eletrostática e grau de proteção mínimo IP40. Equipado com disjuntores termomagnéticos monopolares, bipolares ou tripolares conforme projeto, barramentos de fase, neutro e terra, trilho DIN, identificação dos circuitos e acessórios. Inclusos todos os materiais, componentes, mão de obra para montagem, fixação, aterramento, testes e conformidade com as normas técnicas vigentes (NBR 5410 e NR-10).</v>
      </c>
      <c r="D42" s="44" t="str">
        <f>IFERROR(__xludf.DUMMYFUNCTION("""COMPUTED_VALUE"""),"Andar 8")</f>
        <v>Andar 8</v>
      </c>
      <c r="E42" s="45">
        <f>IFERROR(__xludf.DUMMYFUNCTION("""COMPUTED_VALUE"""),46142.0)</f>
        <v>46142</v>
      </c>
    </row>
    <row r="43">
      <c r="B43" s="44" t="str">
        <f>IFERROR(__xludf.DUMMYFUNCTION("""COMPUTED_VALUE"""),"5.33")</f>
        <v>5.33</v>
      </c>
      <c r="C43" s="44" t="str">
        <f>IFERROR(__xludf.DUMMYFUNCTION("""COMPUTED_VALUE"""),"Execução de ponto elétrico completo embutido, composto por 1 tomada 2P+T 20A, 220V e 1 ponto de luz (sem luminária), com fornecimento e instalação de eletrodutos rígidos PVC, caixas de embutir, cabos de cobre ( 25 tomadas + 25 ponto de luz) antichama (fas"&amp;"e, neutro e terra), conectores, suporte e espelho. Inclui instalação da infraestrutura embutida em alvenaria, passagem dos condutores, fixação dos mecanismos, identificação dos circuitos e testes de funcionamento, conforme NBR 5410 e NR-10.")</f>
        <v>Execução de ponto elétrico completo embutido, composto por 1 tomada 2P+T 20A, 220V e 1 ponto de luz (sem luminária), com fornecimento e instalação de eletrodutos rígidos PVC, caixas de embutir, cabos de cobre ( 25 tomadas + 25 ponto de luz) antichama (fase, neutro e terra), conectores, suporte e espelho. Inclui instalação da infraestrutura embutida em alvenaria, passagem dos condutores, fixação dos mecanismos, identificação dos circuitos e testes de funcionamento, conforme NBR 5410 e NR-10.</v>
      </c>
      <c r="D43" s="44" t="str">
        <f>IFERROR(__xludf.DUMMYFUNCTION("""COMPUTED_VALUE"""),"Andar 8")</f>
        <v>Andar 8</v>
      </c>
      <c r="E43" s="45">
        <f>IFERROR(__xludf.DUMMYFUNCTION("""COMPUTED_VALUE"""),46142.0)</f>
        <v>46142</v>
      </c>
    </row>
    <row r="44">
      <c r="B44" s="44" t="str">
        <f>IFERROR(__xludf.DUMMYFUNCTION("""COMPUTED_VALUE"""),"5.34")</f>
        <v>5.34</v>
      </c>
      <c r="C44" s="44" t="str">
        <f>IFERROR(__xludf.DUMMYFUNCTION("""COMPUTED_VALUE"""),"Ponto de água fria em PVC Marrom")</f>
        <v>Ponto de água fria em PVC Marrom</v>
      </c>
      <c r="D44" s="44" t="str">
        <f>IFERROR(__xludf.DUMMYFUNCTION("""COMPUTED_VALUE"""),"Andar 8")</f>
        <v>Andar 8</v>
      </c>
      <c r="E44" s="45">
        <f>IFERROR(__xludf.DUMMYFUNCTION("""COMPUTED_VALUE"""),46142.0)</f>
        <v>46142</v>
      </c>
    </row>
    <row r="45">
      <c r="B45" s="44" t="str">
        <f>IFERROR(__xludf.DUMMYFUNCTION("""COMPUTED_VALUE"""),"5.35")</f>
        <v>5.35</v>
      </c>
      <c r="C45" s="44" t="str">
        <f>IFERROR(__xludf.DUMMYFUNCTION("""COMPUTED_VALUE"""),"Ponto de esgoto em PVC branco 50mm ou 100mm")</f>
        <v>Ponto de esgoto em PVC branco 50mm ou 100mm</v>
      </c>
      <c r="D45" s="44" t="str">
        <f>IFERROR(__xludf.DUMMYFUNCTION("""COMPUTED_VALUE"""),"Andar 8")</f>
        <v>Andar 8</v>
      </c>
      <c r="E45" s="45">
        <f>IFERROR(__xludf.DUMMYFUNCTION("""COMPUTED_VALUE"""),46142.0)</f>
        <v>46142</v>
      </c>
    </row>
    <row r="46">
      <c r="B46" s="44" t="str">
        <f>IFERROR(__xludf.DUMMYFUNCTION("""COMPUTED_VALUE"""),"5.18")</f>
        <v>5.18</v>
      </c>
      <c r="C46" s="44" t="str">
        <f>IFERROR(__xludf.DUMMYFUNCTION("""COMPUTED_VALUE"""),"Novo reboco nas paredes e no teto.")</f>
        <v>Novo reboco nas paredes e no teto.</v>
      </c>
      <c r="D46" s="44" t="str">
        <f>IFERROR(__xludf.DUMMYFUNCTION("""COMPUTED_VALUE"""),"Andar 8")</f>
        <v>Andar 8</v>
      </c>
      <c r="E46" s="45">
        <f>IFERROR(__xludf.DUMMYFUNCTION("""COMPUTED_VALUE"""),46147.0)</f>
        <v>46147</v>
      </c>
    </row>
    <row r="47">
      <c r="B47" s="44" t="str">
        <f>IFERROR(__xludf.DUMMYFUNCTION("""COMPUTED_VALUE"""),"6.7")</f>
        <v>6.7</v>
      </c>
      <c r="C47" s="44" t="str">
        <f>IFERROR(__xludf.DUMMYFUNCTION("""COMPUTED_VALUE"""),"Fornecimento e execução de parede em alvenaria com bloco cimentício, considerando chapisco e reboco (desonerado)")</f>
        <v>Fornecimento e execução de parede em alvenaria com bloco cimentício, considerando chapisco e reboco (desonerado)</v>
      </c>
      <c r="D47" s="44" t="str">
        <f>IFERROR(__xludf.DUMMYFUNCTION("""COMPUTED_VALUE"""),"Andar 9")</f>
        <v>Andar 9</v>
      </c>
      <c r="E47" s="45">
        <f>IFERROR(__xludf.DUMMYFUNCTION("""COMPUTED_VALUE"""),46149.0)</f>
        <v>46149</v>
      </c>
    </row>
    <row r="48">
      <c r="B48" s="44" t="str">
        <f>IFERROR(__xludf.DUMMYFUNCTION("""COMPUTED_VALUE"""),"7.1")</f>
        <v>7.1</v>
      </c>
      <c r="C48" s="44" t="str">
        <f>IFERROR(__xludf.DUMMYFUNCTION("""COMPUTED_VALUE"""),"Demolição controlada e monitrada para rebaixamento da laje e abertura na laje e paredes em concreto armado")</f>
        <v>Demolição controlada e monitrada para rebaixamento da laje e abertura na laje e paredes em concreto armado</v>
      </c>
      <c r="D48" s="44" t="str">
        <f>IFERROR(__xludf.DUMMYFUNCTION("""COMPUTED_VALUE"""),"Roof Top")</f>
        <v>Roof Top</v>
      </c>
      <c r="E48" s="45">
        <f>IFERROR(__xludf.DUMMYFUNCTION("""COMPUTED_VALUE"""),46149.0)</f>
        <v>46149</v>
      </c>
    </row>
    <row r="49">
      <c r="B49" s="44" t="str">
        <f>IFERROR(__xludf.DUMMYFUNCTION("""COMPUTED_VALUE"""),"7.2")</f>
        <v>7.2</v>
      </c>
      <c r="C49" s="44" t="str">
        <f>IFERROR(__xludf.DUMMYFUNCTION("""COMPUTED_VALUE"""),"Caçamba para entulho 4m³")</f>
        <v>Caçamba para entulho 4m³</v>
      </c>
      <c r="D49" s="44" t="str">
        <f>IFERROR(__xludf.DUMMYFUNCTION("""COMPUTED_VALUE"""),"Roof Top")</f>
        <v>Roof Top</v>
      </c>
      <c r="E49" s="45">
        <f>IFERROR(__xludf.DUMMYFUNCTION("""COMPUTED_VALUE"""),46149.0)</f>
        <v>46149</v>
      </c>
    </row>
    <row r="50">
      <c r="B50" s="44" t="str">
        <f>IFERROR(__xludf.DUMMYFUNCTION("""COMPUTED_VALUE"""),"7.3")</f>
        <v>7.3</v>
      </c>
      <c r="C50" s="44" t="str">
        <f>IFERROR(__xludf.DUMMYFUNCTION("""COMPUTED_VALUE"""),"Transporte de entulho e grades")</f>
        <v>Transporte de entulho e grades</v>
      </c>
      <c r="D50" s="44" t="str">
        <f>IFERROR(__xludf.DUMMYFUNCTION("""COMPUTED_VALUE"""),"Roof Top")</f>
        <v>Roof Top</v>
      </c>
      <c r="E50" s="45">
        <f>IFERROR(__xludf.DUMMYFUNCTION("""COMPUTED_VALUE"""),46149.0)</f>
        <v>46149</v>
      </c>
    </row>
    <row r="51">
      <c r="B51" s="44" t="str">
        <f>IFERROR(__xludf.DUMMYFUNCTION("""COMPUTED_VALUE"""),"7.4")</f>
        <v>7.4</v>
      </c>
      <c r="C51" s="44" t="str">
        <f>IFERROR(__xludf.DUMMYFUNCTION("""COMPUTED_VALUE"""),"Caçamba para entulho 4m³")</f>
        <v>Caçamba para entulho 4m³</v>
      </c>
      <c r="D51" s="44" t="str">
        <f>IFERROR(__xludf.DUMMYFUNCTION("""COMPUTED_VALUE"""),"Roof Top")</f>
        <v>Roof Top</v>
      </c>
      <c r="E51" s="45">
        <f>IFERROR(__xludf.DUMMYFUNCTION("""COMPUTED_VALUE"""),46149.0)</f>
        <v>46149</v>
      </c>
    </row>
    <row r="52">
      <c r="B52" s="44" t="str">
        <f>IFERROR(__xludf.DUMMYFUNCTION("""COMPUTED_VALUE"""),"7.5")</f>
        <v>7.5</v>
      </c>
      <c r="C52" s="44" t="str">
        <f>IFERROR(__xludf.DUMMYFUNCTION("""COMPUTED_VALUE"""),"Transporte de entulho")</f>
        <v>Transporte de entulho</v>
      </c>
      <c r="D52" s="44" t="str">
        <f>IFERROR(__xludf.DUMMYFUNCTION("""COMPUTED_VALUE"""),"Roof Top")</f>
        <v>Roof Top</v>
      </c>
      <c r="E52" s="45">
        <f>IFERROR(__xludf.DUMMYFUNCTION("""COMPUTED_VALUE"""),46149.0)</f>
        <v>46149</v>
      </c>
    </row>
    <row r="53">
      <c r="B53" s="44" t="str">
        <f>IFERROR(__xludf.DUMMYFUNCTION("""COMPUTED_VALUE"""),"7.6")</f>
        <v>7.6</v>
      </c>
      <c r="C53" s="44" t="str">
        <f>IFERROR(__xludf.DUMMYFUNCTION("""COMPUTED_VALUE"""),"Retiro porta existente.")</f>
        <v>Retiro porta existente.</v>
      </c>
      <c r="D53" s="44" t="str">
        <f>IFERROR(__xludf.DUMMYFUNCTION("""COMPUTED_VALUE"""),"Roof Top")</f>
        <v>Roof Top</v>
      </c>
      <c r="E53" s="45">
        <f>IFERROR(__xludf.DUMMYFUNCTION("""COMPUTED_VALUE"""),46149.0)</f>
        <v>46149</v>
      </c>
    </row>
    <row r="54">
      <c r="B54" s="44" t="str">
        <f>IFERROR(__xludf.DUMMYFUNCTION("""COMPUTED_VALUE"""),"6.22")</f>
        <v>6.22</v>
      </c>
      <c r="C54" s="44" t="str">
        <f>IFERROR(__xludf.DUMMYFUNCTION("""COMPUTED_VALUE"""),"Fornecimento e instalação de QUADRO DE DITRIBUÇÃO completo, embutido ou sobreposto, em caixa metálica ou termoplástica, com porta, pintura eletrostática e grau de proteção mínimo IP40. Equipado com disjuntores termomagnéticos monopolares, bipolares ou tri"&amp;"polares conforme projeto, barramentos de fase, neutro e terra, trilho DIN, identificação dos circuitos e acessórios. Inclusos todos os materiais, componentes, mão de obra para montagem, fixação, aterramento, testes e conformidade com as normas técnicas vi"&amp;"gentes (NBR 5410 e NR-10).")</f>
        <v>Fornecimento e instalação de QUADRO DE DITRIBUÇÃO completo, embutido ou sobreposto, em caixa metálica ou termoplástica, com porta, pintura eletrostática e grau de proteção mínimo IP40. Equipado com disjuntores termomagnéticos monopolares, bipolares ou tripolares conforme projeto, barramentos de fase, neutro e terra, trilho DIN, identificação dos circuitos e acessórios. Inclusos todos os materiais, componentes, mão de obra para montagem, fixação, aterramento, testes e conformidade com as normas técnicas vigentes (NBR 5410 e NR-10).</v>
      </c>
      <c r="D54" s="44" t="str">
        <f>IFERROR(__xludf.DUMMYFUNCTION("""COMPUTED_VALUE"""),"Andar 9")</f>
        <v>Andar 9</v>
      </c>
      <c r="E54" s="45">
        <f>IFERROR(__xludf.DUMMYFUNCTION("""COMPUTED_VALUE"""),46156.0)</f>
        <v>46156</v>
      </c>
    </row>
    <row r="55">
      <c r="B55" s="44" t="str">
        <f>IFERROR(__xludf.DUMMYFUNCTION("""COMPUTED_VALUE"""),"6.24")</f>
        <v>6.24</v>
      </c>
      <c r="C55" s="44" t="str">
        <f>IFERROR(__xludf.DUMMYFUNCTION("""COMPUTED_VALUE"""),"Ponto de água fria em PVC Marrom")</f>
        <v>Ponto de água fria em PVC Marrom</v>
      </c>
      <c r="D55" s="44" t="str">
        <f>IFERROR(__xludf.DUMMYFUNCTION("""COMPUTED_VALUE"""),"Andar 9")</f>
        <v>Andar 9</v>
      </c>
      <c r="E55" s="45">
        <f>IFERROR(__xludf.DUMMYFUNCTION("""COMPUTED_VALUE"""),46156.0)</f>
        <v>46156</v>
      </c>
    </row>
    <row r="56">
      <c r="B56" s="44" t="str">
        <f>IFERROR(__xludf.DUMMYFUNCTION("""COMPUTED_VALUE"""),"6.25")</f>
        <v>6.25</v>
      </c>
      <c r="C56" s="44" t="str">
        <f>IFERROR(__xludf.DUMMYFUNCTION("""COMPUTED_VALUE"""),"Ponto de esgoto em PVC branco 50mm ou 100mm")</f>
        <v>Ponto de esgoto em PVC branco 50mm ou 100mm</v>
      </c>
      <c r="D56" s="44" t="str">
        <f>IFERROR(__xludf.DUMMYFUNCTION("""COMPUTED_VALUE"""),"Andar 9")</f>
        <v>Andar 9</v>
      </c>
      <c r="E56" s="45">
        <f>IFERROR(__xludf.DUMMYFUNCTION("""COMPUTED_VALUE"""),46156.0)</f>
        <v>46156</v>
      </c>
    </row>
    <row r="57">
      <c r="B57" s="44" t="str">
        <f>IFERROR(__xludf.DUMMYFUNCTION("""COMPUTED_VALUE"""),"2.1")</f>
        <v>2.1</v>
      </c>
      <c r="C57" s="44" t="str">
        <f>IFERROR(__xludf.DUMMYFUNCTION("""COMPUTED_VALUE"""),"Demolicão manual de alvenaria de tijolos furados, contrapiso de 5 cm no deposito 5, inclusive empilhamento dentro do canteiro de servico.")</f>
        <v>Demolicão manual de alvenaria de tijolos furados, contrapiso de 5 cm no deposito 5, inclusive empilhamento dentro do canteiro de servico.</v>
      </c>
      <c r="D57" s="44" t="str">
        <f>IFERROR(__xludf.DUMMYFUNCTION("""COMPUTED_VALUE"""),"Elevadores")</f>
        <v>Elevadores</v>
      </c>
      <c r="E57" s="45">
        <f>IFERROR(__xludf.DUMMYFUNCTION("""COMPUTED_VALUE"""),46166.0)</f>
        <v>46166</v>
      </c>
    </row>
    <row r="58">
      <c r="B58" s="44" t="str">
        <f>IFERROR(__xludf.DUMMYFUNCTION("""COMPUTED_VALUE"""),"2.3")</f>
        <v>2.3</v>
      </c>
      <c r="C58" s="44" t="str">
        <f>IFERROR(__xludf.DUMMYFUNCTION("""COMPUTED_VALUE"""),"Caçamba para entulho 4m³")</f>
        <v>Caçamba para entulho 4m³</v>
      </c>
      <c r="D58" s="44" t="str">
        <f>IFERROR(__xludf.DUMMYFUNCTION("""COMPUTED_VALUE"""),"Elevadores")</f>
        <v>Elevadores</v>
      </c>
      <c r="E58" s="45">
        <f>IFERROR(__xludf.DUMMYFUNCTION("""COMPUTED_VALUE"""),46166.0)</f>
        <v>46166</v>
      </c>
    </row>
    <row r="59">
      <c r="B59" s="44" t="str">
        <f>IFERROR(__xludf.DUMMYFUNCTION("""COMPUTED_VALUE"""),"2.4")</f>
        <v>2.4</v>
      </c>
      <c r="C59" s="44" t="str">
        <f>IFERROR(__xludf.DUMMYFUNCTION("""COMPUTED_VALUE"""),"Transporte de entulho e grades")</f>
        <v>Transporte de entulho e grades</v>
      </c>
      <c r="D59" s="44" t="str">
        <f>IFERROR(__xludf.DUMMYFUNCTION("""COMPUTED_VALUE"""),"Elevadores")</f>
        <v>Elevadores</v>
      </c>
      <c r="E59" s="45">
        <f>IFERROR(__xludf.DUMMYFUNCTION("""COMPUTED_VALUE"""),46166.0)</f>
        <v>46166</v>
      </c>
    </row>
    <row r="60">
      <c r="B60" s="44" t="str">
        <f>IFERROR(__xludf.DUMMYFUNCTION("""COMPUTED_VALUE"""),"5.19")</f>
        <v>5.19</v>
      </c>
      <c r="C60" s="44" t="str">
        <f>IFERROR(__xludf.DUMMYFUNCTION("""COMPUTED_VALUE"""),"Nivelamento fino do piso.")</f>
        <v>Nivelamento fino do piso.</v>
      </c>
      <c r="D60" s="44" t="str">
        <f>IFERROR(__xludf.DUMMYFUNCTION("""COMPUTED_VALUE"""),"Andar 8")</f>
        <v>Andar 8</v>
      </c>
      <c r="E60" s="45">
        <f>IFERROR(__xludf.DUMMYFUNCTION("""COMPUTED_VALUE"""),46170.0)</f>
        <v>46170</v>
      </c>
    </row>
    <row r="61">
      <c r="B61" s="44" t="str">
        <f>IFERROR(__xludf.DUMMYFUNCTION("""COMPUTED_VALUE"""),"6.23")</f>
        <v>6.23</v>
      </c>
      <c r="C61" s="44" t="str">
        <f>IFERROR(__xludf.DUMMYFUNCTION("""COMPUTED_VALUE"""),"Execução de ponto elétrico completo embutido, composto por 1 tomada 2P+T 20A, 220V e 1 ponto de luz (sem luminária), com fornecimento e instalação de eletrodutos rígidos PVC, caixas de embutir, cabos de cobre ( 25 tomadas + 25 ponto de luz) antichama (fas"&amp;"e, neutro e terra), conectores, suporte e espelho. Inclui instalação da infraestrutura embutida em alvenaria, passagem dos condutores, fixação dos mecanismos, identificação dos circuitos e testes de funcionamento, conforme NBR 5410 e NR-10.")</f>
        <v>Execução de ponto elétrico completo embutido, composto por 1 tomada 2P+T 20A, 220V e 1 ponto de luz (sem luminária), com fornecimento e instalação de eletrodutos rígidos PVC, caixas de embutir, cabos de cobre ( 25 tomadas + 25 ponto de luz) antichama (fase, neutro e terra), conectores, suporte e espelho. Inclui instalação da infraestrutura embutida em alvenaria, passagem dos condutores, fixação dos mecanismos, identificação dos circuitos e testes de funcionamento, conforme NBR 5410 e NR-10.</v>
      </c>
      <c r="D61" s="44" t="str">
        <f>IFERROR(__xludf.DUMMYFUNCTION("""COMPUTED_VALUE"""),"Andar 9")</f>
        <v>Andar 9</v>
      </c>
      <c r="E61" s="45">
        <f>IFERROR(__xludf.DUMMYFUNCTION("""COMPUTED_VALUE"""),46170.0)</f>
        <v>46170</v>
      </c>
    </row>
    <row r="62">
      <c r="B62" s="44" t="str">
        <f>IFERROR(__xludf.DUMMYFUNCTION("""COMPUTED_VALUE"""),"20.01")</f>
        <v>20.01</v>
      </c>
      <c r="C62" s="44" t="str">
        <f>IFERROR(__xludf.DUMMYFUNCTION("""COMPUTED_VALUE"""),"Fechamento do entre poço do elevador com estrutura metálica")</f>
        <v>Fechamento do entre poço do elevador com estrutura metálica</v>
      </c>
      <c r="D62" s="44" t="str">
        <f>IFERROR(__xludf.DUMMYFUNCTION("""COMPUTED_VALUE"""),"Elevadores")</f>
        <v>Elevadores</v>
      </c>
      <c r="E62" s="45">
        <f>IFERROR(__xludf.DUMMYFUNCTION("""COMPUTED_VALUE"""),46176.0)</f>
        <v>46176</v>
      </c>
    </row>
    <row r="63">
      <c r="B63" s="44" t="str">
        <f>IFERROR(__xludf.DUMMYFUNCTION("""COMPUTED_VALUE"""),"5.16")</f>
        <v>5.16</v>
      </c>
      <c r="C63" s="44" t="str">
        <f>IFERROR(__xludf.DUMMYFUNCTION("""COMPUTED_VALUE"""),"Forro mineral modular, em placas 625x625 mm ou 625x1250 mm, com acabamento texturizado branco, espessura média de 15 a 20 mm, com propriedades acústicas e térmicas, instalado em estrutura metálica tipo T (aparen­te), com nivelamento e alinhamento conforme"&amp;" projeto. Incluso todos os materiais, cortes, arremates, peças de fixação e mão de obra.")</f>
        <v>Forro mineral modular, em placas 625x625 mm ou 625x1250 mm, com acabamento texturizado branco, espessura média de 15 a 20 mm, com propriedades acústicas e térmicas, instalado em estrutura metálica tipo T (aparen­te), com nivelamento e alinhamento conforme projeto. Incluso todos os materiais, cortes, arremates, peças de fixação e mão de obra.</v>
      </c>
      <c r="D63" s="44" t="str">
        <f>IFERROR(__xludf.DUMMYFUNCTION("""COMPUTED_VALUE"""),"Andar 8")</f>
        <v>Andar 8</v>
      </c>
      <c r="E63" s="45">
        <f>IFERROR(__xludf.DUMMYFUNCTION("""COMPUTED_VALUE"""),46177.0)</f>
        <v>46177</v>
      </c>
    </row>
    <row r="64">
      <c r="B64" s="44" t="str">
        <f>IFERROR(__xludf.DUMMYFUNCTION("""COMPUTED_VALUE"""),"4.8")</f>
        <v>4.8</v>
      </c>
      <c r="C64" s="44" t="str">
        <f>IFERROR(__xludf.DUMMYFUNCTION("""COMPUTED_VALUE"""),"Cabo Flexível PP Extensão 3x25mm Rolo Com 100 Metros- Prismyan afumex")</f>
        <v>Cabo Flexível PP Extensão 3x25mm Rolo Com 100 Metros- Prismyan afumex</v>
      </c>
      <c r="D64" s="44" t="str">
        <f>IFERROR(__xludf.DUMMYFUNCTION("""COMPUTED_VALUE"""),"Elevadores")</f>
        <v>Elevadores</v>
      </c>
      <c r="E64" s="45">
        <f>IFERROR(__xludf.DUMMYFUNCTION("""COMPUTED_VALUE"""),46180.0)</f>
        <v>46180</v>
      </c>
    </row>
    <row r="65">
      <c r="B65" s="44" t="str">
        <f>IFERROR(__xludf.DUMMYFUNCTION("""COMPUTED_VALUE"""),"4.10")</f>
        <v>4.10</v>
      </c>
      <c r="C65" s="44" t="str">
        <f>IFERROR(__xludf.DUMMYFUNCTION("""COMPUTED_VALUE"""),"Disjuntores 32A")</f>
        <v>Disjuntores 32A</v>
      </c>
      <c r="D65" s="44" t="str">
        <f>IFERROR(__xludf.DUMMYFUNCTION("""COMPUTED_VALUE"""),"Elevadores")</f>
        <v>Elevadores</v>
      </c>
      <c r="E65" s="45">
        <f>IFERROR(__xludf.DUMMYFUNCTION("""COMPUTED_VALUE"""),46180.0)</f>
        <v>46180</v>
      </c>
    </row>
    <row r="66">
      <c r="B66" s="44" t="str">
        <f>IFERROR(__xludf.DUMMYFUNCTION("""COMPUTED_VALUE"""),"4.11")</f>
        <v>4.11</v>
      </c>
      <c r="C66" s="44" t="str">
        <f>IFERROR(__xludf.DUMMYFUNCTION("""COMPUTED_VALUE"""),"Cabo Flexível PP Extensão 3x4mm Rolo Com 100 Metros - Prismyan afumex")</f>
        <v>Cabo Flexível PP Extensão 3x4mm Rolo Com 100 Metros - Prismyan afumex</v>
      </c>
      <c r="D66" s="44" t="str">
        <f>IFERROR(__xludf.DUMMYFUNCTION("""COMPUTED_VALUE"""),"Elevadores")</f>
        <v>Elevadores</v>
      </c>
      <c r="E66" s="45">
        <f>IFERROR(__xludf.DUMMYFUNCTION("""COMPUTED_VALUE"""),46180.0)</f>
        <v>46180</v>
      </c>
    </row>
    <row r="67">
      <c r="B67" s="44" t="str">
        <f>IFERROR(__xludf.DUMMYFUNCTION("""COMPUTED_VALUE"""),"4.12")</f>
        <v>4.12</v>
      </c>
      <c r="C67" s="44" t="str">
        <f>IFERROR(__xludf.DUMMYFUNCTION("""COMPUTED_VALUE"""),"Cabo Flexível PP Extensão 3x2,5mm Rolo Com 100 Metros- Prismyan afumex")</f>
        <v>Cabo Flexível PP Extensão 3x2,5mm Rolo Com 100 Metros- Prismyan afumex</v>
      </c>
      <c r="D67" s="44" t="str">
        <f>IFERROR(__xludf.DUMMYFUNCTION("""COMPUTED_VALUE"""),"Elevadores")</f>
        <v>Elevadores</v>
      </c>
      <c r="E67" s="45">
        <f>IFERROR(__xludf.DUMMYFUNCTION("""COMPUTED_VALUE"""),46180.0)</f>
        <v>46180</v>
      </c>
    </row>
    <row r="68">
      <c r="B68" s="44" t="str">
        <f>IFERROR(__xludf.DUMMYFUNCTION("""COMPUTED_VALUE"""),"5.10")</f>
        <v>5.10</v>
      </c>
      <c r="C68" s="44" t="str">
        <f>IFERROR(__xludf.DUMMYFUNCTION("""COMPUTED_VALUE"""),"Ampliamento laje +36,55")</f>
        <v>Ampliamento laje +36,55</v>
      </c>
      <c r="D68" s="44" t="str">
        <f>IFERROR(__xludf.DUMMYFUNCTION("""COMPUTED_VALUE"""),"Andar 8")</f>
        <v>Andar 8</v>
      </c>
      <c r="E68" s="45">
        <f>IFERROR(__xludf.DUMMYFUNCTION("""COMPUTED_VALUE"""),46180.0)</f>
        <v>46180</v>
      </c>
    </row>
    <row r="69">
      <c r="B69" s="44" t="str">
        <f>IFERROR(__xludf.DUMMYFUNCTION("""COMPUTED_VALUE"""),"5.3")</f>
        <v>5.3</v>
      </c>
      <c r="C69" s="44" t="str">
        <f>IFERROR(__xludf.DUMMYFUNCTION("""COMPUTED_VALUE"""),"Transporte de entulho e grades")</f>
        <v>Transporte de entulho e grades</v>
      </c>
      <c r="D69" s="44" t="str">
        <f>IFERROR(__xludf.DUMMYFUNCTION("""COMPUTED_VALUE"""),"Andar 8")</f>
        <v>Andar 8</v>
      </c>
      <c r="E69" s="45">
        <f>IFERROR(__xludf.DUMMYFUNCTION("""COMPUTED_VALUE"""),46184.0)</f>
        <v>46184</v>
      </c>
    </row>
    <row r="70">
      <c r="B70" s="44" t="str">
        <f>IFERROR(__xludf.DUMMYFUNCTION("""COMPUTED_VALUE"""),"6.10")</f>
        <v>6.10</v>
      </c>
      <c r="C70" s="44" t="str">
        <f>IFERROR(__xludf.DUMMYFUNCTION("""COMPUTED_VALUE"""),"Novo reboco nas paredes e no teto.")</f>
        <v>Novo reboco nas paredes e no teto.</v>
      </c>
      <c r="D70" s="44" t="str">
        <f>IFERROR(__xludf.DUMMYFUNCTION("""COMPUTED_VALUE"""),"Andar 9")</f>
        <v>Andar 9</v>
      </c>
      <c r="E70" s="45">
        <f>IFERROR(__xludf.DUMMYFUNCTION("""COMPUTED_VALUE"""),46184.0)</f>
        <v>46184</v>
      </c>
    </row>
    <row r="71">
      <c r="B71" s="44" t="str">
        <f>IFERROR(__xludf.DUMMYFUNCTION("""COMPUTED_VALUE"""),"6.11")</f>
        <v>6.11</v>
      </c>
      <c r="C71" s="44" t="str">
        <f>IFERROR(__xludf.DUMMYFUNCTION("""COMPUTED_VALUE"""),"Nivelamento fino do piso.")</f>
        <v>Nivelamento fino do piso.</v>
      </c>
      <c r="D71" s="44" t="str">
        <f>IFERROR(__xludf.DUMMYFUNCTION("""COMPUTED_VALUE"""),"Andar 9")</f>
        <v>Andar 9</v>
      </c>
      <c r="E71" s="45">
        <f>IFERROR(__xludf.DUMMYFUNCTION("""COMPUTED_VALUE"""),46184.0)</f>
        <v>46184</v>
      </c>
    </row>
    <row r="72">
      <c r="B72" s="44" t="str">
        <f>IFERROR(__xludf.DUMMYFUNCTION("""COMPUTED_VALUE"""),"9.1")</f>
        <v>9.1</v>
      </c>
      <c r="C72" s="44" t="str">
        <f>IFERROR(__xludf.DUMMYFUNCTION("""COMPUTED_VALUE"""),"Demolicão manual de forro , inclusive empilhamento dentro do canteiro de servico.")</f>
        <v>Demolicão manual de forro , inclusive empilhamento dentro do canteiro de servico.</v>
      </c>
      <c r="D72" s="44" t="str">
        <f>IFERROR(__xludf.DUMMYFUNCTION("""COMPUTED_VALUE"""),"Halls - M1/Terreo/M2")</f>
        <v>Halls - M1/Terreo/M2</v>
      </c>
      <c r="E72" s="45">
        <f>IFERROR(__xludf.DUMMYFUNCTION("""COMPUTED_VALUE"""),46184.0)</f>
        <v>46184</v>
      </c>
    </row>
    <row r="73">
      <c r="B73" s="44" t="str">
        <f>IFERROR(__xludf.DUMMYFUNCTION("""COMPUTED_VALUE"""),"9.2")</f>
        <v>9.2</v>
      </c>
      <c r="C73" s="44" t="str">
        <f>IFERROR(__xludf.DUMMYFUNCTION("""COMPUTED_VALUE"""),"Retiro porta existente Combate Incendio")</f>
        <v>Retiro porta existente Combate Incendio</v>
      </c>
      <c r="D73" s="44" t="str">
        <f>IFERROR(__xludf.DUMMYFUNCTION("""COMPUTED_VALUE"""),"Halls - M1/Terreo/M2")</f>
        <v>Halls - M1/Terreo/M2</v>
      </c>
      <c r="E73" s="45">
        <f>IFERROR(__xludf.DUMMYFUNCTION("""COMPUTED_VALUE"""),46184.0)</f>
        <v>46184</v>
      </c>
    </row>
    <row r="74">
      <c r="B74" s="44" t="str">
        <f>IFERROR(__xludf.DUMMYFUNCTION("""COMPUTED_VALUE"""),"4.15")</f>
        <v>4.15</v>
      </c>
      <c r="C74" s="44" t="str">
        <f>IFERROR(__xludf.DUMMYFUNCTION("""COMPUTED_VALUE"""),"Fornecimento Luminária Led com suporte 60 cm 9w 6500k")</f>
        <v>Fornecimento Luminária Led com suporte 60 cm 9w 6500k</v>
      </c>
      <c r="D74" s="44" t="str">
        <f>IFERROR(__xludf.DUMMYFUNCTION("""COMPUTED_VALUE"""),"Elevadores")</f>
        <v>Elevadores</v>
      </c>
      <c r="E74" s="45">
        <f>IFERROR(__xludf.DUMMYFUNCTION("""COMPUTED_VALUE"""),46187.0)</f>
        <v>46187</v>
      </c>
    </row>
    <row r="75">
      <c r="B75" s="44" t="str">
        <f>IFERROR(__xludf.DUMMYFUNCTION("""COMPUTED_VALUE"""),"4.16")</f>
        <v>4.16</v>
      </c>
      <c r="C75" s="44" t="str">
        <f>IFERROR(__xludf.DUMMYFUNCTION("""COMPUTED_VALUE"""),"Fornecimento Luminária Led com suporte 120 cm 18w 6500k")</f>
        <v>Fornecimento Luminária Led com suporte 120 cm 18w 6500k</v>
      </c>
      <c r="D75" s="44" t="str">
        <f>IFERROR(__xludf.DUMMYFUNCTION("""COMPUTED_VALUE"""),"Elevadores")</f>
        <v>Elevadores</v>
      </c>
      <c r="E75" s="45">
        <f>IFERROR(__xludf.DUMMYFUNCTION("""COMPUTED_VALUE"""),46187.0)</f>
        <v>46187</v>
      </c>
    </row>
    <row r="76">
      <c r="B76" s="44" t="str">
        <f>IFERROR(__xludf.DUMMYFUNCTION("""COMPUTED_VALUE"""),"2.7")</f>
        <v>2.7</v>
      </c>
      <c r="C76" s="44" t="str">
        <f>IFERROR(__xludf.DUMMYFUNCTION("""COMPUTED_VALUE"""),"Montagem e desmontagem de andaime direcional estrutural com chumbadores e plataforma")</f>
        <v>Montagem e desmontagem de andaime direcional estrutural com chumbadores e plataforma</v>
      </c>
      <c r="D76" s="44" t="str">
        <f>IFERROR(__xludf.DUMMYFUNCTION("""COMPUTED_VALUE"""),"Elevadores")</f>
        <v>Elevadores</v>
      </c>
      <c r="E76" s="45">
        <f>IFERROR(__xludf.DUMMYFUNCTION("""COMPUTED_VALUE"""),46191.0)</f>
        <v>46191</v>
      </c>
    </row>
    <row r="77">
      <c r="B77" s="44" t="str">
        <f>IFERROR(__xludf.DUMMYFUNCTION("""COMPUTED_VALUE"""),"5.6")</f>
        <v>5.6</v>
      </c>
      <c r="C77" s="44" t="str">
        <f>IFERROR(__xludf.DUMMYFUNCTION("""COMPUTED_VALUE"""),"Montagem e desmontagem de andaime direcional estrutural com chumbadores e plataforma e sistema de decida")</f>
        <v>Montagem e desmontagem de andaime direcional estrutural com chumbadores e plataforma e sistema de decida</v>
      </c>
      <c r="D77" s="44" t="str">
        <f>IFERROR(__xludf.DUMMYFUNCTION("""COMPUTED_VALUE"""),"Andar 8")</f>
        <v>Andar 8</v>
      </c>
      <c r="E77" s="45">
        <f>IFERROR(__xludf.DUMMYFUNCTION("""COMPUTED_VALUE"""),46191.0)</f>
        <v>46191</v>
      </c>
    </row>
    <row r="78">
      <c r="B78" s="44" t="str">
        <f>IFERROR(__xludf.DUMMYFUNCTION("""COMPUTED_VALUE"""),"6.3")</f>
        <v>6.3</v>
      </c>
      <c r="C78" s="44" t="str">
        <f>IFERROR(__xludf.DUMMYFUNCTION("""COMPUTED_VALUE"""),"Transporte de entulho e grades")</f>
        <v>Transporte de entulho e grades</v>
      </c>
      <c r="D78" s="44" t="str">
        <f>IFERROR(__xludf.DUMMYFUNCTION("""COMPUTED_VALUE"""),"Andar 9")</f>
        <v>Andar 9</v>
      </c>
      <c r="E78" s="45">
        <f>IFERROR(__xludf.DUMMYFUNCTION("""COMPUTED_VALUE"""),46191.0)</f>
        <v>46191</v>
      </c>
    </row>
    <row r="79">
      <c r="E79" s="45"/>
    </row>
    <row r="80" ht="19.5" customHeight="1">
      <c r="B80" s="88" t="s">
        <v>210</v>
      </c>
    </row>
    <row r="81">
      <c r="B81" s="73" t="s">
        <v>36</v>
      </c>
      <c r="C81" s="73" t="s">
        <v>10</v>
      </c>
      <c r="D81" s="73" t="s">
        <v>191</v>
      </c>
      <c r="E81" s="73" t="s">
        <v>12</v>
      </c>
      <c r="F81" s="74"/>
    </row>
    <row r="82">
      <c r="B82" s="44" t="str">
        <f>IFERROR(__xludf.DUMMYFUNCTION("IFERROR(QUERY(Gestao!A4:F1000,""select A,B,C,E where E &gt;= date '""&amp;TEXT(TODAY(),""yyyy-mm-dd"")&amp;""' and E &lt;= date '""&amp;TEXT(TODAY()+30,""yyyy-mm-dd"")&amp;""' order by E"",0),""Nada nos próximos 30 dias"")"),"5.17")</f>
        <v>5.17</v>
      </c>
      <c r="C82" s="44" t="str">
        <f>IFERROR(__xludf.DUMMYFUNCTION("""COMPUTED_VALUE"""),"Fornecimento e instalação de forro de gesso acartonado tipo RU (resistente à umidade – cor verde), fixado em estrutura metálica galvanizada (perfil F530, montantes e guias), com parafusos apropriados, fita telada nas juntas e aplicação de massa para trata"&amp;"mento de emendas. Indicado para áreas úmidas como banheiros e lavabos. Incluso todos os materiais, mão de obra, fixações, nivelamento e limpeza da área. Execução conforme normas técnicas da ABNT e boas práticas de instalação.")</f>
        <v>Fornecimento e instalação de forro de gesso acartonado tipo RU (resistente à umidade – cor verde), fixado em estrutura metálica galvanizada (perfil F530, montantes e guias), com parafusos apropriados, fita telada nas juntas e aplicação de massa para tratamento de emendas. Indicado para áreas úmidas como banheiros e lavabos. Incluso todos os materiais, mão de obra, fixações, nivelamento e limpeza da área. Execução conforme normas técnicas da ABNT e boas práticas de instalação.</v>
      </c>
      <c r="D82" s="44" t="str">
        <f>IFERROR(__xludf.DUMMYFUNCTION("""COMPUTED_VALUE"""),"Andar 8")</f>
        <v>Andar 8</v>
      </c>
      <c r="E82" s="45">
        <f>IFERROR(__xludf.DUMMYFUNCTION("""COMPUTED_VALUE"""),46201.0)</f>
        <v>46201</v>
      </c>
    </row>
    <row r="83">
      <c r="B83" s="44" t="str">
        <f>IFERROR(__xludf.DUMMYFUNCTION("""COMPUTED_VALUE"""),"5.4")</f>
        <v>5.4</v>
      </c>
      <c r="C83" s="44" t="str">
        <f>IFERROR(__xludf.DUMMYFUNCTION("""COMPUTED_VALUE"""),"Caçamba para entulho 4m³")</f>
        <v>Caçamba para entulho 4m³</v>
      </c>
      <c r="D83" s="44" t="str">
        <f>IFERROR(__xludf.DUMMYFUNCTION("""COMPUTED_VALUE"""),"Andar 8")</f>
        <v>Andar 8</v>
      </c>
      <c r="E83" s="45">
        <f>IFERROR(__xludf.DUMMYFUNCTION("""COMPUTED_VALUE"""),46202.0)</f>
        <v>46202</v>
      </c>
    </row>
    <row r="84">
      <c r="B84" s="44" t="str">
        <f>IFERROR(__xludf.DUMMYFUNCTION("""COMPUTED_VALUE"""),"6.34")</f>
        <v>6.34</v>
      </c>
      <c r="C84" s="44" t="str">
        <f>IFERROR(__xludf.DUMMYFUNCTION("""COMPUTED_VALUE"""),"Execução de impermeabilização em área externa (lajes, sacadas, terraços ou calçadas), incluindo limpeza da base, regularização com argamassa, aplicação de primer e impermeabilizante tipo manta asfáltica com acabamento aluminizado ou cimento polimérico bic"&amp;"omponente, conforme especificação do projeto. Inclui reforço em ralos, cantos e rodapés, teste de estanqueidade e proteção mecânica (argamassa ou contrapiso). Incluso todos os materiais, ferramentas e mão de obra especializada. Execução conforme NBR 9574 "&amp;"e NBR 9575.")</f>
        <v>Execução de impermeabilização em área externa (lajes, sacadas, terraços ou calçadas), incluindo limpeza da base, regularização com argamassa, aplicação de primer e impermeabilizante tipo manta asfáltica com acabamento aluminizado ou cimento polimérico bicomponente, conforme especificação do projeto. Inclui reforço em ralos, cantos e rodapés, teste de estanqueidade e proteção mecânica (argamassa ou contrapiso). Incluso todos os materiais, ferramentas e mão de obra especializada. Execução conforme NBR 9574 e NBR 9575.</v>
      </c>
      <c r="D84" s="44" t="str">
        <f>IFERROR(__xludf.DUMMYFUNCTION("""COMPUTED_VALUE"""),"Andar 9")</f>
        <v>Andar 9</v>
      </c>
      <c r="E84" s="45">
        <f>IFERROR(__xludf.DUMMYFUNCTION("""COMPUTED_VALUE"""),46205.0)</f>
        <v>46205</v>
      </c>
    </row>
    <row r="85">
      <c r="B85" s="44" t="str">
        <f>IFERROR(__xludf.DUMMYFUNCTION("""COMPUTED_VALUE"""),"9.5")</f>
        <v>9.5</v>
      </c>
      <c r="C85" s="44" t="str">
        <f>IFERROR(__xludf.DUMMYFUNCTION("""COMPUTED_VALUE"""),"Desmontagem e montagem Luminária Calha Embutir 2 Lâmpadas LED T8")</f>
        <v>Desmontagem e montagem Luminária Calha Embutir 2 Lâmpadas LED T8</v>
      </c>
      <c r="D85" s="44" t="str">
        <f>IFERROR(__xludf.DUMMYFUNCTION("""COMPUTED_VALUE"""),"Halls - M1/Terreo/M2")</f>
        <v>Halls - M1/Terreo/M2</v>
      </c>
      <c r="E85" s="45">
        <f>IFERROR(__xludf.DUMMYFUNCTION("""COMPUTED_VALUE"""),46212.0)</f>
        <v>46212</v>
      </c>
    </row>
    <row r="86">
      <c r="B86" s="44" t="str">
        <f>IFERROR(__xludf.DUMMYFUNCTION("""COMPUTED_VALUE"""),"12.1")</f>
        <v>12.1</v>
      </c>
      <c r="C86" s="44" t="str">
        <f>IFERROR(__xludf.DUMMYFUNCTION("""COMPUTED_VALUE"""),"Intervenções nos halls dos elevadores - fase - elevador 2 - 15 andares")</f>
        <v>Intervenções nos halls dos elevadores - fase - elevador 2 - 15 andares</v>
      </c>
      <c r="D86" s="44" t="str">
        <f>IFERROR(__xludf.DUMMYFUNCTION("""COMPUTED_VALUE"""),"Elevadores")</f>
        <v>Elevadores</v>
      </c>
      <c r="E86" s="45">
        <f>IFERROR(__xludf.DUMMYFUNCTION("""COMPUTED_VALUE"""),46218.0)</f>
        <v>46218</v>
      </c>
    </row>
    <row r="87">
      <c r="B87" s="44" t="str">
        <f>IFERROR(__xludf.DUMMYFUNCTION("""COMPUTED_VALUE"""),"14")</f>
        <v>14</v>
      </c>
      <c r="C87" s="44" t="str">
        <f>IFERROR(__xludf.DUMMYFUNCTION("""COMPUTED_VALUE"""),"Intervenções nos halls dos elevadores - fase - elevador 3 - 7 andares")</f>
        <v>Intervenções nos halls dos elevadores - fase - elevador 3 - 7 andares</v>
      </c>
      <c r="D87" s="44" t="str">
        <f>IFERROR(__xludf.DUMMYFUNCTION("""COMPUTED_VALUE"""),"Elevadores")</f>
        <v>Elevadores</v>
      </c>
      <c r="E87" s="45">
        <f>IFERROR(__xludf.DUMMYFUNCTION("""COMPUTED_VALUE"""),46218.0)</f>
        <v>46218</v>
      </c>
    </row>
    <row r="88">
      <c r="B88" s="44" t="str">
        <f>IFERROR(__xludf.DUMMYFUNCTION("""COMPUTED_VALUE"""),"12")</f>
        <v>12</v>
      </c>
      <c r="C88" s="44" t="str">
        <f>IFERROR(__xludf.DUMMYFUNCTION("""COMPUTED_VALUE"""),"Elevador 2 - 15 andar andares- 8 pessoas")</f>
        <v>Elevador 2 - 15 andar andares- 8 pessoas</v>
      </c>
      <c r="D88" s="44" t="str">
        <f>IFERROR(__xludf.DUMMYFUNCTION("""COMPUTED_VALUE"""),"Elevadores")</f>
        <v>Elevadores</v>
      </c>
      <c r="E88" s="45">
        <f>IFERROR(__xludf.DUMMYFUNCTION("""COMPUTED_VALUE"""),46227.0)</f>
        <v>46227</v>
      </c>
    </row>
    <row r="89">
      <c r="E89" s="45"/>
    </row>
    <row r="90">
      <c r="E90" s="45"/>
    </row>
    <row r="91">
      <c r="E91" s="45"/>
    </row>
    <row r="92">
      <c r="E92" s="45"/>
    </row>
    <row r="93">
      <c r="E93" s="45"/>
    </row>
    <row r="94">
      <c r="E94" s="45"/>
    </row>
    <row r="95">
      <c r="E95" s="45"/>
    </row>
    <row r="96">
      <c r="E96" s="45"/>
    </row>
    <row r="97">
      <c r="E97" s="45"/>
    </row>
    <row r="98">
      <c r="E98" s="45"/>
    </row>
    <row r="99">
      <c r="E99" s="45"/>
    </row>
    <row r="100">
      <c r="E100" s="45"/>
    </row>
    <row r="101">
      <c r="E101" s="45"/>
    </row>
    <row r="102">
      <c r="E102" s="45"/>
    </row>
    <row r="103">
      <c r="E103" s="45"/>
    </row>
    <row r="104">
      <c r="E104" s="45"/>
    </row>
    <row r="105">
      <c r="E105" s="45"/>
    </row>
    <row r="106">
      <c r="E106" s="45"/>
    </row>
    <row r="107">
      <c r="E107" s="45"/>
    </row>
    <row r="108">
      <c r="E108" s="45"/>
    </row>
    <row r="109">
      <c r="E109" s="45"/>
    </row>
    <row r="110">
      <c r="E110" s="45"/>
    </row>
    <row r="111">
      <c r="E111" s="45"/>
    </row>
    <row r="112">
      <c r="E112" s="45"/>
    </row>
    <row r="113">
      <c r="E113" s="45"/>
    </row>
    <row r="114">
      <c r="E114" s="45"/>
    </row>
    <row r="115">
      <c r="E115" s="45"/>
    </row>
    <row r="116">
      <c r="E116" s="45"/>
    </row>
    <row r="117">
      <c r="E117" s="45"/>
    </row>
    <row r="118">
      <c r="E118" s="45"/>
    </row>
    <row r="119">
      <c r="E119" s="45"/>
    </row>
    <row r="120">
      <c r="E120" s="45"/>
    </row>
    <row r="121">
      <c r="E121" s="45"/>
    </row>
  </sheetData>
  <mergeCells count="33">
    <mergeCell ref="D5:E5"/>
    <mergeCell ref="B8:F8"/>
    <mergeCell ref="E10:F10"/>
    <mergeCell ref="E11:F11"/>
    <mergeCell ref="E12:F12"/>
    <mergeCell ref="B14:F14"/>
    <mergeCell ref="B25:F25"/>
    <mergeCell ref="B80:F80"/>
    <mergeCell ref="B4:C4"/>
    <mergeCell ref="D4:E4"/>
    <mergeCell ref="F4:G4"/>
    <mergeCell ref="K4:L4"/>
    <mergeCell ref="B5:C5"/>
    <mergeCell ref="F5:G5"/>
    <mergeCell ref="K5:L5"/>
    <mergeCell ref="I4:J4"/>
    <mergeCell ref="I5:J5"/>
    <mergeCell ref="H8:L8"/>
    <mergeCell ref="H27:L27"/>
    <mergeCell ref="H28:J28"/>
    <mergeCell ref="K28:L28"/>
    <mergeCell ref="K29:L29"/>
    <mergeCell ref="H33:J33"/>
    <mergeCell ref="K33:L33"/>
    <mergeCell ref="H34:J34"/>
    <mergeCell ref="K34:L34"/>
    <mergeCell ref="H29:J29"/>
    <mergeCell ref="H30:J30"/>
    <mergeCell ref="K30:L30"/>
    <mergeCell ref="H31:J31"/>
    <mergeCell ref="K31:L31"/>
    <mergeCell ref="H32:J32"/>
    <mergeCell ref="K32:L3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showGridLines="0"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4.43" defaultRowHeight="15.0"/>
  <cols>
    <col customWidth="1" min="1" max="1" width="9.0"/>
    <col customWidth="1" min="2" max="2" width="42.0"/>
    <col customWidth="1" min="3" max="3" width="16.0"/>
    <col customWidth="1" min="4" max="5" width="12.0"/>
    <col customWidth="1" min="6" max="6" width="13.0"/>
    <col customWidth="1" min="7" max="7" width="18.71"/>
    <col customWidth="1" min="8" max="8" width="12.14"/>
    <col customWidth="1" min="9" max="9" width="20.0"/>
    <col customWidth="1" min="10" max="10" width="18.0"/>
    <col customWidth="1" min="11" max="11" width="22.0"/>
    <col customWidth="1" min="12" max="12" width="18.0"/>
    <col customWidth="1" min="13" max="13" width="20.0"/>
    <col customWidth="1" min="14" max="14" width="22.0"/>
    <col customWidth="1" min="15" max="15" width="11.0"/>
    <col customWidth="1" hidden="1" min="16" max="18" width="8.71"/>
    <col customWidth="1" min="19" max="20" width="8.71"/>
  </cols>
  <sheetData>
    <row r="1" ht="27.75" customHeight="1">
      <c r="A1" s="89" t="s">
        <v>211</v>
      </c>
      <c r="B1" s="90"/>
      <c r="C1" s="90"/>
      <c r="D1" s="91" t="s">
        <v>212</v>
      </c>
      <c r="E1" s="92"/>
      <c r="F1" s="92"/>
      <c r="G1" s="92"/>
      <c r="H1" s="92"/>
      <c r="I1" s="92"/>
      <c r="J1" s="92"/>
      <c r="K1" s="92"/>
      <c r="L1" s="92"/>
      <c r="M1" s="92"/>
      <c r="N1" s="92"/>
      <c r="O1" s="92"/>
    </row>
    <row r="2" ht="21.75" customHeight="1">
      <c r="A2" s="93"/>
      <c r="D2" s="94" t="s">
        <v>213</v>
      </c>
      <c r="E2" s="92"/>
      <c r="F2" s="92"/>
      <c r="G2" s="92"/>
      <c r="H2" s="92"/>
      <c r="I2" s="92"/>
      <c r="J2" s="92"/>
      <c r="K2" s="92"/>
      <c r="L2" s="92"/>
      <c r="M2" s="92"/>
      <c r="N2" s="92"/>
      <c r="O2" s="92"/>
    </row>
    <row r="3" ht="3.75" customHeight="1">
      <c r="A3" s="95"/>
      <c r="B3" s="95"/>
      <c r="C3" s="95"/>
      <c r="D3" s="95"/>
      <c r="E3" s="95"/>
      <c r="F3" s="95"/>
      <c r="G3" s="95"/>
      <c r="H3" s="95"/>
      <c r="I3" s="95"/>
      <c r="J3" s="95"/>
      <c r="K3" s="95"/>
      <c r="L3" s="95"/>
      <c r="M3" s="95"/>
      <c r="N3" s="95"/>
      <c r="O3" s="95"/>
    </row>
    <row r="4" ht="21.75" customHeight="1">
      <c r="A4" s="96" t="s">
        <v>214</v>
      </c>
      <c r="B4" s="97"/>
      <c r="C4" s="98"/>
      <c r="D4" s="96" t="s">
        <v>215</v>
      </c>
      <c r="E4" s="97"/>
      <c r="F4" s="98"/>
      <c r="G4" s="99"/>
      <c r="H4" s="96"/>
      <c r="I4" s="98"/>
      <c r="J4" s="96" t="s">
        <v>187</v>
      </c>
      <c r="K4" s="97"/>
      <c r="L4" s="98"/>
      <c r="M4" s="100" t="s">
        <v>216</v>
      </c>
      <c r="N4" s="99" t="s">
        <v>217</v>
      </c>
      <c r="O4" s="99"/>
    </row>
    <row r="5" ht="36.0" customHeight="1">
      <c r="A5" s="101">
        <f>COUNTA(A8:A201)</f>
        <v>164</v>
      </c>
      <c r="B5" s="97"/>
      <c r="C5" s="98"/>
      <c r="D5" s="102">
        <f>COUNTIF(F8:F201,"Atrasado")</f>
        <v>57</v>
      </c>
      <c r="E5" s="97"/>
      <c r="F5" s="98"/>
      <c r="G5" s="103"/>
      <c r="H5" s="104"/>
      <c r="I5" s="98"/>
      <c r="J5" s="105">
        <f>COUNTIF(F8:F201,"A iniciar")</f>
        <v>74</v>
      </c>
      <c r="K5" s="97"/>
      <c r="L5" s="98"/>
      <c r="M5" s="106">
        <f>COUNTIF($G$8:$G$500,"Finalizado")</f>
        <v>0</v>
      </c>
      <c r="N5" s="107">
        <f>IFERROR(SUM(H8:H201)/COUNTA(A8:A201),0)</f>
        <v>0</v>
      </c>
      <c r="O5" s="108"/>
    </row>
    <row r="6" ht="7.5" customHeight="1"/>
    <row r="7" ht="27.0" customHeight="1">
      <c r="A7" s="109" t="s">
        <v>36</v>
      </c>
      <c r="B7" s="109" t="s">
        <v>10</v>
      </c>
      <c r="C7" s="109" t="s">
        <v>218</v>
      </c>
      <c r="D7" s="109" t="s">
        <v>15</v>
      </c>
      <c r="E7" s="109" t="s">
        <v>12</v>
      </c>
      <c r="F7" s="109" t="s">
        <v>219</v>
      </c>
      <c r="G7" s="110" t="s">
        <v>220</v>
      </c>
      <c r="H7" s="109" t="s">
        <v>221</v>
      </c>
      <c r="I7" s="109" t="s">
        <v>222</v>
      </c>
      <c r="J7" s="109" t="s">
        <v>223</v>
      </c>
      <c r="K7" s="109" t="s">
        <v>224</v>
      </c>
      <c r="L7" s="109" t="s">
        <v>225</v>
      </c>
      <c r="M7" s="109" t="s">
        <v>226</v>
      </c>
      <c r="N7" s="109" t="s">
        <v>227</v>
      </c>
      <c r="O7" s="109" t="s">
        <v>17</v>
      </c>
    </row>
    <row r="8" ht="41.25" customHeight="1">
      <c r="A8" s="111" t="s">
        <v>228</v>
      </c>
      <c r="B8" s="112" t="s">
        <v>229</v>
      </c>
      <c r="C8" s="113" t="s">
        <v>40</v>
      </c>
      <c r="D8" s="114">
        <v>46047.0</v>
      </c>
      <c r="E8" s="114">
        <v>46073.0</v>
      </c>
      <c r="F8" s="115" t="str">
        <f t="shared" ref="F8:F171" si="1">IF(OR($D8="",$E8=""),"Sem data",IF($E8&lt;TODAY(),"Atrasado",IF($D8&gt;TODAY(),"A iniciar","Em andamento")))</f>
        <v>Atrasado</v>
      </c>
      <c r="G8" s="115"/>
      <c r="H8" s="116"/>
      <c r="I8" s="117" t="str">
        <f>IF(COUNTIF(Detalhamento!A9:A329,A8)=0,"-",IF(COUNTIFS(Detalhamento!A9:A329,A8,Detalhamento!J9:J329,"Pendente")&gt;0,"Pendente",IF(COUNTIFS(Detalhamento!A9:A329,A8,Detalhamento!J9:J329,"OK")&gt;0,"OK","-")))</f>
        <v>-</v>
      </c>
      <c r="J8" s="117" t="str">
        <f>IF(COUNTIF(Detalhamento!A9:A329,A8)=0,"-",IF(COUNTIFS(Detalhamento!A9:A329,A8,Detalhamento!K9:K329,"Pendente")&gt;0,"Pendente",IF(COUNTIFS(Detalhamento!A9:A329,A8,Detalhamento!K9:K329,"OK")&gt;0,"OK","-")))</f>
        <v>-</v>
      </c>
      <c r="K8" s="117" t="str">
        <f>IF(COUNTIF(Detalhamento!A9:A329,A8)=0,"-",IF(COUNTIFS(Detalhamento!A9:A329,A8,Detalhamento!L9:L329,"Pendente")&gt;0,"Pendente",IF(COUNTIFS(Detalhamento!A9:A329,A8,Detalhamento!L9:L329,"OK")&gt;0,"OK","-")))</f>
        <v>-</v>
      </c>
      <c r="L8" s="117" t="str">
        <f>IF(COUNTIF(Detalhamento!A9:A329,A8)=0,"-",IF(COUNTIFS(Detalhamento!A9:A329,A8,Detalhamento!M9:M329,"Pendente")&gt;0,"Pendente",IF(COUNTIFS(Detalhamento!A9:A329,A8,Detalhamento!M9:M329,"OK")&gt;0,"OK","-")))</f>
        <v>-</v>
      </c>
      <c r="M8" s="117" t="str">
        <f>IF(COUNTIF(Detalhamento!A9:A329,A8)=0,"-",IF(COUNTIFS(Detalhamento!A9:A329,A8,Detalhamento!N9:N329,"Pendente")&gt;0,"Pendente",IF(COUNTIFS(Detalhamento!A9:A329,A8,Detalhamento!N9:N329,"OK")&gt;0,"OK","-")))</f>
        <v>-</v>
      </c>
      <c r="N8" s="118"/>
      <c r="O8" s="119" t="s">
        <v>230</v>
      </c>
      <c r="P8" s="15">
        <f>IF(A8="",0,COUNTIF(Detalhamento!A9:A329,A8))</f>
        <v>0</v>
      </c>
      <c r="Q8" s="15">
        <f>IF(A8="",0,COUNTIFS(Detalhamento!A9:A329,A8,Detalhamento!H9:H329,"Concluído"))</f>
        <v>0</v>
      </c>
      <c r="R8" s="120" t="str">
        <f t="shared" ref="R8:R171" si="2">IFERROR(IF(P8=0,"",Q8/P8),"")</f>
        <v/>
      </c>
    </row>
    <row r="9" ht="28.5" customHeight="1">
      <c r="A9" s="111" t="s">
        <v>231</v>
      </c>
      <c r="B9" s="112" t="s">
        <v>232</v>
      </c>
      <c r="C9" s="113" t="s">
        <v>40</v>
      </c>
      <c r="D9" s="114">
        <v>46050.0</v>
      </c>
      <c r="E9" s="114">
        <v>46050.0</v>
      </c>
      <c r="F9" s="115" t="str">
        <f t="shared" si="1"/>
        <v>Atrasado</v>
      </c>
      <c r="G9" s="115"/>
      <c r="H9" s="116"/>
      <c r="I9" s="117" t="str">
        <f>IF(COUNTIF(Detalhamento!A9:A329,A9)=0,"-",IF(COUNTIFS(Detalhamento!A9:A329,A9,Detalhamento!J9:J329,"Pendente")&gt;0,"Pendente",IF(COUNTIFS(Detalhamento!A9:A329,A9,Detalhamento!J9:J329,"OK")&gt;0,"OK","-")))</f>
        <v>-</v>
      </c>
      <c r="J9" s="117" t="str">
        <f>IF(COUNTIF(Detalhamento!A9:A329,A9)=0,"-",IF(COUNTIFS(Detalhamento!A9:A329,A9,Detalhamento!K9:K329,"Pendente")&gt;0,"Pendente",IF(COUNTIFS(Detalhamento!A9:A329,A9,Detalhamento!K9:K329,"OK")&gt;0,"OK","-")))</f>
        <v>-</v>
      </c>
      <c r="K9" s="117" t="str">
        <f>IF(COUNTIF(Detalhamento!A9:A329,A9)=0,"-",IF(COUNTIFS(Detalhamento!A9:A329,A9,Detalhamento!L9:L329,"Pendente")&gt;0,"Pendente",IF(COUNTIFS(Detalhamento!A9:A329,A9,Detalhamento!L9:L329,"OK")&gt;0,"OK","-")))</f>
        <v>-</v>
      </c>
      <c r="L9" s="117" t="str">
        <f>IF(COUNTIF(Detalhamento!A9:A329,A9)=0,"-",IF(COUNTIFS(Detalhamento!A9:A329,A9,Detalhamento!M9:M329,"Pendente")&gt;0,"Pendente",IF(COUNTIFS(Detalhamento!A9:A329,A9,Detalhamento!M9:M329,"OK")&gt;0,"OK","-")))</f>
        <v>-</v>
      </c>
      <c r="M9" s="117" t="str">
        <f>IF(COUNTIF(Detalhamento!A9:A329,A9)=0,"-",IF(COUNTIFS(Detalhamento!A9:A329,A9,Detalhamento!N9:N329,"Pendente")&gt;0,"Pendente",IF(COUNTIFS(Detalhamento!A9:A329,A9,Detalhamento!N9:N329,"OK")&gt;0,"OK","-")))</f>
        <v>-</v>
      </c>
      <c r="N9" s="118"/>
      <c r="O9" s="119" t="s">
        <v>230</v>
      </c>
      <c r="P9" s="15">
        <f>IF(A9="",0,COUNTIF(Detalhamento!A9:A329,A9))</f>
        <v>1</v>
      </c>
      <c r="Q9" s="15">
        <f>IF(A9="",0,COUNTIFS(Detalhamento!A9:A329,A9,Detalhamento!H9:H329,"Concluído"))</f>
        <v>1</v>
      </c>
      <c r="R9" s="120">
        <f t="shared" si="2"/>
        <v>1</v>
      </c>
    </row>
    <row r="10" ht="28.5" customHeight="1">
      <c r="A10" s="111" t="s">
        <v>42</v>
      </c>
      <c r="B10" s="112" t="s">
        <v>43</v>
      </c>
      <c r="C10" s="113" t="s">
        <v>40</v>
      </c>
      <c r="D10" s="114">
        <v>46050.0</v>
      </c>
      <c r="E10" s="114">
        <v>46065.0</v>
      </c>
      <c r="F10" s="115" t="str">
        <f t="shared" si="1"/>
        <v>Atrasado</v>
      </c>
      <c r="G10" s="115"/>
      <c r="H10" s="116"/>
      <c r="I10" s="117" t="str">
        <f>IF(COUNTIF(Detalhamento!A9:A329,A10)=0,"-",IF(COUNTIFS(Detalhamento!A9:A329,A10,Detalhamento!J9:J329,"Pendente")&gt;0,"Pendente",IF(COUNTIFS(Detalhamento!A9:A329,A10,Detalhamento!J9:J329,"OK")&gt;0,"OK","-")))</f>
        <v>-</v>
      </c>
      <c r="J10" s="117" t="str">
        <f>IF(COUNTIF(Detalhamento!A9:A329,A10)=0,"-",IF(COUNTIFS(Detalhamento!A9:A329,A10,Detalhamento!K9:K329,"Pendente")&gt;0,"Pendente",IF(COUNTIFS(Detalhamento!A9:A329,A10,Detalhamento!K9:K329,"OK")&gt;0,"OK","-")))</f>
        <v>-</v>
      </c>
      <c r="K10" s="117" t="str">
        <f>IF(COUNTIF(Detalhamento!A9:A329,A10)=0,"-",IF(COUNTIFS(Detalhamento!A9:A329,A10,Detalhamento!L9:L329,"Pendente")&gt;0,"Pendente",IF(COUNTIFS(Detalhamento!A9:A329,A10,Detalhamento!L9:L329,"OK")&gt;0,"OK","-")))</f>
        <v>-</v>
      </c>
      <c r="L10" s="117" t="str">
        <f>IF(COUNTIF(Detalhamento!A9:A329,A10)=0,"-",IF(COUNTIFS(Detalhamento!A9:A329,A10,Detalhamento!M9:M329,"Pendente")&gt;0,"Pendente",IF(COUNTIFS(Detalhamento!A9:A329,A10,Detalhamento!M9:M329,"OK")&gt;0,"OK","-")))</f>
        <v>-</v>
      </c>
      <c r="M10" s="117" t="str">
        <f>IF(COUNTIF(Detalhamento!A9:A329,A10)=0,"-",IF(COUNTIFS(Detalhamento!A9:A329,A10,Detalhamento!N9:N329,"Pendente")&gt;0,"Pendente",IF(COUNTIFS(Detalhamento!A9:A329,A10,Detalhamento!N9:N329,"OK")&gt;0,"OK","-")))</f>
        <v>-</v>
      </c>
      <c r="N10" s="118"/>
      <c r="O10" s="119" t="s">
        <v>230</v>
      </c>
      <c r="P10" s="15">
        <f>IF(A10="",0,COUNTIF(Detalhamento!A9:A329,A10))</f>
        <v>1</v>
      </c>
      <c r="Q10" s="15">
        <f>IF(A10="",0,COUNTIFS(Detalhamento!A9:A329,A10,Detalhamento!H9:H329,"Concluído"))</f>
        <v>0</v>
      </c>
      <c r="R10" s="120">
        <f t="shared" si="2"/>
        <v>0</v>
      </c>
    </row>
    <row r="11" ht="54.0" customHeight="1">
      <c r="A11" s="111" t="s">
        <v>46</v>
      </c>
      <c r="B11" s="112" t="s">
        <v>233</v>
      </c>
      <c r="C11" s="113" t="s">
        <v>40</v>
      </c>
      <c r="D11" s="114">
        <v>46050.0</v>
      </c>
      <c r="E11" s="114">
        <v>46080.0</v>
      </c>
      <c r="F11" s="115" t="str">
        <f t="shared" si="1"/>
        <v>Atrasado</v>
      </c>
      <c r="G11" s="115"/>
      <c r="H11" s="116"/>
      <c r="I11" s="117" t="str">
        <f>IF(COUNTIF(Detalhamento!A9:A329,A11)=0,"-",IF(COUNTIFS(Detalhamento!A9:A329,A11,Detalhamento!J9:J329,"Pendente")&gt;0,"Pendente",IF(COUNTIFS(Detalhamento!A9:A329,A11,Detalhamento!J9:J329,"OK")&gt;0,"OK","-")))</f>
        <v>-</v>
      </c>
      <c r="J11" s="117" t="str">
        <f>IF(COUNTIF(Detalhamento!A9:A329,A11)=0,"-",IF(COUNTIFS(Detalhamento!A9:A329,A11,Detalhamento!K9:K329,"Pendente")&gt;0,"Pendente",IF(COUNTIFS(Detalhamento!A9:A329,A11,Detalhamento!K9:K329,"OK")&gt;0,"OK","-")))</f>
        <v>-</v>
      </c>
      <c r="K11" s="117" t="str">
        <f>IF(COUNTIF(Detalhamento!A9:A329,A11)=0,"-",IF(COUNTIFS(Detalhamento!A9:A329,A11,Detalhamento!L9:L329,"Pendente")&gt;0,"Pendente",IF(COUNTIFS(Detalhamento!A9:A329,A11,Detalhamento!L9:L329,"OK")&gt;0,"OK","-")))</f>
        <v>-</v>
      </c>
      <c r="L11" s="117" t="str">
        <f>IF(COUNTIF(Detalhamento!A9:A329,A11)=0,"-",IF(COUNTIFS(Detalhamento!A9:A329,A11,Detalhamento!M9:M329,"Pendente")&gt;0,"Pendente",IF(COUNTIFS(Detalhamento!A9:A329,A11,Detalhamento!M9:M329,"OK")&gt;0,"OK","-")))</f>
        <v>-</v>
      </c>
      <c r="M11" s="117" t="str">
        <f>IF(COUNTIF(Detalhamento!A9:A329,A11)=0,"-",IF(COUNTIFS(Detalhamento!A9:A329,A11,Detalhamento!N9:N329,"Pendente")&gt;0,"Pendente",IF(COUNTIFS(Detalhamento!A9:A329,A11,Detalhamento!N9:N329,"OK")&gt;0,"OK","-")))</f>
        <v>-</v>
      </c>
      <c r="N11" s="118"/>
      <c r="O11" s="119" t="s">
        <v>230</v>
      </c>
      <c r="P11" s="15">
        <f>IF(A11="",0,COUNTIF(Detalhamento!A9:A329,A11))</f>
        <v>1</v>
      </c>
      <c r="Q11" s="15">
        <f>IF(A11="",0,COUNTIFS(Detalhamento!A9:A329,A11,Detalhamento!H9:H329,"Concluído"))</f>
        <v>0</v>
      </c>
      <c r="R11" s="120">
        <f t="shared" si="2"/>
        <v>0</v>
      </c>
    </row>
    <row r="12" ht="24.0" customHeight="1">
      <c r="A12" s="111" t="s">
        <v>49</v>
      </c>
      <c r="B12" s="112" t="s">
        <v>50</v>
      </c>
      <c r="C12" s="113" t="s">
        <v>40</v>
      </c>
      <c r="D12" s="114">
        <v>46047.0</v>
      </c>
      <c r="E12" s="114">
        <v>46408.0</v>
      </c>
      <c r="F12" s="115" t="str">
        <f t="shared" si="1"/>
        <v>Em andamento</v>
      </c>
      <c r="G12" s="115"/>
      <c r="H12" s="116"/>
      <c r="I12" s="117" t="str">
        <f>IF(COUNTIF(Detalhamento!A9:A329,A12)=0,"-",IF(COUNTIFS(Detalhamento!A9:A329,A12,Detalhamento!J9:J329,"Pendente")&gt;0,"Pendente",IF(COUNTIFS(Detalhamento!A9:A329,A12,Detalhamento!J9:J329,"OK")&gt;0,"OK","-")))</f>
        <v>-</v>
      </c>
      <c r="J12" s="117" t="str">
        <f>IF(COUNTIF(Detalhamento!A9:A329,A12)=0,"-",IF(COUNTIFS(Detalhamento!A9:A329,A12,Detalhamento!K9:K329,"Pendente")&gt;0,"Pendente",IF(COUNTIFS(Detalhamento!A9:A329,A12,Detalhamento!K9:K329,"OK")&gt;0,"OK","-")))</f>
        <v>-</v>
      </c>
      <c r="K12" s="117" t="str">
        <f>IF(COUNTIF(Detalhamento!A9:A329,A12)=0,"-",IF(COUNTIFS(Detalhamento!A9:A329,A12,Detalhamento!L9:L329,"Pendente")&gt;0,"Pendente",IF(COUNTIFS(Detalhamento!A9:A329,A12,Detalhamento!L9:L329,"OK")&gt;0,"OK","-")))</f>
        <v>-</v>
      </c>
      <c r="L12" s="117" t="str">
        <f>IF(COUNTIF(Detalhamento!A9:A329,A12)=0,"-",IF(COUNTIFS(Detalhamento!A9:A329,A12,Detalhamento!M9:M329,"Pendente")&gt;0,"Pendente",IF(COUNTIFS(Detalhamento!A9:A329,A12,Detalhamento!M9:M329,"OK")&gt;0,"OK","-")))</f>
        <v>-</v>
      </c>
      <c r="M12" s="117" t="str">
        <f>IF(COUNTIF(Detalhamento!A9:A329,A12)=0,"-",IF(COUNTIFS(Detalhamento!A9:A329,A12,Detalhamento!N9:N329,"Pendente")&gt;0,"Pendente",IF(COUNTIFS(Detalhamento!A9:A329,A12,Detalhamento!N9:N329,"OK")&gt;0,"OK","-")))</f>
        <v>-</v>
      </c>
      <c r="N12" s="118"/>
      <c r="O12" s="119" t="s">
        <v>230</v>
      </c>
      <c r="P12" s="15">
        <f>IF(A12="",0,COUNTIF(Detalhamento!A9:A329,A12))</f>
        <v>1</v>
      </c>
      <c r="Q12" s="15">
        <f>IF(A12="",0,COUNTIFS(Detalhamento!A9:A329,A12,Detalhamento!H9:H329,"Concluído"))</f>
        <v>0</v>
      </c>
      <c r="R12" s="120">
        <f t="shared" si="2"/>
        <v>0</v>
      </c>
    </row>
    <row r="13" ht="41.25" customHeight="1">
      <c r="A13" s="111" t="s">
        <v>52</v>
      </c>
      <c r="B13" s="112" t="s">
        <v>234</v>
      </c>
      <c r="C13" s="113" t="s">
        <v>77</v>
      </c>
      <c r="D13" s="114">
        <v>46117.0</v>
      </c>
      <c r="E13" s="114">
        <v>46166.0</v>
      </c>
      <c r="F13" s="115" t="str">
        <f t="shared" si="1"/>
        <v>Atrasado</v>
      </c>
      <c r="G13" s="115"/>
      <c r="H13" s="116"/>
      <c r="I13" s="117" t="str">
        <f>IF(COUNTIF(Detalhamento!A9:A329,A13)=0,"-",IF(COUNTIFS(Detalhamento!A9:A329,A13,Detalhamento!J9:J329,"Pendente")&gt;0,"Pendente",IF(COUNTIFS(Detalhamento!A9:A329,A13,Detalhamento!J9:J329,"OK")&gt;0,"OK","-")))</f>
        <v>-</v>
      </c>
      <c r="J13" s="117" t="str">
        <f>IF(COUNTIF(Detalhamento!A9:A329,A13)=0,"-",IF(COUNTIFS(Detalhamento!A9:A329,A13,Detalhamento!K9:K329,"Pendente")&gt;0,"Pendente",IF(COUNTIFS(Detalhamento!A9:A329,A13,Detalhamento!K9:K329,"OK")&gt;0,"OK","-")))</f>
        <v>-</v>
      </c>
      <c r="K13" s="117" t="str">
        <f>IF(COUNTIF(Detalhamento!A9:A329,A13)=0,"-",IF(COUNTIFS(Detalhamento!A9:A329,A13,Detalhamento!L9:L329,"Pendente")&gt;0,"Pendente",IF(COUNTIFS(Detalhamento!A9:A329,A13,Detalhamento!L9:L329,"OK")&gt;0,"OK","-")))</f>
        <v>-</v>
      </c>
      <c r="L13" s="117" t="str">
        <f>IF(COUNTIF(Detalhamento!A9:A329,A13)=0,"-",IF(COUNTIFS(Detalhamento!A9:A329,A13,Detalhamento!M9:M329,"Pendente")&gt;0,"Pendente",IF(COUNTIFS(Detalhamento!A9:A329,A13,Detalhamento!M9:M329,"OK")&gt;0,"OK","-")))</f>
        <v>-</v>
      </c>
      <c r="M13" s="117" t="str">
        <f>IF(COUNTIF(Detalhamento!A9:A329,A13)=0,"-",IF(COUNTIFS(Detalhamento!A9:A329,A13,Detalhamento!N9:N329,"Pendente")&gt;0,"Pendente",IF(COUNTIFS(Detalhamento!A9:A329,A13,Detalhamento!N9:N329,"OK")&gt;0,"OK","-")))</f>
        <v>-</v>
      </c>
      <c r="N13" s="118"/>
      <c r="O13" s="119" t="s">
        <v>230</v>
      </c>
      <c r="P13" s="15">
        <f>IF(A13="",0,COUNTIF(Detalhamento!A9:A329,A13))</f>
        <v>7</v>
      </c>
      <c r="Q13" s="15">
        <f>IF(A13="",0,COUNTIFS(Detalhamento!A9:A329,A13,Detalhamento!H9:H329,"Concluído"))</f>
        <v>0</v>
      </c>
      <c r="R13" s="120">
        <f t="shared" si="2"/>
        <v>0</v>
      </c>
    </row>
    <row r="14" ht="41.25" customHeight="1">
      <c r="A14" s="111" t="s">
        <v>55</v>
      </c>
      <c r="B14" s="112" t="s">
        <v>235</v>
      </c>
      <c r="C14" s="113" t="s">
        <v>77</v>
      </c>
      <c r="D14" s="114">
        <v>46117.0</v>
      </c>
      <c r="E14" s="114">
        <v>46240.0</v>
      </c>
      <c r="F14" s="115" t="str">
        <f t="shared" si="1"/>
        <v>Em andamento</v>
      </c>
      <c r="G14" s="115"/>
      <c r="H14" s="116"/>
      <c r="I14" s="117" t="str">
        <f>IF(COUNTIF(Detalhamento!A9:A329,A14)=0,"-",IF(COUNTIFS(Detalhamento!A9:A329,A14,Detalhamento!J9:J329,"Pendente")&gt;0,"Pendente",IF(COUNTIFS(Detalhamento!A9:A329,A14,Detalhamento!J9:J329,"OK")&gt;0,"OK","-")))</f>
        <v>-</v>
      </c>
      <c r="J14" s="117" t="str">
        <f>IF(COUNTIF(Detalhamento!A9:A329,A14)=0,"-",IF(COUNTIFS(Detalhamento!A9:A329,A14,Detalhamento!K9:K329,"Pendente")&gt;0,"Pendente",IF(COUNTIFS(Detalhamento!A9:A329,A14,Detalhamento!K9:K329,"OK")&gt;0,"OK","-")))</f>
        <v>-</v>
      </c>
      <c r="K14" s="117" t="str">
        <f>IF(COUNTIF(Detalhamento!A9:A329,A14)=0,"-",IF(COUNTIFS(Detalhamento!A9:A329,A14,Detalhamento!L9:L329,"Pendente")&gt;0,"Pendente",IF(COUNTIFS(Detalhamento!A9:A329,A14,Detalhamento!L9:L329,"OK")&gt;0,"OK","-")))</f>
        <v>-</v>
      </c>
      <c r="L14" s="117" t="str">
        <f>IF(COUNTIF(Detalhamento!A9:A329,A14)=0,"-",IF(COUNTIFS(Detalhamento!A9:A329,A14,Detalhamento!M9:M329,"Pendente")&gt;0,"Pendente",IF(COUNTIFS(Detalhamento!A9:A329,A14,Detalhamento!M9:M329,"OK")&gt;0,"OK","-")))</f>
        <v>-</v>
      </c>
      <c r="M14" s="117" t="str">
        <f>IF(COUNTIF(Detalhamento!A9:A329,A14)=0,"-",IF(COUNTIFS(Detalhamento!A9:A329,A14,Detalhamento!N9:N329,"Pendente")&gt;0,"Pendente",IF(COUNTIFS(Detalhamento!A9:A329,A14,Detalhamento!N9:N329,"OK")&gt;0,"OK","-")))</f>
        <v>-</v>
      </c>
      <c r="N14" s="118"/>
      <c r="O14" s="119" t="s">
        <v>230</v>
      </c>
      <c r="P14" s="15">
        <f>IF(A14="",0,COUNTIF(Detalhamento!A9:A329,A14))</f>
        <v>8</v>
      </c>
      <c r="Q14" s="15">
        <f>IF(A14="",0,COUNTIFS(Detalhamento!A9:A329,A14,Detalhamento!H9:H329,"Concluído"))</f>
        <v>0</v>
      </c>
      <c r="R14" s="120">
        <f t="shared" si="2"/>
        <v>0</v>
      </c>
    </row>
    <row r="15" ht="24.0" customHeight="1">
      <c r="A15" s="111" t="s">
        <v>58</v>
      </c>
      <c r="B15" s="112" t="s">
        <v>59</v>
      </c>
      <c r="C15" s="113" t="s">
        <v>77</v>
      </c>
      <c r="D15" s="114">
        <v>46117.0</v>
      </c>
      <c r="E15" s="114">
        <v>46166.0</v>
      </c>
      <c r="F15" s="115" t="str">
        <f t="shared" si="1"/>
        <v>Atrasado</v>
      </c>
      <c r="G15" s="115"/>
      <c r="H15" s="116"/>
      <c r="I15" s="117" t="str">
        <f>IF(COUNTIF(Detalhamento!A9:A329,A15)=0,"-",IF(COUNTIFS(Detalhamento!A9:A329,A15,Detalhamento!J9:J329,"Pendente")&gt;0,"Pendente",IF(COUNTIFS(Detalhamento!A9:A329,A15,Detalhamento!J9:J329,"OK")&gt;0,"OK","-")))</f>
        <v>-</v>
      </c>
      <c r="J15" s="117" t="str">
        <f>IF(COUNTIF(Detalhamento!A9:A329,A15)=0,"-",IF(COUNTIFS(Detalhamento!A9:A329,A15,Detalhamento!K9:K329,"Pendente")&gt;0,"Pendente",IF(COUNTIFS(Detalhamento!A9:A329,A15,Detalhamento!K9:K329,"OK")&gt;0,"OK","-")))</f>
        <v>-</v>
      </c>
      <c r="K15" s="117" t="str">
        <f>IF(COUNTIF(Detalhamento!A9:A329,A15)=0,"-",IF(COUNTIFS(Detalhamento!A9:A329,A15,Detalhamento!L9:L329,"Pendente")&gt;0,"Pendente",IF(COUNTIFS(Detalhamento!A9:A329,A15,Detalhamento!L9:L329,"OK")&gt;0,"OK","-")))</f>
        <v>-</v>
      </c>
      <c r="L15" s="117" t="str">
        <f>IF(COUNTIF(Detalhamento!A9:A329,A15)=0,"-",IF(COUNTIFS(Detalhamento!A9:A329,A15,Detalhamento!M9:M329,"Pendente")&gt;0,"Pendente",IF(COUNTIFS(Detalhamento!A9:A329,A15,Detalhamento!M9:M329,"OK")&gt;0,"OK","-")))</f>
        <v>-</v>
      </c>
      <c r="M15" s="117" t="str">
        <f>IF(COUNTIF(Detalhamento!A9:A329,A15)=0,"-",IF(COUNTIFS(Detalhamento!A9:A329,A15,Detalhamento!N9:N329,"Pendente")&gt;0,"Pendente",IF(COUNTIFS(Detalhamento!A9:A329,A15,Detalhamento!N9:N329,"OK")&gt;0,"OK","-")))</f>
        <v>-</v>
      </c>
      <c r="N15" s="118"/>
      <c r="O15" s="119" t="s">
        <v>230</v>
      </c>
      <c r="P15" s="15">
        <f>IF(A15="",0,COUNTIF(Detalhamento!A9:A329,A15))</f>
        <v>5</v>
      </c>
      <c r="Q15" s="15">
        <f>IF(A15="",0,COUNTIFS(Detalhamento!A9:A329,A15,Detalhamento!H9:H329,"Concluído"))</f>
        <v>0</v>
      </c>
      <c r="R15" s="120">
        <f t="shared" si="2"/>
        <v>0</v>
      </c>
    </row>
    <row r="16" ht="24.0" customHeight="1">
      <c r="A16" s="111" t="s">
        <v>61</v>
      </c>
      <c r="B16" s="112" t="s">
        <v>62</v>
      </c>
      <c r="C16" s="113" t="s">
        <v>77</v>
      </c>
      <c r="D16" s="114">
        <v>46117.0</v>
      </c>
      <c r="E16" s="114">
        <v>46166.0</v>
      </c>
      <c r="F16" s="115" t="str">
        <f t="shared" si="1"/>
        <v>Atrasado</v>
      </c>
      <c r="G16" s="115"/>
      <c r="H16" s="116"/>
      <c r="I16" s="117" t="str">
        <f>IF(COUNTIF(Detalhamento!A9:A329,A16)=0,"-",IF(COUNTIFS(Detalhamento!A9:A329,A16,Detalhamento!J9:J329,"Pendente")&gt;0,"Pendente",IF(COUNTIFS(Detalhamento!A9:A329,A16,Detalhamento!J9:J329,"OK")&gt;0,"OK","-")))</f>
        <v>-</v>
      </c>
      <c r="J16" s="117" t="str">
        <f>IF(COUNTIF(Detalhamento!A9:A329,A16)=0,"-",IF(COUNTIFS(Detalhamento!A9:A329,A16,Detalhamento!K9:K329,"Pendente")&gt;0,"Pendente",IF(COUNTIFS(Detalhamento!A9:A329,A16,Detalhamento!K9:K329,"OK")&gt;0,"OK","-")))</f>
        <v>-</v>
      </c>
      <c r="K16" s="117" t="str">
        <f>IF(COUNTIF(Detalhamento!A9:A329,A16)=0,"-",IF(COUNTIFS(Detalhamento!A9:A329,A16,Detalhamento!L9:L329,"Pendente")&gt;0,"Pendente",IF(COUNTIFS(Detalhamento!A9:A329,A16,Detalhamento!L9:L329,"OK")&gt;0,"OK","-")))</f>
        <v>-</v>
      </c>
      <c r="L16" s="117" t="str">
        <f>IF(COUNTIF(Detalhamento!A9:A329,A16)=0,"-",IF(COUNTIFS(Detalhamento!A9:A329,A16,Detalhamento!M9:M329,"Pendente")&gt;0,"Pendente",IF(COUNTIFS(Detalhamento!A9:A329,A16,Detalhamento!M9:M329,"OK")&gt;0,"OK","-")))</f>
        <v>-</v>
      </c>
      <c r="M16" s="117" t="str">
        <f>IF(COUNTIF(Detalhamento!A9:A329,A16)=0,"-",IF(COUNTIFS(Detalhamento!A9:A329,A16,Detalhamento!N9:N329,"Pendente")&gt;0,"Pendente",IF(COUNTIFS(Detalhamento!A9:A329,A16,Detalhamento!N9:N329,"OK")&gt;0,"OK","-")))</f>
        <v>-</v>
      </c>
      <c r="N16" s="118"/>
      <c r="O16" s="119" t="s">
        <v>230</v>
      </c>
      <c r="P16" s="15">
        <f>IF(A16="",0,COUNTIF(Detalhamento!A9:A329,A16))</f>
        <v>5</v>
      </c>
      <c r="Q16" s="15">
        <f>IF(A16="",0,COUNTIFS(Detalhamento!A9:A329,A16,Detalhamento!H9:H329,"Concluído"))</f>
        <v>0</v>
      </c>
      <c r="R16" s="120">
        <f t="shared" si="2"/>
        <v>0</v>
      </c>
    </row>
    <row r="17" ht="24.0" customHeight="1">
      <c r="A17" s="111" t="s">
        <v>64</v>
      </c>
      <c r="B17" s="112" t="s">
        <v>59</v>
      </c>
      <c r="C17" s="113" t="s">
        <v>77</v>
      </c>
      <c r="D17" s="114">
        <v>46169.0</v>
      </c>
      <c r="E17" s="114">
        <v>46243.0</v>
      </c>
      <c r="F17" s="115" t="str">
        <f t="shared" si="1"/>
        <v>Em andamento</v>
      </c>
      <c r="G17" s="115"/>
      <c r="H17" s="116"/>
      <c r="I17" s="117" t="str">
        <f>IF(COUNTIF(Detalhamento!A9:A329,A17)=0,"-",IF(COUNTIFS(Detalhamento!A9:A329,A17,Detalhamento!J9:J329,"Pendente")&gt;0,"Pendente",IF(COUNTIFS(Detalhamento!A9:A329,A17,Detalhamento!J9:J329,"OK")&gt;0,"OK","-")))</f>
        <v>-</v>
      </c>
      <c r="J17" s="117" t="str">
        <f>IF(COUNTIF(Detalhamento!A9:A329,A17)=0,"-",IF(COUNTIFS(Detalhamento!A9:A329,A17,Detalhamento!K9:K329,"Pendente")&gt;0,"Pendente",IF(COUNTIFS(Detalhamento!A9:A329,A17,Detalhamento!K9:K329,"OK")&gt;0,"OK","-")))</f>
        <v>-</v>
      </c>
      <c r="K17" s="117" t="str">
        <f>IF(COUNTIF(Detalhamento!A9:A329,A17)=0,"-",IF(COUNTIFS(Detalhamento!A9:A329,A17,Detalhamento!L9:L329,"Pendente")&gt;0,"Pendente",IF(COUNTIFS(Detalhamento!A9:A329,A17,Detalhamento!L9:L329,"OK")&gt;0,"OK","-")))</f>
        <v>-</v>
      </c>
      <c r="L17" s="117" t="str">
        <f>IF(COUNTIF(Detalhamento!A9:A329,A17)=0,"-",IF(COUNTIFS(Detalhamento!A9:A329,A17,Detalhamento!M9:M329,"Pendente")&gt;0,"Pendente",IF(COUNTIFS(Detalhamento!A9:A329,A17,Detalhamento!M9:M329,"OK")&gt;0,"OK","-")))</f>
        <v>-</v>
      </c>
      <c r="M17" s="117" t="str">
        <f>IF(COUNTIF(Detalhamento!A9:A329,A17)=0,"-",IF(COUNTIFS(Detalhamento!A9:A329,A17,Detalhamento!N9:N329,"Pendente")&gt;0,"Pendente",IF(COUNTIFS(Detalhamento!A9:A329,A17,Detalhamento!N9:N329,"OK")&gt;0,"OK","-")))</f>
        <v>-</v>
      </c>
      <c r="N17" s="118"/>
      <c r="O17" s="119" t="s">
        <v>230</v>
      </c>
      <c r="P17" s="15">
        <f>IF(A17="",0,COUNTIF(Detalhamento!A9:A329,A17))</f>
        <v>5</v>
      </c>
      <c r="Q17" s="15">
        <f>IF(A17="",0,COUNTIFS(Detalhamento!A9:A329,A17,Detalhamento!H9:H329,"Concluído"))</f>
        <v>0</v>
      </c>
      <c r="R17" s="120">
        <f t="shared" si="2"/>
        <v>0</v>
      </c>
    </row>
    <row r="18" ht="24.0" customHeight="1">
      <c r="A18" s="111" t="s">
        <v>66</v>
      </c>
      <c r="B18" s="112" t="s">
        <v>67</v>
      </c>
      <c r="C18" s="113" t="s">
        <v>77</v>
      </c>
      <c r="D18" s="114">
        <v>46169.0</v>
      </c>
      <c r="E18" s="114">
        <v>46243.0</v>
      </c>
      <c r="F18" s="115" t="str">
        <f t="shared" si="1"/>
        <v>Em andamento</v>
      </c>
      <c r="G18" s="115"/>
      <c r="H18" s="116"/>
      <c r="I18" s="117" t="str">
        <f>IF(COUNTIF(Detalhamento!A9:A329,A18)=0,"-",IF(COUNTIFS(Detalhamento!A9:A329,A18,Detalhamento!J9:J329,"Pendente")&gt;0,"Pendente",IF(COUNTIFS(Detalhamento!A9:A329,A18,Detalhamento!J9:J329,"OK")&gt;0,"OK","-")))</f>
        <v>-</v>
      </c>
      <c r="J18" s="117" t="str">
        <f>IF(COUNTIF(Detalhamento!A9:A329,A18)=0,"-",IF(COUNTIFS(Detalhamento!A9:A329,A18,Detalhamento!K9:K329,"Pendente")&gt;0,"Pendente",IF(COUNTIFS(Detalhamento!A9:A329,A18,Detalhamento!K9:K329,"OK")&gt;0,"OK","-")))</f>
        <v>-</v>
      </c>
      <c r="K18" s="117" t="str">
        <f>IF(COUNTIF(Detalhamento!A9:A329,A18)=0,"-",IF(COUNTIFS(Detalhamento!A9:A329,A18,Detalhamento!L9:L329,"Pendente")&gt;0,"Pendente",IF(COUNTIFS(Detalhamento!A9:A329,A18,Detalhamento!L9:L329,"OK")&gt;0,"OK","-")))</f>
        <v>-</v>
      </c>
      <c r="L18" s="117" t="str">
        <f>IF(COUNTIF(Detalhamento!A9:A329,A18)=0,"-",IF(COUNTIFS(Detalhamento!A9:A329,A18,Detalhamento!M9:M329,"Pendente")&gt;0,"Pendente",IF(COUNTIFS(Detalhamento!A9:A329,A18,Detalhamento!M9:M329,"OK")&gt;0,"OK","-")))</f>
        <v>-</v>
      </c>
      <c r="M18" s="117" t="str">
        <f>IF(COUNTIF(Detalhamento!A9:A329,A18)=0,"-",IF(COUNTIFS(Detalhamento!A9:A329,A18,Detalhamento!N9:N329,"Pendente")&gt;0,"Pendente",IF(COUNTIFS(Detalhamento!A9:A329,A18,Detalhamento!N9:N329,"OK")&gt;0,"OK","-")))</f>
        <v>-</v>
      </c>
      <c r="N18" s="118"/>
      <c r="O18" s="119" t="s">
        <v>230</v>
      </c>
      <c r="P18" s="15">
        <f>IF(A18="",0,COUNTIF(Detalhamento!A9:A329,A18))</f>
        <v>3</v>
      </c>
      <c r="Q18" s="15">
        <f>IF(A18="",0,COUNTIFS(Detalhamento!A9:A329,A18,Detalhamento!H9:H329,"Concluído"))</f>
        <v>0</v>
      </c>
      <c r="R18" s="120">
        <f t="shared" si="2"/>
        <v>0</v>
      </c>
    </row>
    <row r="19" ht="28.5" customHeight="1">
      <c r="A19" s="111" t="s">
        <v>69</v>
      </c>
      <c r="B19" s="112" t="s">
        <v>236</v>
      </c>
      <c r="C19" s="113" t="s">
        <v>77</v>
      </c>
      <c r="D19" s="114">
        <v>46145.0</v>
      </c>
      <c r="E19" s="114">
        <v>46191.0</v>
      </c>
      <c r="F19" s="115" t="str">
        <f t="shared" si="1"/>
        <v>Atrasado</v>
      </c>
      <c r="G19" s="115"/>
      <c r="H19" s="116"/>
      <c r="I19" s="117" t="str">
        <f>IF(COUNTIF(Detalhamento!A9:A329,A19)=0,"-",IF(COUNTIFS(Detalhamento!A9:A329,A19,Detalhamento!J9:J329,"Pendente")&gt;0,"Pendente",IF(COUNTIFS(Detalhamento!A9:A329,A19,Detalhamento!J9:J329,"OK")&gt;0,"OK","-")))</f>
        <v>-</v>
      </c>
      <c r="J19" s="117" t="str">
        <f>IF(COUNTIF(Detalhamento!A9:A329,A19)=0,"-",IF(COUNTIFS(Detalhamento!A9:A329,A19,Detalhamento!K9:K329,"Pendente")&gt;0,"Pendente",IF(COUNTIFS(Detalhamento!A9:A329,A19,Detalhamento!K9:K329,"OK")&gt;0,"OK","-")))</f>
        <v>-</v>
      </c>
      <c r="K19" s="117" t="str">
        <f>IF(COUNTIF(Detalhamento!A9:A329,A19)=0,"-",IF(COUNTIFS(Detalhamento!A9:A329,A19,Detalhamento!L9:L329,"Pendente")&gt;0,"Pendente",IF(COUNTIFS(Detalhamento!A9:A329,A19,Detalhamento!L9:L329,"OK")&gt;0,"OK","-")))</f>
        <v>-</v>
      </c>
      <c r="L19" s="117" t="str">
        <f>IF(COUNTIF(Detalhamento!A9:A329,A19)=0,"-",IF(COUNTIFS(Detalhamento!A9:A329,A19,Detalhamento!M9:M329,"Pendente")&gt;0,"Pendente",IF(COUNTIFS(Detalhamento!A9:A329,A19,Detalhamento!M9:M329,"OK")&gt;0,"OK","-")))</f>
        <v>-</v>
      </c>
      <c r="M19" s="117" t="str">
        <f>IF(COUNTIF(Detalhamento!A9:A329,A19)=0,"-",IF(COUNTIFS(Detalhamento!A9:A329,A19,Detalhamento!N9:N329,"Pendente")&gt;0,"Pendente",IF(COUNTIFS(Detalhamento!A9:A329,A19,Detalhamento!N9:N329,"OK")&gt;0,"OK","-")))</f>
        <v>-</v>
      </c>
      <c r="N19" s="118"/>
      <c r="O19" s="119" t="s">
        <v>230</v>
      </c>
      <c r="P19" s="15">
        <f>IF(A19="",0,COUNTIF(Detalhamento!A9:A329,A19))</f>
        <v>7</v>
      </c>
      <c r="Q19" s="15">
        <f>IF(A19="",0,COUNTIFS(Detalhamento!A9:A329,A19,Detalhamento!H9:H329,"Concluído"))</f>
        <v>0</v>
      </c>
      <c r="R19" s="120">
        <f t="shared" si="2"/>
        <v>0</v>
      </c>
    </row>
    <row r="20" ht="28.5" customHeight="1">
      <c r="A20" s="111" t="s">
        <v>72</v>
      </c>
      <c r="B20" s="112" t="s">
        <v>73</v>
      </c>
      <c r="C20" s="113" t="s">
        <v>77</v>
      </c>
      <c r="D20" s="114">
        <v>46243.0</v>
      </c>
      <c r="E20" s="114">
        <v>46261.0</v>
      </c>
      <c r="F20" s="115" t="str">
        <f t="shared" si="1"/>
        <v>A iniciar</v>
      </c>
      <c r="G20" s="115"/>
      <c r="H20" s="116"/>
      <c r="I20" s="117" t="str">
        <f>IF(COUNTIF(Detalhamento!A9:A329,A20)=0,"-",IF(COUNTIFS(Detalhamento!A9:A329,A20,Detalhamento!J9:J329,"Pendente")&gt;0,"Pendente",IF(COUNTIFS(Detalhamento!A9:A329,A20,Detalhamento!J9:J329,"OK")&gt;0,"OK","-")))</f>
        <v>-</v>
      </c>
      <c r="J20" s="117" t="str">
        <f>IF(COUNTIF(Detalhamento!A9:A329,A20)=0,"-",IF(COUNTIFS(Detalhamento!A9:A329,A20,Detalhamento!K9:K329,"Pendente")&gt;0,"Pendente",IF(COUNTIFS(Detalhamento!A9:A329,A20,Detalhamento!K9:K329,"OK")&gt;0,"OK","-")))</f>
        <v>-</v>
      </c>
      <c r="K20" s="117" t="str">
        <f>IF(COUNTIF(Detalhamento!A9:A329,A20)=0,"-",IF(COUNTIFS(Detalhamento!A9:A329,A20,Detalhamento!L9:L329,"Pendente")&gt;0,"Pendente",IF(COUNTIFS(Detalhamento!A9:A329,A20,Detalhamento!L9:L329,"OK")&gt;0,"OK","-")))</f>
        <v>-</v>
      </c>
      <c r="L20" s="117" t="str">
        <f>IF(COUNTIF(Detalhamento!A9:A329,A20)=0,"-",IF(COUNTIFS(Detalhamento!A9:A329,A20,Detalhamento!M9:M329,"Pendente")&gt;0,"Pendente",IF(COUNTIFS(Detalhamento!A9:A329,A20,Detalhamento!M9:M329,"OK")&gt;0,"OK","-")))</f>
        <v>-</v>
      </c>
      <c r="M20" s="117" t="str">
        <f>IF(COUNTIF(Detalhamento!A9:A329,A20)=0,"-",IF(COUNTIFS(Detalhamento!A9:A329,A20,Detalhamento!N9:N329,"Pendente")&gt;0,"Pendente",IF(COUNTIFS(Detalhamento!A9:A329,A20,Detalhamento!N9:N329,"OK")&gt;0,"OK","-")))</f>
        <v>-</v>
      </c>
      <c r="N20" s="118"/>
      <c r="O20" s="119" t="s">
        <v>230</v>
      </c>
      <c r="P20" s="15">
        <f>IF(A20="",0,COUNTIF(Detalhamento!A9:A329,A20))</f>
        <v>5</v>
      </c>
      <c r="Q20" s="15">
        <f>IF(A20="",0,COUNTIFS(Detalhamento!A9:A329,A20,Detalhamento!H9:H329,"Concluído"))</f>
        <v>0</v>
      </c>
      <c r="R20" s="120">
        <f t="shared" si="2"/>
        <v>0</v>
      </c>
    </row>
    <row r="21" ht="28.5" customHeight="1">
      <c r="A21" s="111" t="s">
        <v>75</v>
      </c>
      <c r="B21" s="112" t="s">
        <v>237</v>
      </c>
      <c r="C21" s="113" t="s">
        <v>77</v>
      </c>
      <c r="D21" s="114">
        <v>46278.0</v>
      </c>
      <c r="E21" s="114">
        <v>46289.0</v>
      </c>
      <c r="F21" s="115" t="str">
        <f t="shared" si="1"/>
        <v>A iniciar</v>
      </c>
      <c r="G21" s="115"/>
      <c r="H21" s="116"/>
      <c r="I21" s="117" t="str">
        <f>IF(COUNTIF(Detalhamento!A9:A329,A21)=0,"-",IF(COUNTIFS(Detalhamento!A9:A329,A21,Detalhamento!J9:J329,"Pendente")&gt;0,"Pendente",IF(COUNTIFS(Detalhamento!A9:A329,A21,Detalhamento!J9:J329,"OK")&gt;0,"OK","-")))</f>
        <v>-</v>
      </c>
      <c r="J21" s="117" t="str">
        <f>IF(COUNTIF(Detalhamento!A9:A329,A21)=0,"-",IF(COUNTIFS(Detalhamento!A9:A329,A21,Detalhamento!K9:K329,"Pendente")&gt;0,"Pendente",IF(COUNTIFS(Detalhamento!A9:A329,A21,Detalhamento!K9:K329,"OK")&gt;0,"OK","-")))</f>
        <v>-</v>
      </c>
      <c r="K21" s="117" t="str">
        <f>IF(COUNTIF(Detalhamento!A9:A329,A21)=0,"-",IF(COUNTIFS(Detalhamento!A9:A329,A21,Detalhamento!L9:L329,"Pendente")&gt;0,"Pendente",IF(COUNTIFS(Detalhamento!A9:A329,A21,Detalhamento!L9:L329,"OK")&gt;0,"OK","-")))</f>
        <v>-</v>
      </c>
      <c r="L21" s="117" t="str">
        <f>IF(COUNTIF(Detalhamento!A9:A329,A21)=0,"-",IF(COUNTIFS(Detalhamento!A9:A329,A21,Detalhamento!M9:M329,"Pendente")&gt;0,"Pendente",IF(COUNTIFS(Detalhamento!A9:A329,A21,Detalhamento!M9:M329,"OK")&gt;0,"OK","-")))</f>
        <v>-</v>
      </c>
      <c r="M21" s="117" t="str">
        <f>IF(COUNTIF(Detalhamento!A9:A329,A21)=0,"-",IF(COUNTIFS(Detalhamento!A9:A329,A21,Detalhamento!N9:N329,"Pendente")&gt;0,"Pendente",IF(COUNTIFS(Detalhamento!A9:A329,A21,Detalhamento!N9:N329,"OK")&gt;0,"OK","-")))</f>
        <v>-</v>
      </c>
      <c r="N21" s="118"/>
      <c r="O21" s="119" t="s">
        <v>230</v>
      </c>
      <c r="P21" s="15">
        <f>IF(A21="",0,COUNTIF(Detalhamento!A9:A329,A21))</f>
        <v>6</v>
      </c>
      <c r="Q21" s="15">
        <f>IF(A21="",0,COUNTIFS(Detalhamento!A9:A329,A21,Detalhamento!H9:H329,"Concluído"))</f>
        <v>0</v>
      </c>
      <c r="R21" s="120">
        <f t="shared" si="2"/>
        <v>0</v>
      </c>
    </row>
    <row r="22" ht="24.0" customHeight="1">
      <c r="A22" s="111" t="s">
        <v>78</v>
      </c>
      <c r="B22" s="112" t="s">
        <v>79</v>
      </c>
      <c r="C22" s="113" t="s">
        <v>77</v>
      </c>
      <c r="D22" s="114">
        <v>46145.0</v>
      </c>
      <c r="E22" s="114">
        <v>46345.0</v>
      </c>
      <c r="F22" s="115" t="str">
        <f t="shared" si="1"/>
        <v>Em andamento</v>
      </c>
      <c r="G22" s="115"/>
      <c r="H22" s="116"/>
      <c r="I22" s="117" t="str">
        <f>IF(COUNTIF(Detalhamento!A9:A329,A22)=0,"-",IF(COUNTIFS(Detalhamento!A9:A329,A22,Detalhamento!J9:J329,"Pendente")&gt;0,"Pendente",IF(COUNTIFS(Detalhamento!A9:A329,A22,Detalhamento!J9:J329,"OK")&gt;0,"OK","-")))</f>
        <v>-</v>
      </c>
      <c r="J22" s="117" t="str">
        <f>IF(COUNTIF(Detalhamento!A9:A329,A22)=0,"-",IF(COUNTIFS(Detalhamento!A9:A329,A22,Detalhamento!K9:K329,"Pendente")&gt;0,"Pendente",IF(COUNTIFS(Detalhamento!A9:A329,A22,Detalhamento!K9:K329,"OK")&gt;0,"OK","-")))</f>
        <v>-</v>
      </c>
      <c r="K22" s="117" t="str">
        <f>IF(COUNTIF(Detalhamento!A9:A329,A22)=0,"-",IF(COUNTIFS(Detalhamento!A9:A329,A22,Detalhamento!L9:L329,"Pendente")&gt;0,"Pendente",IF(COUNTIFS(Detalhamento!A9:A329,A22,Detalhamento!L9:L329,"OK")&gt;0,"OK","-")))</f>
        <v>-</v>
      </c>
      <c r="L22" s="117" t="str">
        <f>IF(COUNTIF(Detalhamento!A9:A329,A22)=0,"-",IF(COUNTIFS(Detalhamento!A9:A329,A22,Detalhamento!M9:M329,"Pendente")&gt;0,"Pendente",IF(COUNTIFS(Detalhamento!A9:A329,A22,Detalhamento!M9:M329,"OK")&gt;0,"OK","-")))</f>
        <v>-</v>
      </c>
      <c r="M22" s="117" t="str">
        <f>IF(COUNTIF(Detalhamento!A9:A329,A22)=0,"-",IF(COUNTIFS(Detalhamento!A9:A329,A22,Detalhamento!N9:N329,"Pendente")&gt;0,"Pendente",IF(COUNTIFS(Detalhamento!A9:A329,A22,Detalhamento!N9:N329,"OK")&gt;0,"OK","-")))</f>
        <v>-</v>
      </c>
      <c r="N22" s="118"/>
      <c r="O22" s="119" t="s">
        <v>230</v>
      </c>
      <c r="P22" s="15">
        <f>IF(A22="",0,COUNTIF(Detalhamento!A9:A329,A22))</f>
        <v>5</v>
      </c>
      <c r="Q22" s="15">
        <f>IF(A22="",0,COUNTIFS(Detalhamento!A9:A329,A22,Detalhamento!H9:H329,"Concluído"))</f>
        <v>0</v>
      </c>
      <c r="R22" s="120">
        <f t="shared" si="2"/>
        <v>0</v>
      </c>
    </row>
    <row r="23" ht="28.5" customHeight="1">
      <c r="A23" s="111" t="s">
        <v>81</v>
      </c>
      <c r="B23" s="112" t="s">
        <v>238</v>
      </c>
      <c r="C23" s="113" t="s">
        <v>77</v>
      </c>
      <c r="D23" s="114">
        <v>46251.0</v>
      </c>
      <c r="E23" s="114">
        <v>46268.0</v>
      </c>
      <c r="F23" s="115" t="str">
        <f t="shared" si="1"/>
        <v>A iniciar</v>
      </c>
      <c r="G23" s="115"/>
      <c r="H23" s="116"/>
      <c r="I23" s="117" t="str">
        <f>IF(COUNTIF(Detalhamento!A9:A329,A23)=0,"-",IF(COUNTIFS(Detalhamento!A9:A329,A23,Detalhamento!J9:J329,"Pendente")&gt;0,"Pendente",IF(COUNTIFS(Detalhamento!A9:A329,A23,Detalhamento!J9:J329,"OK")&gt;0,"OK","-")))</f>
        <v>-</v>
      </c>
      <c r="J23" s="117" t="str">
        <f>IF(COUNTIF(Detalhamento!A9:A329,A23)=0,"-",IF(COUNTIFS(Detalhamento!A9:A329,A23,Detalhamento!K9:K329,"Pendente")&gt;0,"Pendente",IF(COUNTIFS(Detalhamento!A9:A329,A23,Detalhamento!K9:K329,"OK")&gt;0,"OK","-")))</f>
        <v>-</v>
      </c>
      <c r="K23" s="117" t="str">
        <f>IF(COUNTIF(Detalhamento!A9:A329,A23)=0,"-",IF(COUNTIFS(Detalhamento!A9:A329,A23,Detalhamento!L9:L329,"Pendente")&gt;0,"Pendente",IF(COUNTIFS(Detalhamento!A9:A329,A23,Detalhamento!L9:L329,"OK")&gt;0,"OK","-")))</f>
        <v>-</v>
      </c>
      <c r="L23" s="117" t="str">
        <f>IF(COUNTIF(Detalhamento!A9:A329,A23)=0,"-",IF(COUNTIFS(Detalhamento!A9:A329,A23,Detalhamento!M9:M329,"Pendente")&gt;0,"Pendente",IF(COUNTIFS(Detalhamento!A9:A329,A23,Detalhamento!M9:M329,"OK")&gt;0,"OK","-")))</f>
        <v>-</v>
      </c>
      <c r="M23" s="117" t="str">
        <f>IF(COUNTIF(Detalhamento!A9:A329,A23)=0,"-",IF(COUNTIFS(Detalhamento!A9:A329,A23,Detalhamento!N9:N329,"Pendente")&gt;0,"Pendente",IF(COUNTIFS(Detalhamento!A9:A329,A23,Detalhamento!N9:N329,"OK")&gt;0,"OK","-")))</f>
        <v>-</v>
      </c>
      <c r="N23" s="118"/>
      <c r="O23" s="119" t="s">
        <v>230</v>
      </c>
      <c r="P23" s="15">
        <f>IF(A23="",0,COUNTIF(Detalhamento!A9:A329,A23))</f>
        <v>4</v>
      </c>
      <c r="Q23" s="15">
        <f>IF(A23="",0,COUNTIFS(Detalhamento!A9:A329,A23,Detalhamento!H9:H329,"Concluído"))</f>
        <v>0</v>
      </c>
      <c r="R23" s="120">
        <f t="shared" si="2"/>
        <v>0</v>
      </c>
    </row>
    <row r="24" ht="24.0" customHeight="1">
      <c r="A24" s="111" t="s">
        <v>83</v>
      </c>
      <c r="B24" s="112" t="s">
        <v>84</v>
      </c>
      <c r="C24" s="113" t="s">
        <v>77</v>
      </c>
      <c r="D24" s="114">
        <v>46254.0</v>
      </c>
      <c r="E24" s="114">
        <v>46275.0</v>
      </c>
      <c r="F24" s="115" t="str">
        <f t="shared" si="1"/>
        <v>A iniciar</v>
      </c>
      <c r="G24" s="115"/>
      <c r="H24" s="116"/>
      <c r="I24" s="117" t="str">
        <f>IF(COUNTIF(Detalhamento!A9:A329,A24)=0,"-",IF(COUNTIFS(Detalhamento!A9:A329,A24,Detalhamento!J9:J329,"Pendente")&gt;0,"Pendente",IF(COUNTIFS(Detalhamento!A9:A329,A24,Detalhamento!J9:J329,"OK")&gt;0,"OK","-")))</f>
        <v>-</v>
      </c>
      <c r="J24" s="117" t="str">
        <f>IF(COUNTIF(Detalhamento!A9:A329,A24)=0,"-",IF(COUNTIFS(Detalhamento!A9:A329,A24,Detalhamento!K9:K329,"Pendente")&gt;0,"Pendente",IF(COUNTIFS(Detalhamento!A9:A329,A24,Detalhamento!K9:K329,"OK")&gt;0,"OK","-")))</f>
        <v>-</v>
      </c>
      <c r="K24" s="117" t="str">
        <f>IF(COUNTIF(Detalhamento!A9:A329,A24)=0,"-",IF(COUNTIFS(Detalhamento!A9:A329,A24,Detalhamento!L9:L329,"Pendente")&gt;0,"Pendente",IF(COUNTIFS(Detalhamento!A9:A329,A24,Detalhamento!L9:L329,"OK")&gt;0,"OK","-")))</f>
        <v>-</v>
      </c>
      <c r="L24" s="117" t="str">
        <f>IF(COUNTIF(Detalhamento!A9:A329,A24)=0,"-",IF(COUNTIFS(Detalhamento!A9:A329,A24,Detalhamento!M9:M329,"Pendente")&gt;0,"Pendente",IF(COUNTIFS(Detalhamento!A9:A329,A24,Detalhamento!M9:M329,"OK")&gt;0,"OK","-")))</f>
        <v>-</v>
      </c>
      <c r="M24" s="117" t="str">
        <f>IF(COUNTIF(Detalhamento!A9:A329,A24)=0,"-",IF(COUNTIFS(Detalhamento!A9:A329,A24,Detalhamento!N9:N329,"Pendente")&gt;0,"Pendente",IF(COUNTIFS(Detalhamento!A9:A329,A24,Detalhamento!N9:N329,"OK")&gt;0,"OK","-")))</f>
        <v>-</v>
      </c>
      <c r="N24" s="118"/>
      <c r="O24" s="119" t="s">
        <v>230</v>
      </c>
      <c r="P24" s="15">
        <f>IF(A24="",0,COUNTIF(Detalhamento!A9:A329,A24))</f>
        <v>6</v>
      </c>
      <c r="Q24" s="15">
        <f>IF(A24="",0,COUNTIFS(Detalhamento!A9:A329,A24,Detalhamento!H9:H329,"Concluído"))</f>
        <v>0</v>
      </c>
      <c r="R24" s="120">
        <f t="shared" si="2"/>
        <v>0</v>
      </c>
    </row>
    <row r="25" ht="28.5" customHeight="1">
      <c r="A25" s="111" t="s">
        <v>239</v>
      </c>
      <c r="B25" s="112" t="s">
        <v>240</v>
      </c>
      <c r="C25" s="113" t="s">
        <v>77</v>
      </c>
      <c r="D25" s="114">
        <v>46278.0</v>
      </c>
      <c r="E25" s="114">
        <v>46282.0</v>
      </c>
      <c r="F25" s="115" t="str">
        <f t="shared" si="1"/>
        <v>A iniciar</v>
      </c>
      <c r="G25" s="115"/>
      <c r="H25" s="116"/>
      <c r="I25" s="117" t="str">
        <f>IF(COUNTIF(Detalhamento!A9:A329,A25)=0,"-",IF(COUNTIFS(Detalhamento!A9:A329,A25,Detalhamento!J9:J329,"Pendente")&gt;0,"Pendente",IF(COUNTIFS(Detalhamento!A9:A329,A25,Detalhamento!J9:J329,"OK")&gt;0,"OK","-")))</f>
        <v>-</v>
      </c>
      <c r="J25" s="117" t="str">
        <f>IF(COUNTIF(Detalhamento!A9:A329,A25)=0,"-",IF(COUNTIFS(Detalhamento!A9:A329,A25,Detalhamento!K9:K329,"Pendente")&gt;0,"Pendente",IF(COUNTIFS(Detalhamento!A9:A329,A25,Detalhamento!K9:K329,"OK")&gt;0,"OK","-")))</f>
        <v>-</v>
      </c>
      <c r="K25" s="117" t="str">
        <f>IF(COUNTIF(Detalhamento!A9:A329,A25)=0,"-",IF(COUNTIFS(Detalhamento!A9:A329,A25,Detalhamento!L9:L329,"Pendente")&gt;0,"Pendente",IF(COUNTIFS(Detalhamento!A9:A329,A25,Detalhamento!L9:L329,"OK")&gt;0,"OK","-")))</f>
        <v>-</v>
      </c>
      <c r="L25" s="117" t="str">
        <f>IF(COUNTIF(Detalhamento!A9:A329,A25)=0,"-",IF(COUNTIFS(Detalhamento!A9:A329,A25,Detalhamento!M9:M329,"Pendente")&gt;0,"Pendente",IF(COUNTIFS(Detalhamento!A9:A329,A25,Detalhamento!M9:M329,"OK")&gt;0,"OK","-")))</f>
        <v>-</v>
      </c>
      <c r="M25" s="117" t="str">
        <f>IF(COUNTIF(Detalhamento!A9:A329,A25)=0,"-",IF(COUNTIFS(Detalhamento!A9:A329,A25,Detalhamento!N9:N329,"Pendente")&gt;0,"Pendente",IF(COUNTIFS(Detalhamento!A9:A329,A25,Detalhamento!N9:N329,"OK")&gt;0,"OK","-")))</f>
        <v>-</v>
      </c>
      <c r="N25" s="118"/>
      <c r="O25" s="119" t="s">
        <v>230</v>
      </c>
      <c r="P25" s="15">
        <f>IF(A25="",0,COUNTIF(Detalhamento!A9:A329,A25))</f>
        <v>5</v>
      </c>
      <c r="Q25" s="15">
        <f>IF(A25="",0,COUNTIFS(Detalhamento!A9:A329,A25,Detalhamento!H9:H329,"Concluído"))</f>
        <v>0</v>
      </c>
      <c r="R25" s="120">
        <f t="shared" si="2"/>
        <v>0</v>
      </c>
    </row>
    <row r="26" ht="24.0" customHeight="1">
      <c r="A26" s="111" t="s">
        <v>241</v>
      </c>
      <c r="B26" s="112" t="s">
        <v>242</v>
      </c>
      <c r="C26" s="113" t="s">
        <v>77</v>
      </c>
      <c r="D26" s="114">
        <v>46152.0</v>
      </c>
      <c r="E26" s="114">
        <v>46342.0</v>
      </c>
      <c r="F26" s="115" t="str">
        <f t="shared" si="1"/>
        <v>Em andamento</v>
      </c>
      <c r="G26" s="115"/>
      <c r="H26" s="116"/>
      <c r="I26" s="117" t="str">
        <f>IF(COUNTIF(Detalhamento!A9:A329,A26)=0,"-",IF(COUNTIFS(Detalhamento!A9:A329,A26,Detalhamento!J9:J329,"Pendente")&gt;0,"Pendente",IF(COUNTIFS(Detalhamento!A9:A329,A26,Detalhamento!J9:J329,"OK")&gt;0,"OK","-")))</f>
        <v>-</v>
      </c>
      <c r="J26" s="117" t="str">
        <f>IF(COUNTIF(Detalhamento!A9:A329,A26)=0,"-",IF(COUNTIFS(Detalhamento!A9:A329,A26,Detalhamento!K9:K329,"Pendente")&gt;0,"Pendente",IF(COUNTIFS(Detalhamento!A9:A329,A26,Detalhamento!K9:K329,"OK")&gt;0,"OK","-")))</f>
        <v>-</v>
      </c>
      <c r="K26" s="117" t="str">
        <f>IF(COUNTIF(Detalhamento!A9:A329,A26)=0,"-",IF(COUNTIFS(Detalhamento!A9:A329,A26,Detalhamento!L9:L329,"Pendente")&gt;0,"Pendente",IF(COUNTIFS(Detalhamento!A9:A329,A26,Detalhamento!L9:L329,"OK")&gt;0,"OK","-")))</f>
        <v>-</v>
      </c>
      <c r="L26" s="117" t="str">
        <f>IF(COUNTIF(Detalhamento!A9:A329,A26)=0,"-",IF(COUNTIFS(Detalhamento!A9:A329,A26,Detalhamento!M9:M329,"Pendente")&gt;0,"Pendente",IF(COUNTIFS(Detalhamento!A9:A329,A26,Detalhamento!M9:M329,"OK")&gt;0,"OK","-")))</f>
        <v>-</v>
      </c>
      <c r="M26" s="117" t="str">
        <f>IF(COUNTIF(Detalhamento!A9:A329,A26)=0,"-",IF(COUNTIFS(Detalhamento!A9:A329,A26,Detalhamento!N9:N329,"Pendente")&gt;0,"Pendente",IF(COUNTIFS(Detalhamento!A9:A329,A26,Detalhamento!N9:N329,"OK")&gt;0,"OK","-")))</f>
        <v>-</v>
      </c>
      <c r="N26" s="118"/>
      <c r="O26" s="119" t="s">
        <v>230</v>
      </c>
      <c r="P26" s="15">
        <f>IF(A26="",0,COUNTIF(Detalhamento!A9:A329,A26))</f>
        <v>1</v>
      </c>
      <c r="Q26" s="15">
        <f>IF(A26="",0,COUNTIFS(Detalhamento!A9:A329,A26,Detalhamento!H9:H329,"Concluído"))</f>
        <v>0</v>
      </c>
      <c r="R26" s="120">
        <f t="shared" si="2"/>
        <v>0</v>
      </c>
    </row>
    <row r="27" ht="28.5" customHeight="1">
      <c r="A27" s="111" t="s">
        <v>243</v>
      </c>
      <c r="B27" s="112" t="s">
        <v>244</v>
      </c>
      <c r="C27" s="113" t="s">
        <v>77</v>
      </c>
      <c r="D27" s="114">
        <v>46152.0</v>
      </c>
      <c r="E27" s="114">
        <v>46342.0</v>
      </c>
      <c r="F27" s="115" t="str">
        <f t="shared" si="1"/>
        <v>Em andamento</v>
      </c>
      <c r="G27" s="115"/>
      <c r="H27" s="116"/>
      <c r="I27" s="117" t="str">
        <f>IF(COUNTIF(Detalhamento!A9:A329,A27)=0,"-",IF(COUNTIFS(Detalhamento!A9:A329,A27,Detalhamento!J9:J329,"Pendente")&gt;0,"Pendente",IF(COUNTIFS(Detalhamento!A9:A329,A27,Detalhamento!J9:J329,"OK")&gt;0,"OK","-")))</f>
        <v>-</v>
      </c>
      <c r="J27" s="117" t="str">
        <f>IF(COUNTIF(Detalhamento!A9:A329,A27)=0,"-",IF(COUNTIFS(Detalhamento!A9:A329,A27,Detalhamento!K9:K329,"Pendente")&gt;0,"Pendente",IF(COUNTIFS(Detalhamento!A9:A329,A27,Detalhamento!K9:K329,"OK")&gt;0,"OK","-")))</f>
        <v>-</v>
      </c>
      <c r="K27" s="117" t="str">
        <f>IF(COUNTIF(Detalhamento!A9:A329,A27)=0,"-",IF(COUNTIFS(Detalhamento!A9:A329,A27,Detalhamento!L9:L329,"Pendente")&gt;0,"Pendente",IF(COUNTIFS(Detalhamento!A9:A329,A27,Detalhamento!L9:L329,"OK")&gt;0,"OK","-")))</f>
        <v>-</v>
      </c>
      <c r="L27" s="117" t="str">
        <f>IF(COUNTIF(Detalhamento!A9:A329,A27)=0,"-",IF(COUNTIFS(Detalhamento!A9:A329,A27,Detalhamento!M9:M329,"Pendente")&gt;0,"Pendente",IF(COUNTIFS(Detalhamento!A9:A329,A27,Detalhamento!M9:M329,"OK")&gt;0,"OK","-")))</f>
        <v>-</v>
      </c>
      <c r="M27" s="117" t="str">
        <f>IF(COUNTIF(Detalhamento!A9:A329,A27)=0,"-",IF(COUNTIFS(Detalhamento!A9:A329,A27,Detalhamento!N9:N329,"Pendente")&gt;0,"Pendente",IF(COUNTIFS(Detalhamento!A9:A329,A27,Detalhamento!N9:N329,"OK")&gt;0,"OK","-")))</f>
        <v>-</v>
      </c>
      <c r="N27" s="118"/>
      <c r="O27" s="119" t="s">
        <v>230</v>
      </c>
      <c r="P27" s="15">
        <f>IF(A27="",0,COUNTIF(Detalhamento!A9:A329,A27))</f>
        <v>1</v>
      </c>
      <c r="Q27" s="15">
        <f>IF(A27="",0,COUNTIFS(Detalhamento!A9:A329,A27,Detalhamento!H9:H329,"Concluído"))</f>
        <v>0</v>
      </c>
      <c r="R27" s="120">
        <f t="shared" si="2"/>
        <v>0</v>
      </c>
    </row>
    <row r="28" ht="28.5" customHeight="1">
      <c r="A28" s="111" t="s">
        <v>245</v>
      </c>
      <c r="B28" s="112" t="s">
        <v>246</v>
      </c>
      <c r="C28" s="113" t="s">
        <v>77</v>
      </c>
      <c r="D28" s="114">
        <v>46197.0</v>
      </c>
      <c r="E28" s="114">
        <v>46258.0</v>
      </c>
      <c r="F28" s="115" t="str">
        <f t="shared" si="1"/>
        <v>Em andamento</v>
      </c>
      <c r="G28" s="115"/>
      <c r="H28" s="116"/>
      <c r="I28" s="117" t="str">
        <f>IF(COUNTIF(Detalhamento!A9:A329,A28)=0,"-",IF(COUNTIFS(Detalhamento!A9:A329,A28,Detalhamento!J9:J329,"Pendente")&gt;0,"Pendente",IF(COUNTIFS(Detalhamento!A9:A329,A28,Detalhamento!J9:J329,"OK")&gt;0,"OK","-")))</f>
        <v>-</v>
      </c>
      <c r="J28" s="117" t="str">
        <f>IF(COUNTIF(Detalhamento!A9:A329,A28)=0,"-",IF(COUNTIFS(Detalhamento!A9:A329,A28,Detalhamento!K9:K329,"Pendente")&gt;0,"Pendente",IF(COUNTIFS(Detalhamento!A9:A329,A28,Detalhamento!K9:K329,"OK")&gt;0,"OK","-")))</f>
        <v>-</v>
      </c>
      <c r="K28" s="117" t="str">
        <f>IF(COUNTIF(Detalhamento!A9:A329,A28)=0,"-",IF(COUNTIFS(Detalhamento!A9:A329,A28,Detalhamento!L9:L329,"Pendente")&gt;0,"Pendente",IF(COUNTIFS(Detalhamento!A9:A329,A28,Detalhamento!L9:L329,"OK")&gt;0,"OK","-")))</f>
        <v>-</v>
      </c>
      <c r="L28" s="117" t="str">
        <f>IF(COUNTIF(Detalhamento!A9:A329,A28)=0,"-",IF(COUNTIFS(Detalhamento!A9:A329,A28,Detalhamento!M9:M329,"Pendente")&gt;0,"Pendente",IF(COUNTIFS(Detalhamento!A9:A329,A28,Detalhamento!M9:M329,"OK")&gt;0,"OK","-")))</f>
        <v>-</v>
      </c>
      <c r="M28" s="117" t="str">
        <f>IF(COUNTIF(Detalhamento!A9:A329,A28)=0,"-",IF(COUNTIFS(Detalhamento!A9:A329,A28,Detalhamento!N9:N329,"Pendente")&gt;0,"Pendente",IF(COUNTIFS(Detalhamento!A9:A329,A28,Detalhamento!N9:N329,"OK")&gt;0,"OK","-")))</f>
        <v>-</v>
      </c>
      <c r="N28" s="118"/>
      <c r="O28" s="119" t="s">
        <v>230</v>
      </c>
      <c r="P28" s="15">
        <f>IF(A28="",0,COUNTIF(Detalhamento!A9:A329,A28))</f>
        <v>1</v>
      </c>
      <c r="Q28" s="15">
        <f>IF(A28="",0,COUNTIFS(Detalhamento!A9:A329,A28,Detalhamento!H9:H329,"Concluído"))</f>
        <v>0</v>
      </c>
      <c r="R28" s="120">
        <f t="shared" si="2"/>
        <v>0</v>
      </c>
    </row>
    <row r="29" ht="28.5" customHeight="1">
      <c r="A29" s="111" t="s">
        <v>247</v>
      </c>
      <c r="B29" s="112" t="s">
        <v>248</v>
      </c>
      <c r="C29" s="113" t="s">
        <v>77</v>
      </c>
      <c r="D29" s="114">
        <v>46197.0</v>
      </c>
      <c r="E29" s="114">
        <v>46258.0</v>
      </c>
      <c r="F29" s="115" t="str">
        <f t="shared" si="1"/>
        <v>Em andamento</v>
      </c>
      <c r="G29" s="115"/>
      <c r="H29" s="116"/>
      <c r="I29" s="117" t="str">
        <f>IF(COUNTIF(Detalhamento!A9:A329,A29)=0,"-",IF(COUNTIFS(Detalhamento!A9:A329,A29,Detalhamento!J9:J329,"Pendente")&gt;0,"Pendente",IF(COUNTIFS(Detalhamento!A9:A329,A29,Detalhamento!J9:J329,"OK")&gt;0,"OK","-")))</f>
        <v>-</v>
      </c>
      <c r="J29" s="117" t="str">
        <f>IF(COUNTIF(Detalhamento!A9:A329,A29)=0,"-",IF(COUNTIFS(Detalhamento!A9:A329,A29,Detalhamento!K9:K329,"Pendente")&gt;0,"Pendente",IF(COUNTIFS(Detalhamento!A9:A329,A29,Detalhamento!K9:K329,"OK")&gt;0,"OK","-")))</f>
        <v>-</v>
      </c>
      <c r="K29" s="117" t="str">
        <f>IF(COUNTIF(Detalhamento!A9:A329,A29)=0,"-",IF(COUNTIFS(Detalhamento!A9:A329,A29,Detalhamento!L9:L329,"Pendente")&gt;0,"Pendente",IF(COUNTIFS(Detalhamento!A9:A329,A29,Detalhamento!L9:L329,"OK")&gt;0,"OK","-")))</f>
        <v>-</v>
      </c>
      <c r="L29" s="117" t="str">
        <f>IF(COUNTIF(Detalhamento!A9:A329,A29)=0,"-",IF(COUNTIFS(Detalhamento!A9:A329,A29,Detalhamento!M9:M329,"Pendente")&gt;0,"Pendente",IF(COUNTIFS(Detalhamento!A9:A329,A29,Detalhamento!M9:M329,"OK")&gt;0,"OK","-")))</f>
        <v>-</v>
      </c>
      <c r="M29" s="117" t="str">
        <f>IF(COUNTIF(Detalhamento!A9:A329,A29)=0,"-",IF(COUNTIFS(Detalhamento!A9:A329,A29,Detalhamento!N9:N329,"Pendente")&gt;0,"Pendente",IF(COUNTIFS(Detalhamento!A9:A329,A29,Detalhamento!N9:N329,"OK")&gt;0,"OK","-")))</f>
        <v>-</v>
      </c>
      <c r="N29" s="118"/>
      <c r="O29" s="119" t="s">
        <v>230</v>
      </c>
      <c r="P29" s="15">
        <f>IF(A29="",0,COUNTIF(Detalhamento!A9:A329,A29))</f>
        <v>1</v>
      </c>
      <c r="Q29" s="15">
        <f>IF(A29="",0,COUNTIFS(Detalhamento!A9:A329,A29,Detalhamento!H9:H329,"Concluído"))</f>
        <v>0</v>
      </c>
      <c r="R29" s="120">
        <f t="shared" si="2"/>
        <v>0</v>
      </c>
    </row>
    <row r="30" ht="28.5" customHeight="1">
      <c r="A30" s="111" t="s">
        <v>249</v>
      </c>
      <c r="B30" s="112" t="s">
        <v>250</v>
      </c>
      <c r="C30" s="113" t="s">
        <v>77</v>
      </c>
      <c r="D30" s="114">
        <v>46166.0</v>
      </c>
      <c r="E30" s="114">
        <v>46366.0</v>
      </c>
      <c r="F30" s="115" t="str">
        <f t="shared" si="1"/>
        <v>Em andamento</v>
      </c>
      <c r="G30" s="115"/>
      <c r="H30" s="116"/>
      <c r="I30" s="117" t="str">
        <f>IF(COUNTIF(Detalhamento!A9:A329,A30)=0,"-",IF(COUNTIFS(Detalhamento!A9:A329,A30,Detalhamento!J9:J329,"Pendente")&gt;0,"Pendente",IF(COUNTIFS(Detalhamento!A9:A329,A30,Detalhamento!J9:J329,"OK")&gt;0,"OK","-")))</f>
        <v>-</v>
      </c>
      <c r="J30" s="117" t="str">
        <f>IF(COUNTIF(Detalhamento!A9:A329,A30)=0,"-",IF(COUNTIFS(Detalhamento!A9:A329,A30,Detalhamento!K9:K329,"Pendente")&gt;0,"Pendente",IF(COUNTIFS(Detalhamento!A9:A329,A30,Detalhamento!K9:K329,"OK")&gt;0,"OK","-")))</f>
        <v>-</v>
      </c>
      <c r="K30" s="117" t="str">
        <f>IF(COUNTIF(Detalhamento!A9:A329,A30)=0,"-",IF(COUNTIFS(Detalhamento!A9:A329,A30,Detalhamento!L9:L329,"Pendente")&gt;0,"Pendente",IF(COUNTIFS(Detalhamento!A9:A329,A30,Detalhamento!L9:L329,"OK")&gt;0,"OK","-")))</f>
        <v>-</v>
      </c>
      <c r="L30" s="117" t="str">
        <f>IF(COUNTIF(Detalhamento!A9:A329,A30)=0,"-",IF(COUNTIFS(Detalhamento!A9:A329,A30,Detalhamento!M9:M329,"Pendente")&gt;0,"Pendente",IF(COUNTIFS(Detalhamento!A9:A329,A30,Detalhamento!M9:M329,"OK")&gt;0,"OK","-")))</f>
        <v>-</v>
      </c>
      <c r="M30" s="117" t="str">
        <f>IF(COUNTIF(Detalhamento!A9:A329,A30)=0,"-",IF(COUNTIFS(Detalhamento!A9:A329,A30,Detalhamento!N9:N329,"Pendente")&gt;0,"Pendente",IF(COUNTIFS(Detalhamento!A9:A329,A30,Detalhamento!N9:N329,"OK")&gt;0,"OK","-")))</f>
        <v>-</v>
      </c>
      <c r="N30" s="118"/>
      <c r="O30" s="119" t="s">
        <v>230</v>
      </c>
      <c r="P30" s="15">
        <f>IF(A30="",0,COUNTIF(Detalhamento!A9:A329,A30))</f>
        <v>1</v>
      </c>
      <c r="Q30" s="15">
        <f>IF(A30="",0,COUNTIFS(Detalhamento!A9:A329,A30,Detalhamento!H9:H329,"Concluído"))</f>
        <v>0</v>
      </c>
      <c r="R30" s="120">
        <f t="shared" si="2"/>
        <v>0</v>
      </c>
    </row>
    <row r="31" ht="28.5" customHeight="1">
      <c r="A31" s="111" t="s">
        <v>251</v>
      </c>
      <c r="B31" s="112" t="s">
        <v>252</v>
      </c>
      <c r="C31" s="113" t="s">
        <v>77</v>
      </c>
      <c r="D31" s="114">
        <v>46166.0</v>
      </c>
      <c r="E31" s="114">
        <v>46366.0</v>
      </c>
      <c r="F31" s="115" t="str">
        <f t="shared" si="1"/>
        <v>Em andamento</v>
      </c>
      <c r="G31" s="115"/>
      <c r="H31" s="116"/>
      <c r="I31" s="117" t="str">
        <f>IF(COUNTIF(Detalhamento!A9:A329,A31)=0,"-",IF(COUNTIFS(Detalhamento!A9:A329,A31,Detalhamento!J9:J329,"Pendente")&gt;0,"Pendente",IF(COUNTIFS(Detalhamento!A9:A329,A31,Detalhamento!J9:J329,"OK")&gt;0,"OK","-")))</f>
        <v>-</v>
      </c>
      <c r="J31" s="117" t="str">
        <f>IF(COUNTIF(Detalhamento!A9:A329,A31)=0,"-",IF(COUNTIFS(Detalhamento!A9:A329,A31,Detalhamento!K9:K329,"Pendente")&gt;0,"Pendente",IF(COUNTIFS(Detalhamento!A9:A329,A31,Detalhamento!K9:K329,"OK")&gt;0,"OK","-")))</f>
        <v>-</v>
      </c>
      <c r="K31" s="117" t="str">
        <f>IF(COUNTIF(Detalhamento!A9:A329,A31)=0,"-",IF(COUNTIFS(Detalhamento!A9:A329,A31,Detalhamento!L9:L329,"Pendente")&gt;0,"Pendente",IF(COUNTIFS(Detalhamento!A9:A329,A31,Detalhamento!L9:L329,"OK")&gt;0,"OK","-")))</f>
        <v>-</v>
      </c>
      <c r="L31" s="117" t="str">
        <f>IF(COUNTIF(Detalhamento!A9:A329,A31)=0,"-",IF(COUNTIFS(Detalhamento!A9:A329,A31,Detalhamento!M9:M329,"Pendente")&gt;0,"Pendente",IF(COUNTIFS(Detalhamento!A9:A329,A31,Detalhamento!M9:M329,"OK")&gt;0,"OK","-")))</f>
        <v>-</v>
      </c>
      <c r="M31" s="117" t="str">
        <f>IF(COUNTIF(Detalhamento!A9:A329,A31)=0,"-",IF(COUNTIFS(Detalhamento!A9:A329,A31,Detalhamento!N9:N329,"Pendente")&gt;0,"Pendente",IF(COUNTIFS(Detalhamento!A9:A329,A31,Detalhamento!N9:N329,"OK")&gt;0,"OK","-")))</f>
        <v>-</v>
      </c>
      <c r="N31" s="118"/>
      <c r="O31" s="119" t="s">
        <v>230</v>
      </c>
      <c r="P31" s="15">
        <f>IF(A31="",0,COUNTIF(Detalhamento!A9:A329,A31))</f>
        <v>1</v>
      </c>
      <c r="Q31" s="15">
        <f>IF(A31="",0,COUNTIFS(Detalhamento!A9:A329,A31,Detalhamento!H9:H329,"Concluído"))</f>
        <v>0</v>
      </c>
      <c r="R31" s="120">
        <f t="shared" si="2"/>
        <v>0</v>
      </c>
    </row>
    <row r="32" ht="24.0" customHeight="1">
      <c r="A32" s="111" t="s">
        <v>253</v>
      </c>
      <c r="B32" s="112" t="s">
        <v>254</v>
      </c>
      <c r="C32" s="113" t="s">
        <v>77</v>
      </c>
      <c r="D32" s="114">
        <v>46204.0</v>
      </c>
      <c r="E32" s="114">
        <v>46366.0</v>
      </c>
      <c r="F32" s="115" t="str">
        <f t="shared" si="1"/>
        <v>A iniciar</v>
      </c>
      <c r="G32" s="115"/>
      <c r="H32" s="116"/>
      <c r="I32" s="117" t="str">
        <f>IF(COUNTIF(Detalhamento!A9:A329,A32)=0,"-",IF(COUNTIFS(Detalhamento!A9:A329,A32,Detalhamento!J9:J329,"Pendente")&gt;0,"Pendente",IF(COUNTIFS(Detalhamento!A9:A329,A32,Detalhamento!J9:J329,"OK")&gt;0,"OK","-")))</f>
        <v>-</v>
      </c>
      <c r="J32" s="117" t="str">
        <f>IF(COUNTIF(Detalhamento!A9:A329,A32)=0,"-",IF(COUNTIFS(Detalhamento!A9:A329,A32,Detalhamento!K9:K329,"Pendente")&gt;0,"Pendente",IF(COUNTIFS(Detalhamento!A9:A329,A32,Detalhamento!K9:K329,"OK")&gt;0,"OK","-")))</f>
        <v>-</v>
      </c>
      <c r="K32" s="117" t="str">
        <f>IF(COUNTIF(Detalhamento!A9:A329,A32)=0,"-",IF(COUNTIFS(Detalhamento!A9:A329,A32,Detalhamento!L9:L329,"Pendente")&gt;0,"Pendente",IF(COUNTIFS(Detalhamento!A9:A329,A32,Detalhamento!L9:L329,"OK")&gt;0,"OK","-")))</f>
        <v>-</v>
      </c>
      <c r="L32" s="117" t="str">
        <f>IF(COUNTIF(Detalhamento!A9:A329,A32)=0,"-",IF(COUNTIFS(Detalhamento!A9:A329,A32,Detalhamento!M9:M329,"Pendente")&gt;0,"Pendente",IF(COUNTIFS(Detalhamento!A9:A329,A32,Detalhamento!M9:M329,"OK")&gt;0,"OK","-")))</f>
        <v>-</v>
      </c>
      <c r="M32" s="117" t="str">
        <f>IF(COUNTIF(Detalhamento!A9:A329,A32)=0,"-",IF(COUNTIFS(Detalhamento!A9:A329,A32,Detalhamento!N9:N329,"Pendente")&gt;0,"Pendente",IF(COUNTIFS(Detalhamento!A9:A329,A32,Detalhamento!N9:N329,"OK")&gt;0,"OK","-")))</f>
        <v>-</v>
      </c>
      <c r="N32" s="118"/>
      <c r="O32" s="119" t="s">
        <v>230</v>
      </c>
      <c r="P32" s="15">
        <f>IF(A32="",0,COUNTIF(Detalhamento!A9:A329,A32))</f>
        <v>1</v>
      </c>
      <c r="Q32" s="15">
        <f>IF(A32="",0,COUNTIFS(Detalhamento!A9:A329,A32,Detalhamento!H9:H329,"Concluído"))</f>
        <v>0</v>
      </c>
      <c r="R32" s="120">
        <f t="shared" si="2"/>
        <v>0</v>
      </c>
    </row>
    <row r="33" ht="28.5" customHeight="1">
      <c r="A33" s="111" t="s">
        <v>255</v>
      </c>
      <c r="B33" s="112" t="s">
        <v>256</v>
      </c>
      <c r="C33" s="113" t="s">
        <v>77</v>
      </c>
      <c r="D33" s="114">
        <v>46173.0</v>
      </c>
      <c r="E33" s="114">
        <v>46180.0</v>
      </c>
      <c r="F33" s="115" t="str">
        <f t="shared" si="1"/>
        <v>Atrasado</v>
      </c>
      <c r="G33" s="115"/>
      <c r="H33" s="116"/>
      <c r="I33" s="117" t="str">
        <f>IF(COUNTIF(Detalhamento!A9:A329,A33)=0,"-",IF(COUNTIFS(Detalhamento!A9:A329,A33,Detalhamento!J9:J329,"Pendente")&gt;0,"Pendente",IF(COUNTIFS(Detalhamento!A9:A329,A33,Detalhamento!J9:J329,"OK")&gt;0,"OK","-")))</f>
        <v>-</v>
      </c>
      <c r="J33" s="117" t="str">
        <f>IF(COUNTIF(Detalhamento!A9:A329,A33)=0,"-",IF(COUNTIFS(Detalhamento!A9:A329,A33,Detalhamento!K9:K329,"Pendente")&gt;0,"Pendente",IF(COUNTIFS(Detalhamento!A9:A329,A33,Detalhamento!K9:K329,"OK")&gt;0,"OK","-")))</f>
        <v>-</v>
      </c>
      <c r="K33" s="117" t="str">
        <f>IF(COUNTIF(Detalhamento!A9:A329,A33)=0,"-",IF(COUNTIFS(Detalhamento!A9:A329,A33,Detalhamento!L9:L329,"Pendente")&gt;0,"Pendente",IF(COUNTIFS(Detalhamento!A9:A329,A33,Detalhamento!L9:L329,"OK")&gt;0,"OK","-")))</f>
        <v>-</v>
      </c>
      <c r="L33" s="117" t="str">
        <f>IF(COUNTIF(Detalhamento!A9:A329,A33)=0,"-",IF(COUNTIFS(Detalhamento!A9:A329,A33,Detalhamento!M9:M329,"Pendente")&gt;0,"Pendente",IF(COUNTIFS(Detalhamento!A9:A329,A33,Detalhamento!M9:M329,"OK")&gt;0,"OK","-")))</f>
        <v>-</v>
      </c>
      <c r="M33" s="117" t="str">
        <f>IF(COUNTIF(Detalhamento!A9:A329,A33)=0,"-",IF(COUNTIFS(Detalhamento!A9:A329,A33,Detalhamento!N9:N329,"Pendente")&gt;0,"Pendente",IF(COUNTIFS(Detalhamento!A9:A329,A33,Detalhamento!N9:N329,"OK")&gt;0,"OK","-")))</f>
        <v>-</v>
      </c>
      <c r="N33" s="118"/>
      <c r="O33" s="119" t="s">
        <v>230</v>
      </c>
      <c r="P33" s="15">
        <f>IF(A33="",0,COUNTIF(Detalhamento!A9:A329,A33))</f>
        <v>1</v>
      </c>
      <c r="Q33" s="15">
        <f>IF(A33="",0,COUNTIFS(Detalhamento!A9:A329,A33,Detalhamento!H9:H329,"Concluído"))</f>
        <v>0</v>
      </c>
      <c r="R33" s="120">
        <f t="shared" si="2"/>
        <v>0</v>
      </c>
    </row>
    <row r="34" ht="28.5" customHeight="1">
      <c r="A34" s="111" t="s">
        <v>257</v>
      </c>
      <c r="B34" s="112" t="s">
        <v>258</v>
      </c>
      <c r="C34" s="113" t="s">
        <v>77</v>
      </c>
      <c r="D34" s="114">
        <v>46152.0</v>
      </c>
      <c r="E34" s="114">
        <v>46337.0</v>
      </c>
      <c r="F34" s="115" t="str">
        <f t="shared" si="1"/>
        <v>Em andamento</v>
      </c>
      <c r="G34" s="115"/>
      <c r="H34" s="116"/>
      <c r="I34" s="117" t="str">
        <f>IF(COUNTIF(Detalhamento!A9:A329,A34)=0,"-",IF(COUNTIFS(Detalhamento!A9:A329,A34,Detalhamento!J9:J329,"Pendente")&gt;0,"Pendente",IF(COUNTIFS(Detalhamento!A9:A329,A34,Detalhamento!J9:J329,"OK")&gt;0,"OK","-")))</f>
        <v>-</v>
      </c>
      <c r="J34" s="117" t="str">
        <f>IF(COUNTIF(Detalhamento!A9:A329,A34)=0,"-",IF(COUNTIFS(Detalhamento!A9:A329,A34,Detalhamento!K9:K329,"Pendente")&gt;0,"Pendente",IF(COUNTIFS(Detalhamento!A9:A329,A34,Detalhamento!K9:K329,"OK")&gt;0,"OK","-")))</f>
        <v>-</v>
      </c>
      <c r="K34" s="117" t="str">
        <f>IF(COUNTIF(Detalhamento!A9:A329,A34)=0,"-",IF(COUNTIFS(Detalhamento!A9:A329,A34,Detalhamento!L9:L329,"Pendente")&gt;0,"Pendente",IF(COUNTIFS(Detalhamento!A9:A329,A34,Detalhamento!L9:L329,"OK")&gt;0,"OK","-")))</f>
        <v>-</v>
      </c>
      <c r="L34" s="117" t="str">
        <f>IF(COUNTIF(Detalhamento!A9:A329,A34)=0,"-",IF(COUNTIFS(Detalhamento!A9:A329,A34,Detalhamento!M9:M329,"Pendente")&gt;0,"Pendente",IF(COUNTIFS(Detalhamento!A9:A329,A34,Detalhamento!M9:M329,"OK")&gt;0,"OK","-")))</f>
        <v>-</v>
      </c>
      <c r="M34" s="117" t="str">
        <f>IF(COUNTIF(Detalhamento!A9:A329,A34)=0,"-",IF(COUNTIFS(Detalhamento!A9:A329,A34,Detalhamento!N9:N329,"Pendente")&gt;0,"Pendente",IF(COUNTIFS(Detalhamento!A9:A329,A34,Detalhamento!N9:N329,"OK")&gt;0,"OK","-")))</f>
        <v>-</v>
      </c>
      <c r="N34" s="118"/>
      <c r="O34" s="119" t="s">
        <v>230</v>
      </c>
      <c r="P34" s="15">
        <f>IF(A34="",0,COUNTIF(Detalhamento!A9:A329,A34))</f>
        <v>1</v>
      </c>
      <c r="Q34" s="15">
        <f>IF(A34="",0,COUNTIFS(Detalhamento!A9:A329,A34,Detalhamento!H9:H329,"Concluído"))</f>
        <v>0</v>
      </c>
      <c r="R34" s="120">
        <f t="shared" si="2"/>
        <v>0</v>
      </c>
    </row>
    <row r="35" ht="24.0" customHeight="1">
      <c r="A35" s="111" t="s">
        <v>259</v>
      </c>
      <c r="B35" s="112" t="s">
        <v>260</v>
      </c>
      <c r="C35" s="113" t="s">
        <v>77</v>
      </c>
      <c r="D35" s="114">
        <v>46173.0</v>
      </c>
      <c r="E35" s="114">
        <v>46180.0</v>
      </c>
      <c r="F35" s="115" t="str">
        <f t="shared" si="1"/>
        <v>Atrasado</v>
      </c>
      <c r="G35" s="115"/>
      <c r="H35" s="116"/>
      <c r="I35" s="117" t="str">
        <f>IF(COUNTIF(Detalhamento!A9:A329,A35)=0,"-",IF(COUNTIFS(Detalhamento!A9:A329,A35,Detalhamento!J9:J329,"Pendente")&gt;0,"Pendente",IF(COUNTIFS(Detalhamento!A9:A329,A35,Detalhamento!J9:J329,"OK")&gt;0,"OK","-")))</f>
        <v>-</v>
      </c>
      <c r="J35" s="117" t="str">
        <f>IF(COUNTIF(Detalhamento!A9:A329,A35)=0,"-",IF(COUNTIFS(Detalhamento!A9:A329,A35,Detalhamento!K9:K329,"Pendente")&gt;0,"Pendente",IF(COUNTIFS(Detalhamento!A9:A329,A35,Detalhamento!K9:K329,"OK")&gt;0,"OK","-")))</f>
        <v>-</v>
      </c>
      <c r="K35" s="117" t="str">
        <f>IF(COUNTIF(Detalhamento!A9:A329,A35)=0,"-",IF(COUNTIFS(Detalhamento!A9:A329,A35,Detalhamento!L9:L329,"Pendente")&gt;0,"Pendente",IF(COUNTIFS(Detalhamento!A9:A329,A35,Detalhamento!L9:L329,"OK")&gt;0,"OK","-")))</f>
        <v>-</v>
      </c>
      <c r="L35" s="117" t="str">
        <f>IF(COUNTIF(Detalhamento!A9:A329,A35)=0,"-",IF(COUNTIFS(Detalhamento!A9:A329,A35,Detalhamento!M9:M329,"Pendente")&gt;0,"Pendente",IF(COUNTIFS(Detalhamento!A9:A329,A35,Detalhamento!M9:M329,"OK")&gt;0,"OK","-")))</f>
        <v>-</v>
      </c>
      <c r="M35" s="117" t="str">
        <f>IF(COUNTIF(Detalhamento!A9:A329,A35)=0,"-",IF(COUNTIFS(Detalhamento!A9:A329,A35,Detalhamento!N9:N329,"Pendente")&gt;0,"Pendente",IF(COUNTIFS(Detalhamento!A9:A329,A35,Detalhamento!N9:N329,"OK")&gt;0,"OK","-")))</f>
        <v>-</v>
      </c>
      <c r="N35" s="118"/>
      <c r="O35" s="119" t="s">
        <v>230</v>
      </c>
      <c r="P35" s="15">
        <f>IF(A35="",0,COUNTIF(Detalhamento!A9:A329,A35))</f>
        <v>1</v>
      </c>
      <c r="Q35" s="15">
        <f>IF(A35="",0,COUNTIFS(Detalhamento!A9:A329,A35,Detalhamento!H9:H329,"Concluído"))</f>
        <v>0</v>
      </c>
      <c r="R35" s="120">
        <f t="shared" si="2"/>
        <v>0</v>
      </c>
    </row>
    <row r="36" ht="28.5" customHeight="1">
      <c r="A36" s="111" t="s">
        <v>261</v>
      </c>
      <c r="B36" s="112" t="s">
        <v>262</v>
      </c>
      <c r="C36" s="113" t="s">
        <v>77</v>
      </c>
      <c r="D36" s="114">
        <v>46173.0</v>
      </c>
      <c r="E36" s="114">
        <v>46180.0</v>
      </c>
      <c r="F36" s="115" t="str">
        <f t="shared" si="1"/>
        <v>Atrasado</v>
      </c>
      <c r="G36" s="115"/>
      <c r="H36" s="116"/>
      <c r="I36" s="117" t="str">
        <f>IF(COUNTIF(Detalhamento!A9:A329,A36)=0,"-",IF(COUNTIFS(Detalhamento!A9:A329,A36,Detalhamento!J9:J329,"Pendente")&gt;0,"Pendente",IF(COUNTIFS(Detalhamento!A9:A329,A36,Detalhamento!J9:J329,"OK")&gt;0,"OK","-")))</f>
        <v>-</v>
      </c>
      <c r="J36" s="117" t="str">
        <f>IF(COUNTIF(Detalhamento!A9:A329,A36)=0,"-",IF(COUNTIFS(Detalhamento!A9:A329,A36,Detalhamento!K9:K329,"Pendente")&gt;0,"Pendente",IF(COUNTIFS(Detalhamento!A9:A329,A36,Detalhamento!K9:K329,"OK")&gt;0,"OK","-")))</f>
        <v>-</v>
      </c>
      <c r="K36" s="117" t="str">
        <f>IF(COUNTIF(Detalhamento!A9:A329,A36)=0,"-",IF(COUNTIFS(Detalhamento!A9:A329,A36,Detalhamento!L9:L329,"Pendente")&gt;0,"Pendente",IF(COUNTIFS(Detalhamento!A9:A329,A36,Detalhamento!L9:L329,"OK")&gt;0,"OK","-")))</f>
        <v>-</v>
      </c>
      <c r="L36" s="117" t="str">
        <f>IF(COUNTIF(Detalhamento!A9:A329,A36)=0,"-",IF(COUNTIFS(Detalhamento!A9:A329,A36,Detalhamento!M9:M329,"Pendente")&gt;0,"Pendente",IF(COUNTIFS(Detalhamento!A9:A329,A36,Detalhamento!M9:M329,"OK")&gt;0,"OK","-")))</f>
        <v>-</v>
      </c>
      <c r="M36" s="117" t="str">
        <f>IF(COUNTIF(Detalhamento!A9:A329,A36)=0,"-",IF(COUNTIFS(Detalhamento!A9:A329,A36,Detalhamento!N9:N329,"Pendente")&gt;0,"Pendente",IF(COUNTIFS(Detalhamento!A9:A329,A36,Detalhamento!N9:N329,"OK")&gt;0,"OK","-")))</f>
        <v>-</v>
      </c>
      <c r="N36" s="118"/>
      <c r="O36" s="119" t="s">
        <v>230</v>
      </c>
      <c r="P36" s="15">
        <f>IF(A36="",0,COUNTIF(Detalhamento!A9:A329,A36))</f>
        <v>1</v>
      </c>
      <c r="Q36" s="15">
        <f>IF(A36="",0,COUNTIFS(Detalhamento!A9:A329,A36,Detalhamento!H9:H329,"Concluído"))</f>
        <v>0</v>
      </c>
      <c r="R36" s="120">
        <f t="shared" si="2"/>
        <v>0</v>
      </c>
    </row>
    <row r="37" ht="28.5" customHeight="1">
      <c r="A37" s="111" t="s">
        <v>263</v>
      </c>
      <c r="B37" s="112" t="s">
        <v>264</v>
      </c>
      <c r="C37" s="113" t="s">
        <v>77</v>
      </c>
      <c r="D37" s="114">
        <v>46173.0</v>
      </c>
      <c r="E37" s="114">
        <v>46180.0</v>
      </c>
      <c r="F37" s="115" t="str">
        <f t="shared" si="1"/>
        <v>Atrasado</v>
      </c>
      <c r="G37" s="115"/>
      <c r="H37" s="116"/>
      <c r="I37" s="117" t="str">
        <f>IF(COUNTIF(Detalhamento!A9:A329,A37)=0,"-",IF(COUNTIFS(Detalhamento!A9:A329,A37,Detalhamento!J9:J329,"Pendente")&gt;0,"Pendente",IF(COUNTIFS(Detalhamento!A9:A329,A37,Detalhamento!J9:J329,"OK")&gt;0,"OK","-")))</f>
        <v>-</v>
      </c>
      <c r="J37" s="117" t="str">
        <f>IF(COUNTIF(Detalhamento!A9:A329,A37)=0,"-",IF(COUNTIFS(Detalhamento!A9:A329,A37,Detalhamento!K9:K329,"Pendente")&gt;0,"Pendente",IF(COUNTIFS(Detalhamento!A9:A329,A37,Detalhamento!K9:K329,"OK")&gt;0,"OK","-")))</f>
        <v>-</v>
      </c>
      <c r="K37" s="117" t="str">
        <f>IF(COUNTIF(Detalhamento!A9:A329,A37)=0,"-",IF(COUNTIFS(Detalhamento!A9:A329,A37,Detalhamento!L9:L329,"Pendente")&gt;0,"Pendente",IF(COUNTIFS(Detalhamento!A9:A329,A37,Detalhamento!L9:L329,"OK")&gt;0,"OK","-")))</f>
        <v>-</v>
      </c>
      <c r="L37" s="117" t="str">
        <f>IF(COUNTIF(Detalhamento!A9:A329,A37)=0,"-",IF(COUNTIFS(Detalhamento!A9:A329,A37,Detalhamento!M9:M329,"Pendente")&gt;0,"Pendente",IF(COUNTIFS(Detalhamento!A9:A329,A37,Detalhamento!M9:M329,"OK")&gt;0,"OK","-")))</f>
        <v>-</v>
      </c>
      <c r="M37" s="117" t="str">
        <f>IF(COUNTIF(Detalhamento!A9:A329,A37)=0,"-",IF(COUNTIFS(Detalhamento!A9:A329,A37,Detalhamento!N9:N329,"Pendente")&gt;0,"Pendente",IF(COUNTIFS(Detalhamento!A9:A329,A37,Detalhamento!N9:N329,"OK")&gt;0,"OK","-")))</f>
        <v>-</v>
      </c>
      <c r="N37" s="118"/>
      <c r="O37" s="119" t="s">
        <v>230</v>
      </c>
      <c r="P37" s="15">
        <f>IF(A37="",0,COUNTIF(Detalhamento!A9:A329,A37))</f>
        <v>1</v>
      </c>
      <c r="Q37" s="15">
        <f>IF(A37="",0,COUNTIFS(Detalhamento!A9:A329,A37,Detalhamento!H9:H329,"Concluído"))</f>
        <v>0</v>
      </c>
      <c r="R37" s="120">
        <f t="shared" si="2"/>
        <v>0</v>
      </c>
    </row>
    <row r="38" ht="28.5" customHeight="1">
      <c r="A38" s="111" t="s">
        <v>104</v>
      </c>
      <c r="B38" s="112" t="s">
        <v>265</v>
      </c>
      <c r="C38" s="113" t="s">
        <v>77</v>
      </c>
      <c r="D38" s="114">
        <v>46166.0</v>
      </c>
      <c r="E38" s="114">
        <v>46337.0</v>
      </c>
      <c r="F38" s="115" t="str">
        <f t="shared" si="1"/>
        <v>Em andamento</v>
      </c>
      <c r="G38" s="115"/>
      <c r="H38" s="116"/>
      <c r="I38" s="117" t="str">
        <f>IF(COUNTIF(Detalhamento!A9:A329,A38)=0,"-",IF(COUNTIFS(Detalhamento!A9:A329,A38,Detalhamento!J9:J329,"Pendente")&gt;0,"Pendente",IF(COUNTIFS(Detalhamento!A9:A329,A38,Detalhamento!J9:J329,"OK")&gt;0,"OK","-")))</f>
        <v>-</v>
      </c>
      <c r="J38" s="117" t="str">
        <f>IF(COUNTIF(Detalhamento!A9:A329,A38)=0,"-",IF(COUNTIFS(Detalhamento!A9:A329,A38,Detalhamento!K9:K329,"Pendente")&gt;0,"Pendente",IF(COUNTIFS(Detalhamento!A9:A329,A38,Detalhamento!K9:K329,"OK")&gt;0,"OK","-")))</f>
        <v>-</v>
      </c>
      <c r="K38" s="117" t="str">
        <f>IF(COUNTIF(Detalhamento!A9:A329,A38)=0,"-",IF(COUNTIFS(Detalhamento!A9:A329,A38,Detalhamento!L9:L329,"Pendente")&gt;0,"Pendente",IF(COUNTIFS(Detalhamento!A9:A329,A38,Detalhamento!L9:L329,"OK")&gt;0,"OK","-")))</f>
        <v>-</v>
      </c>
      <c r="L38" s="117" t="str">
        <f>IF(COUNTIF(Detalhamento!A9:A329,A38)=0,"-",IF(COUNTIFS(Detalhamento!A9:A329,A38,Detalhamento!M9:M329,"Pendente")&gt;0,"Pendente",IF(COUNTIFS(Detalhamento!A9:A329,A38,Detalhamento!M9:M329,"OK")&gt;0,"OK","-")))</f>
        <v>-</v>
      </c>
      <c r="M38" s="117" t="str">
        <f>IF(COUNTIF(Detalhamento!A9:A329,A38)=0,"-",IF(COUNTIFS(Detalhamento!A9:A329,A38,Detalhamento!N9:N329,"Pendente")&gt;0,"Pendente",IF(COUNTIFS(Detalhamento!A9:A329,A38,Detalhamento!N9:N329,"OK")&gt;0,"OK","-")))</f>
        <v>-</v>
      </c>
      <c r="N38" s="118"/>
      <c r="O38" s="119" t="s">
        <v>230</v>
      </c>
      <c r="P38" s="15">
        <f>IF(A38="",0,COUNTIF(Detalhamento!A9:A329,A38))</f>
        <v>1</v>
      </c>
      <c r="Q38" s="15">
        <f>IF(A38="",0,COUNTIFS(Detalhamento!A9:A329,A38,Detalhamento!H9:H329,"Concluído"))</f>
        <v>0</v>
      </c>
      <c r="R38" s="120">
        <f t="shared" si="2"/>
        <v>0</v>
      </c>
    </row>
    <row r="39" ht="28.5" customHeight="1">
      <c r="A39" s="111" t="s">
        <v>105</v>
      </c>
      <c r="B39" s="112" t="s">
        <v>266</v>
      </c>
      <c r="C39" s="113" t="s">
        <v>77</v>
      </c>
      <c r="D39" s="114">
        <v>46173.0</v>
      </c>
      <c r="E39" s="114">
        <v>46337.0</v>
      </c>
      <c r="F39" s="115" t="str">
        <f t="shared" si="1"/>
        <v>Em andamento</v>
      </c>
      <c r="G39" s="115"/>
      <c r="H39" s="116"/>
      <c r="I39" s="117" t="str">
        <f>IF(COUNTIF(Detalhamento!A9:A329,A39)=0,"-",IF(COUNTIFS(Detalhamento!A9:A329,A39,Detalhamento!J9:J329,"Pendente")&gt;0,"Pendente",IF(COUNTIFS(Detalhamento!A9:A329,A39,Detalhamento!J9:J329,"OK")&gt;0,"OK","-")))</f>
        <v>-</v>
      </c>
      <c r="J39" s="117" t="str">
        <f>IF(COUNTIF(Detalhamento!A9:A329,A39)=0,"-",IF(COUNTIFS(Detalhamento!A9:A329,A39,Detalhamento!K9:K329,"Pendente")&gt;0,"Pendente",IF(COUNTIFS(Detalhamento!A9:A329,A39,Detalhamento!K9:K329,"OK")&gt;0,"OK","-")))</f>
        <v>-</v>
      </c>
      <c r="K39" s="117" t="str">
        <f>IF(COUNTIF(Detalhamento!A9:A329,A39)=0,"-",IF(COUNTIFS(Detalhamento!A9:A329,A39,Detalhamento!L9:L329,"Pendente")&gt;0,"Pendente",IF(COUNTIFS(Detalhamento!A9:A329,A39,Detalhamento!L9:L329,"OK")&gt;0,"OK","-")))</f>
        <v>-</v>
      </c>
      <c r="L39" s="117" t="str">
        <f>IF(COUNTIF(Detalhamento!A9:A329,A39)=0,"-",IF(COUNTIFS(Detalhamento!A9:A329,A39,Detalhamento!M9:M329,"Pendente")&gt;0,"Pendente",IF(COUNTIFS(Detalhamento!A9:A329,A39,Detalhamento!M9:M329,"OK")&gt;0,"OK","-")))</f>
        <v>-</v>
      </c>
      <c r="M39" s="117" t="str">
        <f>IF(COUNTIF(Detalhamento!A9:A329,A39)=0,"-",IF(COUNTIFS(Detalhamento!A9:A329,A39,Detalhamento!N9:N329,"Pendente")&gt;0,"Pendente",IF(COUNTIFS(Detalhamento!A9:A329,A39,Detalhamento!N9:N329,"OK")&gt;0,"OK","-")))</f>
        <v>-</v>
      </c>
      <c r="N39" s="118"/>
      <c r="O39" s="119" t="s">
        <v>230</v>
      </c>
      <c r="P39" s="15">
        <f>IF(A39="",0,COUNTIF(Detalhamento!A9:A329,A39))</f>
        <v>1</v>
      </c>
      <c r="Q39" s="15">
        <f>IF(A39="",0,COUNTIFS(Detalhamento!A9:A329,A39,Detalhamento!H9:H329,"Concluído"))</f>
        <v>0</v>
      </c>
      <c r="R39" s="120">
        <f t="shared" si="2"/>
        <v>0</v>
      </c>
    </row>
    <row r="40" ht="28.5" customHeight="1">
      <c r="A40" s="111" t="s">
        <v>106</v>
      </c>
      <c r="B40" s="112" t="s">
        <v>267</v>
      </c>
      <c r="C40" s="113" t="s">
        <v>77</v>
      </c>
      <c r="D40" s="114">
        <v>46180.0</v>
      </c>
      <c r="E40" s="114">
        <v>46187.0</v>
      </c>
      <c r="F40" s="115" t="str">
        <f t="shared" si="1"/>
        <v>Atrasado</v>
      </c>
      <c r="G40" s="115"/>
      <c r="H40" s="116"/>
      <c r="I40" s="117" t="str">
        <f>IF(COUNTIF(Detalhamento!A9:A329,A40)=0,"-",IF(COUNTIFS(Detalhamento!A9:A329,A40,Detalhamento!J9:J329,"Pendente")&gt;0,"Pendente",IF(COUNTIFS(Detalhamento!A9:A329,A40,Detalhamento!J9:J329,"OK")&gt;0,"OK","-")))</f>
        <v>-</v>
      </c>
      <c r="J40" s="117" t="str">
        <f>IF(COUNTIF(Detalhamento!A9:A329,A40)=0,"-",IF(COUNTIFS(Detalhamento!A9:A329,A40,Detalhamento!K9:K329,"Pendente")&gt;0,"Pendente",IF(COUNTIFS(Detalhamento!A9:A329,A40,Detalhamento!K9:K329,"OK")&gt;0,"OK","-")))</f>
        <v>-</v>
      </c>
      <c r="K40" s="117" t="str">
        <f>IF(COUNTIF(Detalhamento!A9:A329,A40)=0,"-",IF(COUNTIFS(Detalhamento!A9:A329,A40,Detalhamento!L9:L329,"Pendente")&gt;0,"Pendente",IF(COUNTIFS(Detalhamento!A9:A329,A40,Detalhamento!L9:L329,"OK")&gt;0,"OK","-")))</f>
        <v>-</v>
      </c>
      <c r="L40" s="117" t="str">
        <f>IF(COUNTIF(Detalhamento!A9:A329,A40)=0,"-",IF(COUNTIFS(Detalhamento!A9:A329,A40,Detalhamento!M9:M329,"Pendente")&gt;0,"Pendente",IF(COUNTIFS(Detalhamento!A9:A329,A40,Detalhamento!M9:M329,"OK")&gt;0,"OK","-")))</f>
        <v>-</v>
      </c>
      <c r="M40" s="117" t="str">
        <f>IF(COUNTIF(Detalhamento!A9:A329,A40)=0,"-",IF(COUNTIFS(Detalhamento!A9:A329,A40,Detalhamento!N9:N329,"Pendente")&gt;0,"Pendente",IF(COUNTIFS(Detalhamento!A9:A329,A40,Detalhamento!N9:N329,"OK")&gt;0,"OK","-")))</f>
        <v>-</v>
      </c>
      <c r="N40" s="118"/>
      <c r="O40" s="119" t="s">
        <v>230</v>
      </c>
      <c r="P40" s="15">
        <f>IF(A40="",0,COUNTIF(Detalhamento!A9:A329,A40))</f>
        <v>1</v>
      </c>
      <c r="Q40" s="15">
        <f>IF(A40="",0,COUNTIFS(Detalhamento!A9:A329,A40,Detalhamento!H9:H329,"Concluído"))</f>
        <v>0</v>
      </c>
      <c r="R40" s="120">
        <f t="shared" si="2"/>
        <v>0</v>
      </c>
    </row>
    <row r="41" ht="28.5" customHeight="1">
      <c r="A41" s="111" t="s">
        <v>107</v>
      </c>
      <c r="B41" s="112" t="s">
        <v>268</v>
      </c>
      <c r="C41" s="113" t="s">
        <v>77</v>
      </c>
      <c r="D41" s="114">
        <v>46180.0</v>
      </c>
      <c r="E41" s="114">
        <v>46187.0</v>
      </c>
      <c r="F41" s="115" t="str">
        <f t="shared" si="1"/>
        <v>Atrasado</v>
      </c>
      <c r="G41" s="115"/>
      <c r="H41" s="116"/>
      <c r="I41" s="117" t="str">
        <f>IF(COUNTIF(Detalhamento!A9:A329,A41)=0,"-",IF(COUNTIFS(Detalhamento!A9:A329,A41,Detalhamento!J9:J329,"Pendente")&gt;0,"Pendente",IF(COUNTIFS(Detalhamento!A9:A329,A41,Detalhamento!J9:J329,"OK")&gt;0,"OK","-")))</f>
        <v>-</v>
      </c>
      <c r="J41" s="117" t="str">
        <f>IF(COUNTIF(Detalhamento!A9:A329,A41)=0,"-",IF(COUNTIFS(Detalhamento!A9:A329,A41,Detalhamento!K9:K329,"Pendente")&gt;0,"Pendente",IF(COUNTIFS(Detalhamento!A9:A329,A41,Detalhamento!K9:K329,"OK")&gt;0,"OK","-")))</f>
        <v>-</v>
      </c>
      <c r="K41" s="117" t="str">
        <f>IF(COUNTIF(Detalhamento!A9:A329,A41)=0,"-",IF(COUNTIFS(Detalhamento!A9:A329,A41,Detalhamento!L9:L329,"Pendente")&gt;0,"Pendente",IF(COUNTIFS(Detalhamento!A9:A329,A41,Detalhamento!L9:L329,"OK")&gt;0,"OK","-")))</f>
        <v>-</v>
      </c>
      <c r="L41" s="117" t="str">
        <f>IF(COUNTIF(Detalhamento!A9:A329,A41)=0,"-",IF(COUNTIFS(Detalhamento!A9:A329,A41,Detalhamento!M9:M329,"Pendente")&gt;0,"Pendente",IF(COUNTIFS(Detalhamento!A9:A329,A41,Detalhamento!M9:M329,"OK")&gt;0,"OK","-")))</f>
        <v>-</v>
      </c>
      <c r="M41" s="117" t="str">
        <f>IF(COUNTIF(Detalhamento!A9:A329,A41)=0,"-",IF(COUNTIFS(Detalhamento!A9:A329,A41,Detalhamento!N9:N329,"Pendente")&gt;0,"Pendente",IF(COUNTIFS(Detalhamento!A9:A329,A41,Detalhamento!N9:N329,"OK")&gt;0,"OK","-")))</f>
        <v>-</v>
      </c>
      <c r="N41" s="118"/>
      <c r="O41" s="119" t="s">
        <v>230</v>
      </c>
      <c r="P41" s="15">
        <f>IF(A41="",0,COUNTIF(Detalhamento!A9:A329,A41))</f>
        <v>1</v>
      </c>
      <c r="Q41" s="15">
        <f>IF(A41="",0,COUNTIFS(Detalhamento!A9:A329,A41,Detalhamento!H9:H329,"Concluído"))</f>
        <v>0</v>
      </c>
      <c r="R41" s="120">
        <f t="shared" si="2"/>
        <v>0</v>
      </c>
    </row>
    <row r="42" ht="24.0" customHeight="1">
      <c r="A42" s="111" t="s">
        <v>108</v>
      </c>
      <c r="B42" s="112" t="s">
        <v>269</v>
      </c>
      <c r="C42" s="113" t="s">
        <v>77</v>
      </c>
      <c r="D42" s="114">
        <v>46217.0</v>
      </c>
      <c r="E42" s="114">
        <v>46378.0</v>
      </c>
      <c r="F42" s="115" t="str">
        <f t="shared" si="1"/>
        <v>A iniciar</v>
      </c>
      <c r="G42" s="115"/>
      <c r="H42" s="116"/>
      <c r="I42" s="117" t="str">
        <f>IF(COUNTIF(Detalhamento!A9:A329,A42)=0,"-",IF(COUNTIFS(Detalhamento!A9:A329,A42,Detalhamento!J9:J329,"Pendente")&gt;0,"Pendente",IF(COUNTIFS(Detalhamento!A9:A329,A42,Detalhamento!J9:J329,"OK")&gt;0,"OK","-")))</f>
        <v>-</v>
      </c>
      <c r="J42" s="117" t="str">
        <f>IF(COUNTIF(Detalhamento!A9:A329,A42)=0,"-",IF(COUNTIFS(Detalhamento!A9:A329,A42,Detalhamento!K9:K329,"Pendente")&gt;0,"Pendente",IF(COUNTIFS(Detalhamento!A9:A329,A42,Detalhamento!K9:K329,"OK")&gt;0,"OK","-")))</f>
        <v>-</v>
      </c>
      <c r="K42" s="117" t="str">
        <f>IF(COUNTIF(Detalhamento!A9:A329,A42)=0,"-",IF(COUNTIFS(Detalhamento!A9:A329,A42,Detalhamento!L9:L329,"Pendente")&gt;0,"Pendente",IF(COUNTIFS(Detalhamento!A9:A329,A42,Detalhamento!L9:L329,"OK")&gt;0,"OK","-")))</f>
        <v>-</v>
      </c>
      <c r="L42" s="117" t="str">
        <f>IF(COUNTIF(Detalhamento!A9:A329,A42)=0,"-",IF(COUNTIFS(Detalhamento!A9:A329,A42,Detalhamento!M9:M329,"Pendente")&gt;0,"Pendente",IF(COUNTIFS(Detalhamento!A9:A329,A42,Detalhamento!M9:M329,"OK")&gt;0,"OK","-")))</f>
        <v>-</v>
      </c>
      <c r="M42" s="117" t="str">
        <f>IF(COUNTIF(Detalhamento!A9:A329,A42)=0,"-",IF(COUNTIFS(Detalhamento!A9:A329,A42,Detalhamento!N9:N329,"Pendente")&gt;0,"Pendente",IF(COUNTIFS(Detalhamento!A9:A329,A42,Detalhamento!N9:N329,"OK")&gt;0,"OK","-")))</f>
        <v>-</v>
      </c>
      <c r="N42" s="118"/>
      <c r="O42" s="119" t="s">
        <v>230</v>
      </c>
      <c r="P42" s="15">
        <f>IF(A42="",0,COUNTIF(Detalhamento!A9:A329,A42))</f>
        <v>1</v>
      </c>
      <c r="Q42" s="15">
        <f>IF(A42="",0,COUNTIFS(Detalhamento!A9:A329,A42,Detalhamento!H9:H329,"Concluído"))</f>
        <v>0</v>
      </c>
      <c r="R42" s="120">
        <f t="shared" si="2"/>
        <v>0</v>
      </c>
    </row>
    <row r="43" ht="28.5" customHeight="1">
      <c r="A43" s="111" t="s">
        <v>270</v>
      </c>
      <c r="B43" s="112" t="s">
        <v>271</v>
      </c>
      <c r="C43" s="113" t="s">
        <v>77</v>
      </c>
      <c r="D43" s="114">
        <v>46222.0</v>
      </c>
      <c r="E43" s="114">
        <v>46408.0</v>
      </c>
      <c r="F43" s="115" t="str">
        <f t="shared" si="1"/>
        <v>A iniciar</v>
      </c>
      <c r="G43" s="115"/>
      <c r="H43" s="116"/>
      <c r="I43" s="117" t="str">
        <f>IF(COUNTIF(Detalhamento!A9:A329,A43)=0,"-",IF(COUNTIFS(Detalhamento!A9:A329,A43,Detalhamento!J9:J329,"Pendente")&gt;0,"Pendente",IF(COUNTIFS(Detalhamento!A9:A329,A43,Detalhamento!J9:J329,"OK")&gt;0,"OK","-")))</f>
        <v>-</v>
      </c>
      <c r="J43" s="117" t="str">
        <f>IF(COUNTIF(Detalhamento!A9:A329,A43)=0,"-",IF(COUNTIFS(Detalhamento!A9:A329,A43,Detalhamento!K9:K329,"Pendente")&gt;0,"Pendente",IF(COUNTIFS(Detalhamento!A9:A329,A43,Detalhamento!K9:K329,"OK")&gt;0,"OK","-")))</f>
        <v>-</v>
      </c>
      <c r="K43" s="117" t="str">
        <f>IF(COUNTIF(Detalhamento!A9:A329,A43)=0,"-",IF(COUNTIFS(Detalhamento!A9:A329,A43,Detalhamento!L9:L329,"Pendente")&gt;0,"Pendente",IF(COUNTIFS(Detalhamento!A9:A329,A43,Detalhamento!L9:L329,"OK")&gt;0,"OK","-")))</f>
        <v>-</v>
      </c>
      <c r="L43" s="117" t="str">
        <f>IF(COUNTIF(Detalhamento!A9:A329,A43)=0,"-",IF(COUNTIFS(Detalhamento!A9:A329,A43,Detalhamento!M9:M329,"Pendente")&gt;0,"Pendente",IF(COUNTIFS(Detalhamento!A9:A329,A43,Detalhamento!M9:M329,"OK")&gt;0,"OK","-")))</f>
        <v>-</v>
      </c>
      <c r="M43" s="117" t="str">
        <f>IF(COUNTIF(Detalhamento!A9:A329,A43)=0,"-",IF(COUNTIFS(Detalhamento!A9:A329,A43,Detalhamento!N9:N329,"Pendente")&gt;0,"Pendente",IF(COUNTIFS(Detalhamento!A9:A329,A43,Detalhamento!N9:N329,"OK")&gt;0,"OK","-")))</f>
        <v>-</v>
      </c>
      <c r="N43" s="118"/>
      <c r="O43" s="119" t="s">
        <v>230</v>
      </c>
      <c r="P43" s="15">
        <f>IF(A43="",0,COUNTIF(Detalhamento!A9:A329,A43))</f>
        <v>0</v>
      </c>
      <c r="Q43" s="15">
        <f>IF(A43="",0,COUNTIFS(Detalhamento!A9:A329,A43,Detalhamento!H9:H329,"Concluído"))</f>
        <v>0</v>
      </c>
      <c r="R43" s="120" t="str">
        <f t="shared" si="2"/>
        <v/>
      </c>
    </row>
    <row r="44" ht="28.5" customHeight="1">
      <c r="A44" s="111" t="s">
        <v>272</v>
      </c>
      <c r="B44" s="112" t="s">
        <v>273</v>
      </c>
      <c r="C44" s="113" t="s">
        <v>77</v>
      </c>
      <c r="D44" s="114">
        <v>46223.0</v>
      </c>
      <c r="E44" s="114">
        <v>46304.0</v>
      </c>
      <c r="F44" s="115" t="str">
        <f t="shared" si="1"/>
        <v>A iniciar</v>
      </c>
      <c r="G44" s="115"/>
      <c r="H44" s="116"/>
      <c r="I44" s="117" t="str">
        <f>IF(COUNTIF(Detalhamento!A9:A329,A44)=0,"-",IF(COUNTIFS(Detalhamento!A9:A329,A44,Detalhamento!J9:J329,"Pendente")&gt;0,"Pendente",IF(COUNTIFS(Detalhamento!A9:A329,A44,Detalhamento!J9:J329,"OK")&gt;0,"OK","-")))</f>
        <v>-</v>
      </c>
      <c r="J44" s="117" t="str">
        <f>IF(COUNTIF(Detalhamento!A9:A329,A44)=0,"-",IF(COUNTIFS(Detalhamento!A9:A329,A44,Detalhamento!K9:K329,"Pendente")&gt;0,"Pendente",IF(COUNTIFS(Detalhamento!A9:A329,A44,Detalhamento!K9:K329,"OK")&gt;0,"OK","-")))</f>
        <v>-</v>
      </c>
      <c r="K44" s="117" t="str">
        <f>IF(COUNTIF(Detalhamento!A9:A329,A44)=0,"-",IF(COUNTIFS(Detalhamento!A9:A329,A44,Detalhamento!L9:L329,"Pendente")&gt;0,"Pendente",IF(COUNTIFS(Detalhamento!A9:A329,A44,Detalhamento!L9:L329,"OK")&gt;0,"OK","-")))</f>
        <v>-</v>
      </c>
      <c r="L44" s="117" t="str">
        <f>IF(COUNTIF(Detalhamento!A9:A329,A44)=0,"-",IF(COUNTIFS(Detalhamento!A9:A329,A44,Detalhamento!M9:M329,"Pendente")&gt;0,"Pendente",IF(COUNTIFS(Detalhamento!A9:A329,A44,Detalhamento!M9:M329,"OK")&gt;0,"OK","-")))</f>
        <v>-</v>
      </c>
      <c r="M44" s="117" t="str">
        <f>IF(COUNTIF(Detalhamento!A9:A329,A44)=0,"-",IF(COUNTIFS(Detalhamento!A9:A329,A44,Detalhamento!N9:N329,"Pendente")&gt;0,"Pendente",IF(COUNTIFS(Detalhamento!A9:A329,A44,Detalhamento!N9:N329,"OK")&gt;0,"OK","-")))</f>
        <v>-</v>
      </c>
      <c r="N44" s="118"/>
      <c r="O44" s="119" t="s">
        <v>230</v>
      </c>
      <c r="P44" s="15">
        <f>IF(A44="",0,COUNTIF(Detalhamento!A9:A329,A44))</f>
        <v>0</v>
      </c>
      <c r="Q44" s="15">
        <f>IF(A44="",0,COUNTIFS(Detalhamento!A9:A329,A44,Detalhamento!H9:H329,"Concluído"))</f>
        <v>0</v>
      </c>
      <c r="R44" s="120" t="str">
        <f t="shared" si="2"/>
        <v/>
      </c>
    </row>
    <row r="45" ht="24.0" customHeight="1">
      <c r="A45" s="111" t="s">
        <v>272</v>
      </c>
      <c r="B45" s="112" t="s">
        <v>274</v>
      </c>
      <c r="C45" s="113" t="s">
        <v>77</v>
      </c>
      <c r="D45" s="114">
        <v>46131.0</v>
      </c>
      <c r="E45" s="114">
        <v>46227.0</v>
      </c>
      <c r="F45" s="115" t="str">
        <f t="shared" si="1"/>
        <v>Em andamento</v>
      </c>
      <c r="G45" s="115"/>
      <c r="H45" s="116"/>
      <c r="I45" s="117" t="str">
        <f>IF(COUNTIF(Detalhamento!A9:A329,A45)=0,"-",IF(COUNTIFS(Detalhamento!A9:A329,A45,Detalhamento!J9:J329,"Pendente")&gt;0,"Pendente",IF(COUNTIFS(Detalhamento!A9:A329,A45,Detalhamento!J9:J329,"OK")&gt;0,"OK","-")))</f>
        <v>-</v>
      </c>
      <c r="J45" s="117" t="str">
        <f>IF(COUNTIF(Detalhamento!A9:A329,A45)=0,"-",IF(COUNTIFS(Detalhamento!A9:A329,A45,Detalhamento!K9:K329,"Pendente")&gt;0,"Pendente",IF(COUNTIFS(Detalhamento!A9:A329,A45,Detalhamento!K9:K329,"OK")&gt;0,"OK","-")))</f>
        <v>-</v>
      </c>
      <c r="K45" s="117" t="str">
        <f>IF(COUNTIF(Detalhamento!A9:A329,A45)=0,"-",IF(COUNTIFS(Detalhamento!A9:A329,A45,Detalhamento!L9:L329,"Pendente")&gt;0,"Pendente",IF(COUNTIFS(Detalhamento!A9:A329,A45,Detalhamento!L9:L329,"OK")&gt;0,"OK","-")))</f>
        <v>-</v>
      </c>
      <c r="L45" s="117" t="str">
        <f>IF(COUNTIF(Detalhamento!A9:A329,A45)=0,"-",IF(COUNTIFS(Detalhamento!A9:A329,A45,Detalhamento!M9:M329,"Pendente")&gt;0,"Pendente",IF(COUNTIFS(Detalhamento!A9:A329,A45,Detalhamento!M9:M329,"OK")&gt;0,"OK","-")))</f>
        <v>-</v>
      </c>
      <c r="M45" s="117" t="str">
        <f>IF(COUNTIF(Detalhamento!A9:A329,A45)=0,"-",IF(COUNTIFS(Detalhamento!A9:A329,A45,Detalhamento!N9:N329,"Pendente")&gt;0,"Pendente",IF(COUNTIFS(Detalhamento!A9:A329,A45,Detalhamento!N9:N329,"OK")&gt;0,"OK","-")))</f>
        <v>-</v>
      </c>
      <c r="N45" s="118"/>
      <c r="O45" s="119" t="s">
        <v>230</v>
      </c>
      <c r="P45" s="15">
        <f>IF(A45="",0,COUNTIF(Detalhamento!A9:A329,A45))</f>
        <v>0</v>
      </c>
      <c r="Q45" s="15">
        <f>IF(A45="",0,COUNTIFS(Detalhamento!A9:A329,A45,Detalhamento!H9:H329,"Concluído"))</f>
        <v>0</v>
      </c>
      <c r="R45" s="120" t="str">
        <f t="shared" si="2"/>
        <v/>
      </c>
    </row>
    <row r="46" ht="28.5" customHeight="1">
      <c r="A46" s="111" t="s">
        <v>275</v>
      </c>
      <c r="B46" s="112" t="s">
        <v>276</v>
      </c>
      <c r="C46" s="113" t="s">
        <v>77</v>
      </c>
      <c r="D46" s="114">
        <v>46132.0</v>
      </c>
      <c r="E46" s="114">
        <v>46218.0</v>
      </c>
      <c r="F46" s="115" t="str">
        <f t="shared" si="1"/>
        <v>Em andamento</v>
      </c>
      <c r="G46" s="115"/>
      <c r="H46" s="116"/>
      <c r="I46" s="117" t="str">
        <f>IF(COUNTIF(Detalhamento!A9:A329,A46)=0,"-",IF(COUNTIFS(Detalhamento!A9:A329,A46,Detalhamento!J9:J329,"Pendente")&gt;0,"Pendente",IF(COUNTIFS(Detalhamento!A9:A329,A46,Detalhamento!J9:J329,"OK")&gt;0,"OK","-")))</f>
        <v>-</v>
      </c>
      <c r="J46" s="117" t="str">
        <f>IF(COUNTIF(Detalhamento!A9:A329,A46)=0,"-",IF(COUNTIFS(Detalhamento!A9:A329,A46,Detalhamento!K9:K329,"Pendente")&gt;0,"Pendente",IF(COUNTIFS(Detalhamento!A9:A329,A46,Detalhamento!K9:K329,"OK")&gt;0,"OK","-")))</f>
        <v>-</v>
      </c>
      <c r="K46" s="117" t="str">
        <f>IF(COUNTIF(Detalhamento!A9:A329,A46)=0,"-",IF(COUNTIFS(Detalhamento!A9:A329,A46,Detalhamento!L9:L329,"Pendente")&gt;0,"Pendente",IF(COUNTIFS(Detalhamento!A9:A329,A46,Detalhamento!L9:L329,"OK")&gt;0,"OK","-")))</f>
        <v>-</v>
      </c>
      <c r="L46" s="117" t="str">
        <f>IF(COUNTIF(Detalhamento!A9:A329,A46)=0,"-",IF(COUNTIFS(Detalhamento!A9:A329,A46,Detalhamento!M9:M329,"Pendente")&gt;0,"Pendente",IF(COUNTIFS(Detalhamento!A9:A329,A46,Detalhamento!M9:M329,"OK")&gt;0,"OK","-")))</f>
        <v>-</v>
      </c>
      <c r="M46" s="117" t="str">
        <f>IF(COUNTIF(Detalhamento!A9:A329,A46)=0,"-",IF(COUNTIFS(Detalhamento!A9:A329,A46,Detalhamento!N9:N329,"Pendente")&gt;0,"Pendente",IF(COUNTIFS(Detalhamento!A9:A329,A46,Detalhamento!N9:N329,"OK")&gt;0,"OK","-")))</f>
        <v>-</v>
      </c>
      <c r="N46" s="118"/>
      <c r="O46" s="119" t="s">
        <v>230</v>
      </c>
      <c r="P46" s="15">
        <f>IF(A46="",0,COUNTIF(Detalhamento!A9:A329,A46))</f>
        <v>0</v>
      </c>
      <c r="Q46" s="15">
        <f>IF(A46="",0,COUNTIFS(Detalhamento!A9:A329,A46,Detalhamento!H9:H329,"Concluído"))</f>
        <v>0</v>
      </c>
      <c r="R46" s="120" t="str">
        <f t="shared" si="2"/>
        <v/>
      </c>
    </row>
    <row r="47" ht="24.0" customHeight="1">
      <c r="A47" s="111" t="s">
        <v>277</v>
      </c>
      <c r="B47" s="112" t="s">
        <v>278</v>
      </c>
      <c r="C47" s="113" t="s">
        <v>77</v>
      </c>
      <c r="D47" s="114">
        <v>46327.0</v>
      </c>
      <c r="E47" s="114">
        <v>46400.0</v>
      </c>
      <c r="F47" s="115" t="str">
        <f t="shared" si="1"/>
        <v>A iniciar</v>
      </c>
      <c r="G47" s="115"/>
      <c r="H47" s="116"/>
      <c r="I47" s="117" t="str">
        <f>IF(COUNTIF(Detalhamento!A9:A329,A47)=0,"-",IF(COUNTIFS(Detalhamento!A9:A329,A47,Detalhamento!J9:J329,"Pendente")&gt;0,"Pendente",IF(COUNTIFS(Detalhamento!A9:A329,A47,Detalhamento!J9:J329,"OK")&gt;0,"OK","-")))</f>
        <v>-</v>
      </c>
      <c r="J47" s="117" t="str">
        <f>IF(COUNTIF(Detalhamento!A9:A329,A47)=0,"-",IF(COUNTIFS(Detalhamento!A9:A329,A47,Detalhamento!K9:K329,"Pendente")&gt;0,"Pendente",IF(COUNTIFS(Detalhamento!A9:A329,A47,Detalhamento!K9:K329,"OK")&gt;0,"OK","-")))</f>
        <v>-</v>
      </c>
      <c r="K47" s="117" t="str">
        <f>IF(COUNTIF(Detalhamento!A9:A329,A47)=0,"-",IF(COUNTIFS(Detalhamento!A9:A329,A47,Detalhamento!L9:L329,"Pendente")&gt;0,"Pendente",IF(COUNTIFS(Detalhamento!A9:A329,A47,Detalhamento!L9:L329,"OK")&gt;0,"OK","-")))</f>
        <v>-</v>
      </c>
      <c r="L47" s="117" t="str">
        <f>IF(COUNTIF(Detalhamento!A9:A329,A47)=0,"-",IF(COUNTIFS(Detalhamento!A9:A329,A47,Detalhamento!M9:M329,"Pendente")&gt;0,"Pendente",IF(COUNTIFS(Detalhamento!A9:A329,A47,Detalhamento!M9:M329,"OK")&gt;0,"OK","-")))</f>
        <v>-</v>
      </c>
      <c r="M47" s="117" t="str">
        <f>IF(COUNTIF(Detalhamento!A9:A329,A47)=0,"-",IF(COUNTIFS(Detalhamento!A9:A329,A47,Detalhamento!N9:N329,"Pendente")&gt;0,"Pendente",IF(COUNTIFS(Detalhamento!A9:A329,A47,Detalhamento!N9:N329,"OK")&gt;0,"OK","-")))</f>
        <v>-</v>
      </c>
      <c r="N47" s="118"/>
      <c r="O47" s="119" t="s">
        <v>230</v>
      </c>
      <c r="P47" s="15">
        <f>IF(A47="",0,COUNTIF(Detalhamento!A9:A329,A47))</f>
        <v>0</v>
      </c>
      <c r="Q47" s="15">
        <f>IF(A47="",0,COUNTIFS(Detalhamento!A9:A329,A47,Detalhamento!H9:H329,"Concluído"))</f>
        <v>0</v>
      </c>
      <c r="R47" s="120" t="str">
        <f t="shared" si="2"/>
        <v/>
      </c>
    </row>
    <row r="48" ht="28.5" customHeight="1">
      <c r="A48" s="111" t="s">
        <v>279</v>
      </c>
      <c r="B48" s="112" t="s">
        <v>280</v>
      </c>
      <c r="C48" s="113" t="s">
        <v>77</v>
      </c>
      <c r="D48" s="114">
        <v>46132.0</v>
      </c>
      <c r="E48" s="114">
        <v>46218.0</v>
      </c>
      <c r="F48" s="115" t="str">
        <f t="shared" si="1"/>
        <v>Em andamento</v>
      </c>
      <c r="G48" s="115"/>
      <c r="H48" s="116"/>
      <c r="I48" s="117" t="str">
        <f>IF(COUNTIF(Detalhamento!A9:A329,A48)=0,"-",IF(COUNTIFS(Detalhamento!A9:A329,A48,Detalhamento!J9:J329,"Pendente")&gt;0,"Pendente",IF(COUNTIFS(Detalhamento!A9:A329,A48,Detalhamento!J9:J329,"OK")&gt;0,"OK","-")))</f>
        <v>-</v>
      </c>
      <c r="J48" s="117" t="str">
        <f>IF(COUNTIF(Detalhamento!A9:A329,A48)=0,"-",IF(COUNTIFS(Detalhamento!A9:A329,A48,Detalhamento!K9:K329,"Pendente")&gt;0,"Pendente",IF(COUNTIFS(Detalhamento!A9:A329,A48,Detalhamento!K9:K329,"OK")&gt;0,"OK","-")))</f>
        <v>-</v>
      </c>
      <c r="K48" s="117" t="str">
        <f>IF(COUNTIF(Detalhamento!A9:A329,A48)=0,"-",IF(COUNTIFS(Detalhamento!A9:A329,A48,Detalhamento!L9:L329,"Pendente")&gt;0,"Pendente",IF(COUNTIFS(Detalhamento!A9:A329,A48,Detalhamento!L9:L329,"OK")&gt;0,"OK","-")))</f>
        <v>-</v>
      </c>
      <c r="L48" s="117" t="str">
        <f>IF(COUNTIF(Detalhamento!A9:A329,A48)=0,"-",IF(COUNTIFS(Detalhamento!A9:A329,A48,Detalhamento!M9:M329,"Pendente")&gt;0,"Pendente",IF(COUNTIFS(Detalhamento!A9:A329,A48,Detalhamento!M9:M329,"OK")&gt;0,"OK","-")))</f>
        <v>-</v>
      </c>
      <c r="M48" s="117" t="str">
        <f>IF(COUNTIF(Detalhamento!A9:A329,A48)=0,"-",IF(COUNTIFS(Detalhamento!A9:A329,A48,Detalhamento!N9:N329,"Pendente")&gt;0,"Pendente",IF(COUNTIFS(Detalhamento!A9:A329,A48,Detalhamento!N9:N329,"OK")&gt;0,"OK","-")))</f>
        <v>-</v>
      </c>
      <c r="N48" s="118"/>
      <c r="O48" s="119" t="s">
        <v>230</v>
      </c>
      <c r="P48" s="15">
        <f>IF(A48="",0,COUNTIF(Detalhamento!A9:A329,A48))</f>
        <v>0</v>
      </c>
      <c r="Q48" s="15">
        <f>IF(A48="",0,COUNTIFS(Detalhamento!A9:A329,A48,Detalhamento!H9:H329,"Concluído"))</f>
        <v>0</v>
      </c>
      <c r="R48" s="120" t="str">
        <f t="shared" si="2"/>
        <v/>
      </c>
    </row>
    <row r="49" ht="24.0" customHeight="1">
      <c r="A49" s="111" t="s">
        <v>281</v>
      </c>
      <c r="B49" s="112" t="s">
        <v>282</v>
      </c>
      <c r="C49" s="113" t="s">
        <v>77</v>
      </c>
      <c r="D49" s="114">
        <v>46327.0</v>
      </c>
      <c r="E49" s="114">
        <v>46394.0</v>
      </c>
      <c r="F49" s="115" t="str">
        <f t="shared" si="1"/>
        <v>A iniciar</v>
      </c>
      <c r="G49" s="115"/>
      <c r="H49" s="116"/>
      <c r="I49" s="117" t="str">
        <f>IF(COUNTIF(Detalhamento!A9:A329,A49)=0,"-",IF(COUNTIFS(Detalhamento!A9:A329,A49,Detalhamento!J9:J329,"Pendente")&gt;0,"Pendente",IF(COUNTIFS(Detalhamento!A9:A329,A49,Detalhamento!J9:J329,"OK")&gt;0,"OK","-")))</f>
        <v>-</v>
      </c>
      <c r="J49" s="117" t="str">
        <f>IF(COUNTIF(Detalhamento!A9:A329,A49)=0,"-",IF(COUNTIFS(Detalhamento!A9:A329,A49,Detalhamento!K9:K329,"Pendente")&gt;0,"Pendente",IF(COUNTIFS(Detalhamento!A9:A329,A49,Detalhamento!K9:K329,"OK")&gt;0,"OK","-")))</f>
        <v>-</v>
      </c>
      <c r="K49" s="117" t="str">
        <f>IF(COUNTIF(Detalhamento!A9:A329,A49)=0,"-",IF(COUNTIFS(Detalhamento!A9:A329,A49,Detalhamento!L9:L329,"Pendente")&gt;0,"Pendente",IF(COUNTIFS(Detalhamento!A9:A329,A49,Detalhamento!L9:L329,"OK")&gt;0,"OK","-")))</f>
        <v>-</v>
      </c>
      <c r="L49" s="117" t="str">
        <f>IF(COUNTIF(Detalhamento!A9:A329,A49)=0,"-",IF(COUNTIFS(Detalhamento!A9:A329,A49,Detalhamento!M9:M329,"Pendente")&gt;0,"Pendente",IF(COUNTIFS(Detalhamento!A9:A329,A49,Detalhamento!M9:M329,"OK")&gt;0,"OK","-")))</f>
        <v>-</v>
      </c>
      <c r="M49" s="117" t="str">
        <f>IF(COUNTIF(Detalhamento!A9:A329,A49)=0,"-",IF(COUNTIFS(Detalhamento!A9:A329,A49,Detalhamento!N9:N329,"Pendente")&gt;0,"Pendente",IF(COUNTIFS(Detalhamento!A9:A329,A49,Detalhamento!N9:N329,"OK")&gt;0,"OK","-")))</f>
        <v>-</v>
      </c>
      <c r="N49" s="118"/>
      <c r="O49" s="119" t="s">
        <v>230</v>
      </c>
      <c r="P49" s="15">
        <f>IF(A49="",0,COUNTIF(Detalhamento!A9:A329,A49))</f>
        <v>0</v>
      </c>
      <c r="Q49" s="15">
        <f>IF(A49="",0,COUNTIFS(Detalhamento!A9:A329,A49,Detalhamento!H9:H329,"Concluído"))</f>
        <v>0</v>
      </c>
      <c r="R49" s="120" t="str">
        <f t="shared" si="2"/>
        <v/>
      </c>
    </row>
    <row r="50" ht="41.25" customHeight="1">
      <c r="A50" s="111" t="s">
        <v>283</v>
      </c>
      <c r="B50" s="112" t="s">
        <v>234</v>
      </c>
      <c r="C50" s="113" t="s">
        <v>195</v>
      </c>
      <c r="D50" s="114">
        <v>46064.0</v>
      </c>
      <c r="E50" s="114">
        <v>46094.0</v>
      </c>
      <c r="F50" s="115" t="str">
        <f t="shared" si="1"/>
        <v>Atrasado</v>
      </c>
      <c r="G50" s="115"/>
      <c r="H50" s="116"/>
      <c r="I50" s="117" t="str">
        <f>IF(COUNTIF(Detalhamento!A9:A329,A50)=0,"-",IF(COUNTIFS(Detalhamento!A9:A329,A50,Detalhamento!J9:J329,"Pendente")&gt;0,"Pendente",IF(COUNTIFS(Detalhamento!A9:A329,A50,Detalhamento!J9:J329,"OK")&gt;0,"OK","-")))</f>
        <v>-</v>
      </c>
      <c r="J50" s="117" t="str">
        <f>IF(COUNTIF(Detalhamento!A9:A329,A50)=0,"-",IF(COUNTIFS(Detalhamento!A9:A329,A50,Detalhamento!K9:K329,"Pendente")&gt;0,"Pendente",IF(COUNTIFS(Detalhamento!A9:A329,A50,Detalhamento!K9:K329,"OK")&gt;0,"OK","-")))</f>
        <v>-</v>
      </c>
      <c r="K50" s="117" t="str">
        <f>IF(COUNTIF(Detalhamento!A9:A329,A50)=0,"-",IF(COUNTIFS(Detalhamento!A9:A329,A50,Detalhamento!L9:L329,"Pendente")&gt;0,"Pendente",IF(COUNTIFS(Detalhamento!A9:A329,A50,Detalhamento!L9:L329,"OK")&gt;0,"OK","-")))</f>
        <v>-</v>
      </c>
      <c r="L50" s="117" t="str">
        <f>IF(COUNTIF(Detalhamento!A9:A329,A50)=0,"-",IF(COUNTIFS(Detalhamento!A9:A329,A50,Detalhamento!M9:M329,"Pendente")&gt;0,"Pendente",IF(COUNTIFS(Detalhamento!A9:A329,A50,Detalhamento!M9:M329,"OK")&gt;0,"OK","-")))</f>
        <v>-</v>
      </c>
      <c r="M50" s="117" t="str">
        <f>IF(COUNTIF(Detalhamento!A9:A329,A50)=0,"-",IF(COUNTIFS(Detalhamento!A9:A329,A50,Detalhamento!N9:N329,"Pendente")&gt;0,"Pendente",IF(COUNTIFS(Detalhamento!A9:A329,A50,Detalhamento!N9:N329,"OK")&gt;0,"OK","-")))</f>
        <v>-</v>
      </c>
      <c r="N50" s="118"/>
      <c r="O50" s="119" t="s">
        <v>230</v>
      </c>
      <c r="P50" s="15">
        <f>IF(A50="",0,COUNTIF(Detalhamento!A9:A329,A50))</f>
        <v>7</v>
      </c>
      <c r="Q50" s="15">
        <f>IF(A50="",0,COUNTIFS(Detalhamento!A9:A329,A50,Detalhamento!H9:H329,"Concluído"))</f>
        <v>0</v>
      </c>
      <c r="R50" s="120">
        <f t="shared" si="2"/>
        <v>0</v>
      </c>
    </row>
    <row r="51" ht="41.25" customHeight="1">
      <c r="A51" s="111" t="s">
        <v>284</v>
      </c>
      <c r="B51" s="112" t="s">
        <v>285</v>
      </c>
      <c r="C51" s="113" t="s">
        <v>195</v>
      </c>
      <c r="D51" s="114">
        <v>46089.0</v>
      </c>
      <c r="E51" s="114">
        <v>46103.0</v>
      </c>
      <c r="F51" s="115" t="str">
        <f t="shared" si="1"/>
        <v>Atrasado</v>
      </c>
      <c r="G51" s="115"/>
      <c r="H51" s="116"/>
      <c r="I51" s="117" t="str">
        <f>IF(COUNTIF(Detalhamento!A9:A329,A51)=0,"-",IF(COUNTIFS(Detalhamento!A9:A329,A51,Detalhamento!J9:J329,"Pendente")&gt;0,"Pendente",IF(COUNTIFS(Detalhamento!A9:A329,A51,Detalhamento!J9:J329,"OK")&gt;0,"OK","-")))</f>
        <v>-</v>
      </c>
      <c r="J51" s="117" t="str">
        <f>IF(COUNTIF(Detalhamento!A9:A329,A51)=0,"-",IF(COUNTIFS(Detalhamento!A9:A329,A51,Detalhamento!K9:K329,"Pendente")&gt;0,"Pendente",IF(COUNTIFS(Detalhamento!A9:A329,A51,Detalhamento!K9:K329,"OK")&gt;0,"OK","-")))</f>
        <v>-</v>
      </c>
      <c r="K51" s="117" t="str">
        <f>IF(COUNTIF(Detalhamento!A9:A329,A51)=0,"-",IF(COUNTIFS(Detalhamento!A9:A329,A51,Detalhamento!L9:L329,"Pendente")&gt;0,"Pendente",IF(COUNTIFS(Detalhamento!A9:A329,A51,Detalhamento!L9:L329,"OK")&gt;0,"OK","-")))</f>
        <v>-</v>
      </c>
      <c r="L51" s="117" t="str">
        <f>IF(COUNTIF(Detalhamento!A9:A329,A51)=0,"-",IF(COUNTIFS(Detalhamento!A9:A329,A51,Detalhamento!M9:M329,"Pendente")&gt;0,"Pendente",IF(COUNTIFS(Detalhamento!A9:A329,A51,Detalhamento!M9:M329,"OK")&gt;0,"OK","-")))</f>
        <v>-</v>
      </c>
      <c r="M51" s="117" t="str">
        <f>IF(COUNTIF(Detalhamento!A9:A329,A51)=0,"-",IF(COUNTIFS(Detalhamento!A9:A329,A51,Detalhamento!N9:N329,"Pendente")&gt;0,"Pendente",IF(COUNTIFS(Detalhamento!A9:A329,A51,Detalhamento!N9:N329,"OK")&gt;0,"OK","-")))</f>
        <v>-</v>
      </c>
      <c r="N51" s="118"/>
      <c r="O51" s="119" t="s">
        <v>230</v>
      </c>
      <c r="P51" s="15">
        <f>IF(A51="",0,COUNTIF(Detalhamento!A9:A329,A51))</f>
        <v>8</v>
      </c>
      <c r="Q51" s="15">
        <f>IF(A51="",0,COUNTIFS(Detalhamento!A9:A329,A51,Detalhamento!H9:H329,"Concluído"))</f>
        <v>0</v>
      </c>
      <c r="R51" s="120">
        <f t="shared" si="2"/>
        <v>0</v>
      </c>
    </row>
    <row r="52" ht="24.0" customHeight="1">
      <c r="A52" s="111" t="s">
        <v>286</v>
      </c>
      <c r="B52" s="112" t="s">
        <v>62</v>
      </c>
      <c r="C52" s="113" t="s">
        <v>195</v>
      </c>
      <c r="D52" s="114">
        <v>46064.0</v>
      </c>
      <c r="E52" s="114">
        <v>46184.0</v>
      </c>
      <c r="F52" s="115" t="str">
        <f t="shared" si="1"/>
        <v>Atrasado</v>
      </c>
      <c r="G52" s="115"/>
      <c r="H52" s="116"/>
      <c r="I52" s="117" t="str">
        <f>IF(COUNTIF(Detalhamento!A9:A329,A52)=0,"-",IF(COUNTIFS(Detalhamento!A9:A329,A52,Detalhamento!J9:J329,"Pendente")&gt;0,"Pendente",IF(COUNTIFS(Detalhamento!A9:A329,A52,Detalhamento!J9:J329,"OK")&gt;0,"OK","-")))</f>
        <v>-</v>
      </c>
      <c r="J52" s="117" t="str">
        <f>IF(COUNTIF(Detalhamento!A9:A329,A52)=0,"-",IF(COUNTIFS(Detalhamento!A9:A329,A52,Detalhamento!K9:K329,"Pendente")&gt;0,"Pendente",IF(COUNTIFS(Detalhamento!A9:A329,A52,Detalhamento!K9:K329,"OK")&gt;0,"OK","-")))</f>
        <v>-</v>
      </c>
      <c r="K52" s="117" t="str">
        <f>IF(COUNTIF(Detalhamento!A9:A329,A52)=0,"-",IF(COUNTIFS(Detalhamento!A9:A329,A52,Detalhamento!L9:L329,"Pendente")&gt;0,"Pendente",IF(COUNTIFS(Detalhamento!A9:A329,A52,Detalhamento!L9:L329,"OK")&gt;0,"OK","-")))</f>
        <v>-</v>
      </c>
      <c r="L52" s="117" t="str">
        <f>IF(COUNTIF(Detalhamento!A9:A329,A52)=0,"-",IF(COUNTIFS(Detalhamento!A9:A329,A52,Detalhamento!M9:M329,"Pendente")&gt;0,"Pendente",IF(COUNTIFS(Detalhamento!A9:A329,A52,Detalhamento!M9:M329,"OK")&gt;0,"OK","-")))</f>
        <v>-</v>
      </c>
      <c r="M52" s="117" t="str">
        <f>IF(COUNTIF(Detalhamento!A9:A329,A52)=0,"-",IF(COUNTIFS(Detalhamento!A9:A329,A52,Detalhamento!N9:N329,"Pendente")&gt;0,"Pendente",IF(COUNTIFS(Detalhamento!A9:A329,A52,Detalhamento!N9:N329,"OK")&gt;0,"OK","-")))</f>
        <v>-</v>
      </c>
      <c r="N52" s="118"/>
      <c r="O52" s="119" t="s">
        <v>230</v>
      </c>
      <c r="P52" s="15">
        <f>IF(A52="",0,COUNTIF(Detalhamento!A9:A329,A52))</f>
        <v>5</v>
      </c>
      <c r="Q52" s="15">
        <f>IF(A52="",0,COUNTIFS(Detalhamento!A9:A329,A52,Detalhamento!H9:H329,"Concluído"))</f>
        <v>0</v>
      </c>
      <c r="R52" s="120">
        <f t="shared" si="2"/>
        <v>0</v>
      </c>
    </row>
    <row r="53" ht="24.0" customHeight="1">
      <c r="A53" s="111" t="s">
        <v>287</v>
      </c>
      <c r="B53" s="112" t="s">
        <v>59</v>
      </c>
      <c r="C53" s="113" t="s">
        <v>195</v>
      </c>
      <c r="D53" s="114">
        <v>46064.0</v>
      </c>
      <c r="E53" s="114">
        <v>46202.0</v>
      </c>
      <c r="F53" s="115" t="str">
        <f t="shared" si="1"/>
        <v>Em andamento</v>
      </c>
      <c r="G53" s="115"/>
      <c r="H53" s="116"/>
      <c r="I53" s="117" t="str">
        <f>IF(COUNTIF(Detalhamento!A9:A329,A53)=0,"-",IF(COUNTIFS(Detalhamento!A9:A329,A53,Detalhamento!J9:J329,"Pendente")&gt;0,"Pendente",IF(COUNTIFS(Detalhamento!A9:A329,A53,Detalhamento!J9:J329,"OK")&gt;0,"OK","-")))</f>
        <v>-</v>
      </c>
      <c r="J53" s="117" t="str">
        <f>IF(COUNTIF(Detalhamento!A9:A329,A53)=0,"-",IF(COUNTIFS(Detalhamento!A9:A329,A53,Detalhamento!K9:K329,"Pendente")&gt;0,"Pendente",IF(COUNTIFS(Detalhamento!A9:A329,A53,Detalhamento!K9:K329,"OK")&gt;0,"OK","-")))</f>
        <v>-</v>
      </c>
      <c r="K53" s="117" t="str">
        <f>IF(COUNTIF(Detalhamento!A9:A329,A53)=0,"-",IF(COUNTIFS(Detalhamento!A9:A329,A53,Detalhamento!L9:L329,"Pendente")&gt;0,"Pendente",IF(COUNTIFS(Detalhamento!A9:A329,A53,Detalhamento!L9:L329,"OK")&gt;0,"OK","-")))</f>
        <v>-</v>
      </c>
      <c r="L53" s="117" t="str">
        <f>IF(COUNTIF(Detalhamento!A9:A329,A53)=0,"-",IF(COUNTIFS(Detalhamento!A9:A329,A53,Detalhamento!M9:M329,"Pendente")&gt;0,"Pendente",IF(COUNTIFS(Detalhamento!A9:A329,A53,Detalhamento!M9:M329,"OK")&gt;0,"OK","-")))</f>
        <v>-</v>
      </c>
      <c r="M53" s="117" t="str">
        <f>IF(COUNTIF(Detalhamento!A9:A329,A53)=0,"-",IF(COUNTIFS(Detalhamento!A9:A329,A53,Detalhamento!N9:N329,"Pendente")&gt;0,"Pendente",IF(COUNTIFS(Detalhamento!A9:A329,A53,Detalhamento!N9:N329,"OK")&gt;0,"OK","-")))</f>
        <v>-</v>
      </c>
      <c r="N53" s="118"/>
      <c r="O53" s="119" t="s">
        <v>230</v>
      </c>
      <c r="P53" s="15">
        <f>IF(A53="",0,COUNTIF(Detalhamento!A9:A329,A53))</f>
        <v>5</v>
      </c>
      <c r="Q53" s="15">
        <f>IF(A53="",0,COUNTIFS(Detalhamento!A9:A329,A53,Detalhamento!H9:H329,"Concluído"))</f>
        <v>0</v>
      </c>
      <c r="R53" s="120">
        <f t="shared" si="2"/>
        <v>0</v>
      </c>
    </row>
    <row r="54" ht="24.0" customHeight="1">
      <c r="A54" s="111" t="s">
        <v>288</v>
      </c>
      <c r="B54" s="112" t="s">
        <v>67</v>
      </c>
      <c r="C54" s="113" t="s">
        <v>195</v>
      </c>
      <c r="D54" s="114">
        <v>46187.0</v>
      </c>
      <c r="E54" s="114">
        <v>46394.0</v>
      </c>
      <c r="F54" s="115" t="str">
        <f t="shared" si="1"/>
        <v>Em andamento</v>
      </c>
      <c r="G54" s="115"/>
      <c r="H54" s="116"/>
      <c r="I54" s="117" t="str">
        <f>IF(COUNTIF(Detalhamento!A9:A329,A54)=0,"-",IF(COUNTIFS(Detalhamento!A9:A329,A54,Detalhamento!J9:J329,"Pendente")&gt;0,"Pendente",IF(COUNTIFS(Detalhamento!A9:A329,A54,Detalhamento!J9:J329,"OK")&gt;0,"OK","-")))</f>
        <v>-</v>
      </c>
      <c r="J54" s="117" t="str">
        <f>IF(COUNTIF(Detalhamento!A9:A329,A54)=0,"-",IF(COUNTIFS(Detalhamento!A9:A329,A54,Detalhamento!K9:K329,"Pendente")&gt;0,"Pendente",IF(COUNTIFS(Detalhamento!A9:A329,A54,Detalhamento!K9:K329,"OK")&gt;0,"OK","-")))</f>
        <v>-</v>
      </c>
      <c r="K54" s="117" t="str">
        <f>IF(COUNTIF(Detalhamento!A9:A329,A54)=0,"-",IF(COUNTIFS(Detalhamento!A9:A329,A54,Detalhamento!L9:L329,"Pendente")&gt;0,"Pendente",IF(COUNTIFS(Detalhamento!A9:A329,A54,Detalhamento!L9:L329,"OK")&gt;0,"OK","-")))</f>
        <v>-</v>
      </c>
      <c r="L54" s="117" t="str">
        <f>IF(COUNTIF(Detalhamento!A9:A329,A54)=0,"-",IF(COUNTIFS(Detalhamento!A9:A329,A54,Detalhamento!M9:M329,"Pendente")&gt;0,"Pendente",IF(COUNTIFS(Detalhamento!A9:A329,A54,Detalhamento!M9:M329,"OK")&gt;0,"OK","-")))</f>
        <v>-</v>
      </c>
      <c r="M54" s="117" t="str">
        <f>IF(COUNTIF(Detalhamento!A9:A329,A54)=0,"-",IF(COUNTIFS(Detalhamento!A9:A329,A54,Detalhamento!N9:N329,"Pendente")&gt;0,"Pendente",IF(COUNTIFS(Detalhamento!A9:A329,A54,Detalhamento!N9:N329,"OK")&gt;0,"OK","-")))</f>
        <v>-</v>
      </c>
      <c r="N54" s="118"/>
      <c r="O54" s="119" t="s">
        <v>230</v>
      </c>
      <c r="P54" s="15">
        <f>IF(A54="",0,COUNTIF(Detalhamento!A9:A329,A54))</f>
        <v>5</v>
      </c>
      <c r="Q54" s="15">
        <f>IF(A54="",0,COUNTIFS(Detalhamento!A9:A329,A54,Detalhamento!H9:H329,"Concluído"))</f>
        <v>0</v>
      </c>
      <c r="R54" s="120">
        <f t="shared" si="2"/>
        <v>0</v>
      </c>
    </row>
    <row r="55" ht="41.25" customHeight="1">
      <c r="A55" s="111" t="s">
        <v>289</v>
      </c>
      <c r="B55" s="112" t="s">
        <v>290</v>
      </c>
      <c r="C55" s="113" t="s">
        <v>195</v>
      </c>
      <c r="D55" s="114">
        <v>46145.0</v>
      </c>
      <c r="E55" s="114">
        <v>46191.0</v>
      </c>
      <c r="F55" s="115" t="str">
        <f t="shared" si="1"/>
        <v>Atrasado</v>
      </c>
      <c r="G55" s="115"/>
      <c r="H55" s="116"/>
      <c r="I55" s="117" t="str">
        <f>IF(COUNTIF(Detalhamento!A9:A329,A55)=0,"-",IF(COUNTIFS(Detalhamento!A9:A329,A55,Detalhamento!J9:J329,"Pendente")&gt;0,"Pendente",IF(COUNTIFS(Detalhamento!A9:A329,A55,Detalhamento!J9:J329,"OK")&gt;0,"OK","-")))</f>
        <v>-</v>
      </c>
      <c r="J55" s="117" t="str">
        <f>IF(COUNTIF(Detalhamento!A9:A329,A55)=0,"-",IF(COUNTIFS(Detalhamento!A9:A329,A55,Detalhamento!K9:K329,"Pendente")&gt;0,"Pendente",IF(COUNTIFS(Detalhamento!A9:A329,A55,Detalhamento!K9:K329,"OK")&gt;0,"OK","-")))</f>
        <v>-</v>
      </c>
      <c r="K55" s="117" t="str">
        <f>IF(COUNTIF(Detalhamento!A9:A329,A55)=0,"-",IF(COUNTIFS(Detalhamento!A9:A329,A55,Detalhamento!L9:L329,"Pendente")&gt;0,"Pendente",IF(COUNTIFS(Detalhamento!A9:A329,A55,Detalhamento!L9:L329,"OK")&gt;0,"OK","-")))</f>
        <v>-</v>
      </c>
      <c r="L55" s="117" t="str">
        <f>IF(COUNTIF(Detalhamento!A9:A329,A55)=0,"-",IF(COUNTIFS(Detalhamento!A9:A329,A55,Detalhamento!M9:M329,"Pendente")&gt;0,"Pendente",IF(COUNTIFS(Detalhamento!A9:A329,A55,Detalhamento!M9:M329,"OK")&gt;0,"OK","-")))</f>
        <v>-</v>
      </c>
      <c r="M55" s="117" t="str">
        <f>IF(COUNTIF(Detalhamento!A9:A329,A55)=0,"-",IF(COUNTIFS(Detalhamento!A9:A329,A55,Detalhamento!N9:N329,"Pendente")&gt;0,"Pendente",IF(COUNTIFS(Detalhamento!A9:A329,A55,Detalhamento!N9:N329,"OK")&gt;0,"OK","-")))</f>
        <v>-</v>
      </c>
      <c r="N55" s="118"/>
      <c r="O55" s="119" t="s">
        <v>230</v>
      </c>
      <c r="P55" s="15">
        <f>IF(A55="",0,COUNTIF(Detalhamento!A9:A329,A55))</f>
        <v>7</v>
      </c>
      <c r="Q55" s="15">
        <f>IF(A55="",0,COUNTIFS(Detalhamento!A9:A329,A55,Detalhamento!H9:H329,"Concluído"))</f>
        <v>0</v>
      </c>
      <c r="R55" s="120">
        <f t="shared" si="2"/>
        <v>0</v>
      </c>
    </row>
    <row r="56" ht="24.0" customHeight="1">
      <c r="A56" s="111" t="s">
        <v>291</v>
      </c>
      <c r="B56" s="112" t="s">
        <v>292</v>
      </c>
      <c r="C56" s="113" t="s">
        <v>195</v>
      </c>
      <c r="D56" s="114">
        <v>46064.0</v>
      </c>
      <c r="E56" s="114">
        <v>46080.0</v>
      </c>
      <c r="F56" s="115" t="str">
        <f t="shared" si="1"/>
        <v>Atrasado</v>
      </c>
      <c r="G56" s="115"/>
      <c r="H56" s="116"/>
      <c r="I56" s="117" t="str">
        <f>IF(COUNTIF(Detalhamento!A9:A329,A56)=0,"-",IF(COUNTIFS(Detalhamento!A9:A329,A56,Detalhamento!J9:J329,"Pendente")&gt;0,"Pendente",IF(COUNTIFS(Detalhamento!A9:A329,A56,Detalhamento!J9:J329,"OK")&gt;0,"OK","-")))</f>
        <v>-</v>
      </c>
      <c r="J56" s="117" t="str">
        <f>IF(COUNTIF(Detalhamento!A9:A329,A56)=0,"-",IF(COUNTIFS(Detalhamento!A9:A329,A56,Detalhamento!K9:K329,"Pendente")&gt;0,"Pendente",IF(COUNTIFS(Detalhamento!A9:A329,A56,Detalhamento!K9:K329,"OK")&gt;0,"OK","-")))</f>
        <v>-</v>
      </c>
      <c r="K56" s="117" t="str">
        <f>IF(COUNTIF(Detalhamento!A9:A329,A56)=0,"-",IF(COUNTIFS(Detalhamento!A9:A329,A56,Detalhamento!L9:L329,"Pendente")&gt;0,"Pendente",IF(COUNTIFS(Detalhamento!A9:A329,A56,Detalhamento!L9:L329,"OK")&gt;0,"OK","-")))</f>
        <v>-</v>
      </c>
      <c r="L56" s="117" t="str">
        <f>IF(COUNTIF(Detalhamento!A9:A329,A56)=0,"-",IF(COUNTIFS(Detalhamento!A9:A329,A56,Detalhamento!M9:M329,"Pendente")&gt;0,"Pendente",IF(COUNTIFS(Detalhamento!A9:A329,A56,Detalhamento!M9:M329,"OK")&gt;0,"OK","-")))</f>
        <v>-</v>
      </c>
      <c r="M56" s="117" t="str">
        <f>IF(COUNTIF(Detalhamento!A9:A329,A56)=0,"-",IF(COUNTIFS(Detalhamento!A9:A329,A56,Detalhamento!N9:N329,"Pendente")&gt;0,"Pendente",IF(COUNTIFS(Detalhamento!A9:A329,A56,Detalhamento!N9:N329,"OK")&gt;0,"OK","-")))</f>
        <v>-</v>
      </c>
      <c r="N56" s="118"/>
      <c r="O56" s="119" t="s">
        <v>230</v>
      </c>
      <c r="P56" s="15">
        <f>IF(A56="",0,COUNTIF(Detalhamento!A9:A329,A56))</f>
        <v>6</v>
      </c>
      <c r="Q56" s="15">
        <f>IF(A56="",0,COUNTIFS(Detalhamento!A9:A329,A56,Detalhamento!H9:H329,"Concluído"))</f>
        <v>0</v>
      </c>
      <c r="R56" s="120">
        <f t="shared" si="2"/>
        <v>0</v>
      </c>
    </row>
    <row r="57" ht="28.5" customHeight="1">
      <c r="A57" s="111" t="s">
        <v>293</v>
      </c>
      <c r="B57" s="112" t="s">
        <v>294</v>
      </c>
      <c r="C57" s="113" t="s">
        <v>195</v>
      </c>
      <c r="D57" s="114">
        <v>46089.0</v>
      </c>
      <c r="E57" s="114">
        <v>46122.0</v>
      </c>
      <c r="F57" s="115" t="str">
        <f t="shared" si="1"/>
        <v>Atrasado</v>
      </c>
      <c r="G57" s="115"/>
      <c r="H57" s="116"/>
      <c r="I57" s="117" t="str">
        <f>IF(COUNTIF(Detalhamento!A9:A329,A57)=0,"-",IF(COUNTIFS(Detalhamento!A9:A329,A57,Detalhamento!J9:J329,"Pendente")&gt;0,"Pendente",IF(COUNTIFS(Detalhamento!A9:A329,A57,Detalhamento!J9:J329,"OK")&gt;0,"OK","-")))</f>
        <v>-</v>
      </c>
      <c r="J57" s="117" t="str">
        <f>IF(COUNTIF(Detalhamento!A9:A329,A57)=0,"-",IF(COUNTIFS(Detalhamento!A9:A329,A57,Detalhamento!K9:K329,"Pendente")&gt;0,"Pendente",IF(COUNTIFS(Detalhamento!A9:A329,A57,Detalhamento!K9:K329,"OK")&gt;0,"OK","-")))</f>
        <v>-</v>
      </c>
      <c r="K57" s="117" t="str">
        <f>IF(COUNTIF(Detalhamento!A9:A329,A57)=0,"-",IF(COUNTIFS(Detalhamento!A9:A329,A57,Detalhamento!L9:L329,"Pendente")&gt;0,"Pendente",IF(COUNTIFS(Detalhamento!A9:A329,A57,Detalhamento!L9:L329,"OK")&gt;0,"OK","-")))</f>
        <v>-</v>
      </c>
      <c r="L57" s="117" t="str">
        <f>IF(COUNTIF(Detalhamento!A9:A329,A57)=0,"-",IF(COUNTIFS(Detalhamento!A9:A329,A57,Detalhamento!M9:M329,"Pendente")&gt;0,"Pendente",IF(COUNTIFS(Detalhamento!A9:A329,A57,Detalhamento!M9:M329,"OK")&gt;0,"OK","-")))</f>
        <v>-</v>
      </c>
      <c r="M57" s="117" t="str">
        <f>IF(COUNTIF(Detalhamento!A9:A329,A57)=0,"-",IF(COUNTIFS(Detalhamento!A9:A329,A57,Detalhamento!N9:N329,"Pendente")&gt;0,"Pendente",IF(COUNTIFS(Detalhamento!A9:A329,A57,Detalhamento!N9:N329,"OK")&gt;0,"OK","-")))</f>
        <v>-</v>
      </c>
      <c r="N57" s="118"/>
      <c r="O57" s="119" t="s">
        <v>230</v>
      </c>
      <c r="P57" s="15">
        <f>IF(A57="",0,COUNTIF(Detalhamento!A9:A329,A57))</f>
        <v>7</v>
      </c>
      <c r="Q57" s="15">
        <f>IF(A57="",0,COUNTIFS(Detalhamento!A9:A329,A57,Detalhamento!H9:H329,"Concluído"))</f>
        <v>0</v>
      </c>
      <c r="R57" s="120">
        <f t="shared" si="2"/>
        <v>0</v>
      </c>
    </row>
    <row r="58" ht="41.25" customHeight="1">
      <c r="A58" s="111" t="s">
        <v>295</v>
      </c>
      <c r="B58" s="112" t="s">
        <v>296</v>
      </c>
      <c r="C58" s="113" t="s">
        <v>195</v>
      </c>
      <c r="D58" s="114">
        <v>46077.0</v>
      </c>
      <c r="E58" s="114">
        <v>46094.0</v>
      </c>
      <c r="F58" s="115" t="str">
        <f t="shared" si="1"/>
        <v>Atrasado</v>
      </c>
      <c r="G58" s="115"/>
      <c r="H58" s="116"/>
      <c r="I58" s="117" t="str">
        <f>IF(COUNTIF(Detalhamento!A9:A329,A58)=0,"-",IF(COUNTIFS(Detalhamento!A9:A329,A58,Detalhamento!J9:J329,"Pendente")&gt;0,"Pendente",IF(COUNTIFS(Detalhamento!A9:A329,A58,Detalhamento!J9:J329,"OK")&gt;0,"OK","-")))</f>
        <v>-</v>
      </c>
      <c r="J58" s="117" t="str">
        <f>IF(COUNTIF(Detalhamento!A9:A329,A58)=0,"-",IF(COUNTIFS(Detalhamento!A9:A329,A58,Detalhamento!K9:K329,"Pendente")&gt;0,"Pendente",IF(COUNTIFS(Detalhamento!A9:A329,A58,Detalhamento!K9:K329,"OK")&gt;0,"OK","-")))</f>
        <v>-</v>
      </c>
      <c r="K58" s="117" t="str">
        <f>IF(COUNTIF(Detalhamento!A9:A329,A58)=0,"-",IF(COUNTIFS(Detalhamento!A9:A329,A58,Detalhamento!L9:L329,"Pendente")&gt;0,"Pendente",IF(COUNTIFS(Detalhamento!A9:A329,A58,Detalhamento!L9:L329,"OK")&gt;0,"OK","-")))</f>
        <v>-</v>
      </c>
      <c r="L58" s="117" t="str">
        <f>IF(COUNTIF(Detalhamento!A9:A329,A58)=0,"-",IF(COUNTIFS(Detalhamento!A9:A329,A58,Detalhamento!M9:M329,"Pendente")&gt;0,"Pendente",IF(COUNTIFS(Detalhamento!A9:A329,A58,Detalhamento!M9:M329,"OK")&gt;0,"OK","-")))</f>
        <v>-</v>
      </c>
      <c r="M58" s="117" t="str">
        <f>IF(COUNTIF(Detalhamento!A9:A329,A58)=0,"-",IF(COUNTIFS(Detalhamento!A9:A329,A58,Detalhamento!N9:N329,"Pendente")&gt;0,"Pendente",IF(COUNTIFS(Detalhamento!A9:A329,A58,Detalhamento!N9:N329,"OK")&gt;0,"OK","-")))</f>
        <v>-</v>
      </c>
      <c r="N58" s="118"/>
      <c r="O58" s="119" t="s">
        <v>230</v>
      </c>
      <c r="P58" s="15">
        <f>IF(A58="",0,COUNTIF(Detalhamento!A9:A329,A58))</f>
        <v>5</v>
      </c>
      <c r="Q58" s="15">
        <f>IF(A58="",0,COUNTIFS(Detalhamento!A9:A329,A58,Detalhamento!H9:H329,"Concluído"))</f>
        <v>0</v>
      </c>
      <c r="R58" s="120">
        <f t="shared" si="2"/>
        <v>0</v>
      </c>
    </row>
    <row r="59" ht="24.0" customHeight="1">
      <c r="A59" s="111" t="s">
        <v>297</v>
      </c>
      <c r="B59" s="112" t="s">
        <v>298</v>
      </c>
      <c r="C59" s="113" t="s">
        <v>195</v>
      </c>
      <c r="D59" s="121">
        <v>46161.0</v>
      </c>
      <c r="E59" s="121">
        <v>46180.0</v>
      </c>
      <c r="F59" s="115" t="str">
        <f t="shared" si="1"/>
        <v>Atrasado</v>
      </c>
      <c r="G59" s="115"/>
      <c r="H59" s="116"/>
      <c r="I59" s="117" t="str">
        <f>IF(COUNTIF(Detalhamento!A9:A329,A59)=0,"-",IF(COUNTIFS(Detalhamento!A9:A329,A59,Detalhamento!J9:J329,"Pendente")&gt;0,"Pendente",IF(COUNTIFS(Detalhamento!A9:A329,A59,Detalhamento!J9:J329,"OK")&gt;0,"OK","-")))</f>
        <v>-</v>
      </c>
      <c r="J59" s="117" t="str">
        <f>IF(COUNTIF(Detalhamento!A9:A329,A59)=0,"-",IF(COUNTIFS(Detalhamento!A9:A329,A59,Detalhamento!K9:K329,"Pendente")&gt;0,"Pendente",IF(COUNTIFS(Detalhamento!A9:A329,A59,Detalhamento!K9:K329,"OK")&gt;0,"OK","-")))</f>
        <v>-</v>
      </c>
      <c r="K59" s="117" t="str">
        <f>IF(COUNTIF(Detalhamento!A9:A329,A59)=0,"-",IF(COUNTIFS(Detalhamento!A9:A329,A59,Detalhamento!L9:L329,"Pendente")&gt;0,"Pendente",IF(COUNTIFS(Detalhamento!A9:A329,A59,Detalhamento!L9:L329,"OK")&gt;0,"OK","-")))</f>
        <v>-</v>
      </c>
      <c r="L59" s="117" t="str">
        <f>IF(COUNTIF(Detalhamento!A9:A329,A59)=0,"-",IF(COUNTIFS(Detalhamento!A9:A329,A59,Detalhamento!M9:M329,"Pendente")&gt;0,"Pendente",IF(COUNTIFS(Detalhamento!A9:A329,A59,Detalhamento!M9:M329,"OK")&gt;0,"OK","-")))</f>
        <v>-</v>
      </c>
      <c r="M59" s="117" t="str">
        <f>IF(COUNTIF(Detalhamento!A9:A329,A59)=0,"-",IF(COUNTIFS(Detalhamento!A9:A329,A59,Detalhamento!N9:N329,"Pendente")&gt;0,"Pendente",IF(COUNTIFS(Detalhamento!A9:A329,A59,Detalhamento!N9:N329,"OK")&gt;0,"OK","-")))</f>
        <v>-</v>
      </c>
      <c r="N59" s="118"/>
      <c r="O59" s="119" t="s">
        <v>230</v>
      </c>
      <c r="P59" s="15">
        <f>IF(A59="",0,COUNTIF(Detalhamento!A9:A329,A59))</f>
        <v>8</v>
      </c>
      <c r="Q59" s="15">
        <f>IF(A59="",0,COUNTIFS(Detalhamento!A9:A329,A59,Detalhamento!H9:H329,"Concluído"))</f>
        <v>0</v>
      </c>
      <c r="R59" s="120">
        <f t="shared" si="2"/>
        <v>0</v>
      </c>
    </row>
    <row r="60" ht="41.25" customHeight="1">
      <c r="A60" s="111" t="s">
        <v>299</v>
      </c>
      <c r="B60" s="112" t="s">
        <v>300</v>
      </c>
      <c r="C60" s="113" t="s">
        <v>195</v>
      </c>
      <c r="D60" s="114">
        <v>46076.0</v>
      </c>
      <c r="E60" s="114">
        <v>46086.0</v>
      </c>
      <c r="F60" s="115" t="str">
        <f t="shared" si="1"/>
        <v>Atrasado</v>
      </c>
      <c r="G60" s="115"/>
      <c r="H60" s="116"/>
      <c r="I60" s="117" t="str">
        <f>IF(COUNTIF(Detalhamento!A9:A329,A60)=0,"-",IF(COUNTIFS(Detalhamento!A9:A329,A60,Detalhamento!J9:J329,"Pendente")&gt;0,"Pendente",IF(COUNTIFS(Detalhamento!A9:A329,A60,Detalhamento!J9:J329,"OK")&gt;0,"OK","-")))</f>
        <v>-</v>
      </c>
      <c r="J60" s="117" t="str">
        <f>IF(COUNTIF(Detalhamento!A9:A329,A60)=0,"-",IF(COUNTIFS(Detalhamento!A9:A329,A60,Detalhamento!K9:K329,"Pendente")&gt;0,"Pendente",IF(COUNTIFS(Detalhamento!A9:A329,A60,Detalhamento!K9:K329,"OK")&gt;0,"OK","-")))</f>
        <v>-</v>
      </c>
      <c r="K60" s="117" t="str">
        <f>IF(COUNTIF(Detalhamento!A9:A329,A60)=0,"-",IF(COUNTIFS(Detalhamento!A9:A329,A60,Detalhamento!L9:L329,"Pendente")&gt;0,"Pendente",IF(COUNTIFS(Detalhamento!A9:A329,A60,Detalhamento!L9:L329,"OK")&gt;0,"OK","-")))</f>
        <v>-</v>
      </c>
      <c r="L60" s="117" t="str">
        <f>IF(COUNTIF(Detalhamento!A9:A329,A60)=0,"-",IF(COUNTIFS(Detalhamento!A9:A329,A60,Detalhamento!M9:M329,"Pendente")&gt;0,"Pendente",IF(COUNTIFS(Detalhamento!A9:A329,A60,Detalhamento!M9:M329,"OK")&gt;0,"OK","-")))</f>
        <v>-</v>
      </c>
      <c r="M60" s="117" t="str">
        <f>IF(COUNTIF(Detalhamento!A9:A329,A60)=0,"-",IF(COUNTIFS(Detalhamento!A9:A329,A60,Detalhamento!N9:N329,"Pendente")&gt;0,"Pendente",IF(COUNTIFS(Detalhamento!A9:A329,A60,Detalhamento!N9:N329,"OK")&gt;0,"OK","-")))</f>
        <v>-</v>
      </c>
      <c r="N60" s="118"/>
      <c r="O60" s="119" t="s">
        <v>230</v>
      </c>
      <c r="P60" s="15">
        <f>IF(A60="",0,COUNTIF(Detalhamento!A9:A329,A60))</f>
        <v>5</v>
      </c>
      <c r="Q60" s="15">
        <f>IF(A60="",0,COUNTIFS(Detalhamento!A9:A329,A60,Detalhamento!H9:H329,"Concluído"))</f>
        <v>0</v>
      </c>
      <c r="R60" s="120">
        <f t="shared" si="2"/>
        <v>0</v>
      </c>
    </row>
    <row r="61" ht="28.5" customHeight="1">
      <c r="A61" s="111" t="s">
        <v>301</v>
      </c>
      <c r="B61" s="112" t="s">
        <v>302</v>
      </c>
      <c r="C61" s="113" t="s">
        <v>195</v>
      </c>
      <c r="D61" s="114"/>
      <c r="E61" s="114"/>
      <c r="F61" s="115" t="str">
        <f t="shared" si="1"/>
        <v>Sem data</v>
      </c>
      <c r="G61" s="115"/>
      <c r="H61" s="116"/>
      <c r="I61" s="117" t="str">
        <f>IF(COUNTIF(Detalhamento!A9:A329,A61)=0,"-",IF(COUNTIFS(Detalhamento!A9:A329,A61,Detalhamento!J9:J329,"Pendente")&gt;0,"Pendente",IF(COUNTIFS(Detalhamento!A9:A329,A61,Detalhamento!J9:J329,"OK")&gt;0,"OK","-")))</f>
        <v>-</v>
      </c>
      <c r="J61" s="117" t="str">
        <f>IF(COUNTIF(Detalhamento!A9:A329,A61)=0,"-",IF(COUNTIFS(Detalhamento!A9:A329,A61,Detalhamento!K9:K329,"Pendente")&gt;0,"Pendente",IF(COUNTIFS(Detalhamento!A9:A329,A61,Detalhamento!K9:K329,"OK")&gt;0,"OK","-")))</f>
        <v>-</v>
      </c>
      <c r="K61" s="117" t="str">
        <f>IF(COUNTIF(Detalhamento!A9:A329,A61)=0,"-",IF(COUNTIFS(Detalhamento!A9:A329,A61,Detalhamento!L9:L329,"Pendente")&gt;0,"Pendente",IF(COUNTIFS(Detalhamento!A9:A329,A61,Detalhamento!L9:L329,"OK")&gt;0,"OK","-")))</f>
        <v>-</v>
      </c>
      <c r="L61" s="117" t="str">
        <f>IF(COUNTIF(Detalhamento!A9:A329,A61)=0,"-",IF(COUNTIFS(Detalhamento!A9:A329,A61,Detalhamento!M9:M329,"Pendente")&gt;0,"Pendente",IF(COUNTIFS(Detalhamento!A9:A329,A61,Detalhamento!M9:M329,"OK")&gt;0,"OK","-")))</f>
        <v>-</v>
      </c>
      <c r="M61" s="117" t="str">
        <f>IF(COUNTIF(Detalhamento!A9:A329,A61)=0,"-",IF(COUNTIFS(Detalhamento!A9:A329,A61,Detalhamento!N9:N329,"Pendente")&gt;0,"Pendente",IF(COUNTIFS(Detalhamento!A9:A329,A61,Detalhamento!N9:N329,"OK")&gt;0,"OK","-")))</f>
        <v>-</v>
      </c>
      <c r="N61" s="118"/>
      <c r="O61" s="119" t="s">
        <v>230</v>
      </c>
      <c r="P61" s="15">
        <f>IF(A61="",0,COUNTIF(Detalhamento!A9:A329,A61))</f>
        <v>10</v>
      </c>
      <c r="Q61" s="15">
        <f>IF(A61="",0,COUNTIFS(Detalhamento!A9:A329,A61,Detalhamento!H9:H329,"Concluído"))</f>
        <v>0</v>
      </c>
      <c r="R61" s="120">
        <f t="shared" si="2"/>
        <v>0</v>
      </c>
    </row>
    <row r="62" ht="41.25" customHeight="1">
      <c r="A62" s="111" t="s">
        <v>109</v>
      </c>
      <c r="B62" s="112" t="s">
        <v>303</v>
      </c>
      <c r="C62" s="113" t="s">
        <v>195</v>
      </c>
      <c r="D62" s="114">
        <v>46111.0</v>
      </c>
      <c r="E62" s="114">
        <v>46136.0</v>
      </c>
      <c r="F62" s="115" t="str">
        <f t="shared" si="1"/>
        <v>Atrasado</v>
      </c>
      <c r="G62" s="115"/>
      <c r="H62" s="116"/>
      <c r="I62" s="117" t="str">
        <f>IF(COUNTIF(Detalhamento!A9:A329,A62)=0,"-",IF(COUNTIFS(Detalhamento!A9:A329,A62,Detalhamento!J9:J329,"Pendente")&gt;0,"Pendente",IF(COUNTIFS(Detalhamento!A9:A329,A62,Detalhamento!J9:J329,"OK")&gt;0,"OK","-")))</f>
        <v>-</v>
      </c>
      <c r="J62" s="117" t="str">
        <f>IF(COUNTIF(Detalhamento!A9:A329,A62)=0,"-",IF(COUNTIFS(Detalhamento!A9:A329,A62,Detalhamento!K9:K329,"Pendente")&gt;0,"Pendente",IF(COUNTIFS(Detalhamento!A9:A329,A62,Detalhamento!K9:K329,"OK")&gt;0,"OK","-")))</f>
        <v>-</v>
      </c>
      <c r="K62" s="117" t="str">
        <f>IF(COUNTIF(Detalhamento!A9:A329,A62)=0,"-",IF(COUNTIFS(Detalhamento!A9:A329,A62,Detalhamento!L9:L329,"Pendente")&gt;0,"Pendente",IF(COUNTIFS(Detalhamento!A9:A329,A62,Detalhamento!L9:L329,"OK")&gt;0,"OK","-")))</f>
        <v>-</v>
      </c>
      <c r="L62" s="117" t="str">
        <f>IF(COUNTIF(Detalhamento!A9:A329,A62)=0,"-",IF(COUNTIFS(Detalhamento!A9:A329,A62,Detalhamento!M9:M329,"Pendente")&gt;0,"Pendente",IF(COUNTIFS(Detalhamento!A9:A329,A62,Detalhamento!M9:M329,"OK")&gt;0,"OK","-")))</f>
        <v>-</v>
      </c>
      <c r="M62" s="117" t="str">
        <f>IF(COUNTIF(Detalhamento!A9:A329,A62)=0,"-",IF(COUNTIFS(Detalhamento!A9:A329,A62,Detalhamento!N9:N329,"Pendente")&gt;0,"Pendente",IF(COUNTIFS(Detalhamento!A9:A329,A62,Detalhamento!N9:N329,"OK")&gt;0,"OK","-")))</f>
        <v>-</v>
      </c>
      <c r="N62" s="118"/>
      <c r="O62" s="119" t="s">
        <v>230</v>
      </c>
      <c r="P62" s="15">
        <f>IF(A62="",0,COUNTIF(Detalhamento!A9:A329,A62))</f>
        <v>7</v>
      </c>
      <c r="Q62" s="15">
        <f>IF(A62="",0,COUNTIFS(Detalhamento!A9:A329,A62,Detalhamento!H9:H329,"Concluído"))</f>
        <v>0</v>
      </c>
      <c r="R62" s="120">
        <f t="shared" si="2"/>
        <v>0</v>
      </c>
    </row>
    <row r="63" ht="41.25" customHeight="1">
      <c r="A63" s="111" t="s">
        <v>110</v>
      </c>
      <c r="B63" s="112" t="s">
        <v>304</v>
      </c>
      <c r="C63" s="113" t="s">
        <v>195</v>
      </c>
      <c r="D63" s="114">
        <v>46271.0</v>
      </c>
      <c r="E63" s="114">
        <v>46317.0</v>
      </c>
      <c r="F63" s="115" t="str">
        <f t="shared" si="1"/>
        <v>A iniciar</v>
      </c>
      <c r="G63" s="115"/>
      <c r="H63" s="116"/>
      <c r="I63" s="117" t="str">
        <f>IF(COUNTIF(Detalhamento!A9:A329,A63)=0,"-",IF(COUNTIFS(Detalhamento!A9:A329,A63,Detalhamento!J9:J329,"Pendente")&gt;0,"Pendente",IF(COUNTIFS(Detalhamento!A9:A329,A63,Detalhamento!J9:J329,"OK")&gt;0,"OK","-")))</f>
        <v>-</v>
      </c>
      <c r="J63" s="117" t="str">
        <f>IF(COUNTIF(Detalhamento!A9:A329,A63)=0,"-",IF(COUNTIFS(Detalhamento!A9:A329,A63,Detalhamento!K9:K329,"Pendente")&gt;0,"Pendente",IF(COUNTIFS(Detalhamento!A9:A329,A63,Detalhamento!K9:K329,"OK")&gt;0,"OK","-")))</f>
        <v>-</v>
      </c>
      <c r="K63" s="117" t="str">
        <f>IF(COUNTIF(Detalhamento!A9:A329,A63)=0,"-",IF(COUNTIFS(Detalhamento!A9:A329,A63,Detalhamento!L9:L329,"Pendente")&gt;0,"Pendente",IF(COUNTIFS(Detalhamento!A9:A329,A63,Detalhamento!L9:L329,"OK")&gt;0,"OK","-")))</f>
        <v>-</v>
      </c>
      <c r="L63" s="117" t="str">
        <f>IF(COUNTIF(Detalhamento!A9:A329,A63)=0,"-",IF(COUNTIFS(Detalhamento!A9:A329,A63,Detalhamento!M9:M329,"Pendente")&gt;0,"Pendente",IF(COUNTIFS(Detalhamento!A9:A329,A63,Detalhamento!M9:M329,"OK")&gt;0,"OK","-")))</f>
        <v>-</v>
      </c>
      <c r="M63" s="117" t="str">
        <f>IF(COUNTIF(Detalhamento!A9:A329,A63)=0,"-",IF(COUNTIFS(Detalhamento!A9:A329,A63,Detalhamento!N9:N329,"Pendente")&gt;0,"Pendente",IF(COUNTIFS(Detalhamento!A9:A329,A63,Detalhamento!N9:N329,"OK")&gt;0,"OK","-")))</f>
        <v>-</v>
      </c>
      <c r="N63" s="118"/>
      <c r="O63" s="119" t="s">
        <v>230</v>
      </c>
      <c r="P63" s="15">
        <f>IF(A63="",0,COUNTIF(Detalhamento!A9:A329,A63))</f>
        <v>12</v>
      </c>
      <c r="Q63" s="15">
        <f>IF(A63="",0,COUNTIFS(Detalhamento!A9:A329,A63,Detalhamento!H9:H329,"Concluído"))</f>
        <v>0</v>
      </c>
      <c r="R63" s="120">
        <f t="shared" si="2"/>
        <v>0</v>
      </c>
    </row>
    <row r="64" ht="41.25" customHeight="1">
      <c r="A64" s="111" t="s">
        <v>111</v>
      </c>
      <c r="B64" s="112" t="s">
        <v>305</v>
      </c>
      <c r="C64" s="113" t="s">
        <v>195</v>
      </c>
      <c r="D64" s="114">
        <v>46111.0</v>
      </c>
      <c r="E64" s="114">
        <v>46136.0</v>
      </c>
      <c r="F64" s="115" t="str">
        <f t="shared" si="1"/>
        <v>Atrasado</v>
      </c>
      <c r="G64" s="115"/>
      <c r="H64" s="116"/>
      <c r="I64" s="117" t="str">
        <f>IF(COUNTIF(Detalhamento!A9:A329,A64)=0,"-",IF(COUNTIFS(Detalhamento!A9:A329,A64,Detalhamento!J9:J329,"Pendente")&gt;0,"Pendente",IF(COUNTIFS(Detalhamento!A9:A329,A64,Detalhamento!J9:J329,"OK")&gt;0,"OK","-")))</f>
        <v>-</v>
      </c>
      <c r="J64" s="117" t="str">
        <f>IF(COUNTIF(Detalhamento!A9:A329,A64)=0,"-",IF(COUNTIFS(Detalhamento!A9:A329,A64,Detalhamento!K9:K329,"Pendente")&gt;0,"Pendente",IF(COUNTIFS(Detalhamento!A9:A329,A64,Detalhamento!K9:K329,"OK")&gt;0,"OK","-")))</f>
        <v>-</v>
      </c>
      <c r="K64" s="117" t="str">
        <f>IF(COUNTIF(Detalhamento!A9:A329,A64)=0,"-",IF(COUNTIFS(Detalhamento!A9:A329,A64,Detalhamento!L9:L329,"Pendente")&gt;0,"Pendente",IF(COUNTIFS(Detalhamento!A9:A329,A64,Detalhamento!L9:L329,"OK")&gt;0,"OK","-")))</f>
        <v>-</v>
      </c>
      <c r="L64" s="117" t="str">
        <f>IF(COUNTIF(Detalhamento!A9:A329,A64)=0,"-",IF(COUNTIFS(Detalhamento!A9:A329,A64,Detalhamento!M9:M329,"Pendente")&gt;0,"Pendente",IF(COUNTIFS(Detalhamento!A9:A329,A64,Detalhamento!M9:M329,"OK")&gt;0,"OK","-")))</f>
        <v>-</v>
      </c>
      <c r="M64" s="117" t="str">
        <f>IF(COUNTIF(Detalhamento!A9:A329,A64)=0,"-",IF(COUNTIFS(Detalhamento!A9:A329,A64,Detalhamento!N9:N329,"Pendente")&gt;0,"Pendente",IF(COUNTIFS(Detalhamento!A9:A329,A64,Detalhamento!N9:N329,"OK")&gt;0,"OK","-")))</f>
        <v>-</v>
      </c>
      <c r="N64" s="118"/>
      <c r="O64" s="119" t="s">
        <v>230</v>
      </c>
      <c r="P64" s="15">
        <f>IF(A64="",0,COUNTIF(Detalhamento!A9:A329,A64))</f>
        <v>9</v>
      </c>
      <c r="Q64" s="15">
        <f>IF(A64="",0,COUNTIFS(Detalhamento!A9:A329,A64,Detalhamento!H9:H329,"Concluído"))</f>
        <v>0</v>
      </c>
      <c r="R64" s="120">
        <f t="shared" si="2"/>
        <v>0</v>
      </c>
    </row>
    <row r="65" ht="103.5" customHeight="1">
      <c r="A65" s="111" t="s">
        <v>112</v>
      </c>
      <c r="B65" s="112" t="s">
        <v>306</v>
      </c>
      <c r="C65" s="113" t="s">
        <v>195</v>
      </c>
      <c r="D65" s="114">
        <v>46145.0</v>
      </c>
      <c r="E65" s="114">
        <v>46177.0</v>
      </c>
      <c r="F65" s="115" t="str">
        <f t="shared" si="1"/>
        <v>Atrasado</v>
      </c>
      <c r="G65" s="115"/>
      <c r="H65" s="116"/>
      <c r="I65" s="117" t="str">
        <f>IF(COUNTIF(Detalhamento!A9:A329,A65)=0,"-",IF(COUNTIFS(Detalhamento!A9:A329,A65,Detalhamento!J9:J329,"Pendente")&gt;0,"Pendente",IF(COUNTIFS(Detalhamento!A9:A329,A65,Detalhamento!J9:J329,"OK")&gt;0,"OK","-")))</f>
        <v>-</v>
      </c>
      <c r="J65" s="117" t="str">
        <f>IF(COUNTIF(Detalhamento!A9:A329,A65)=0,"-",IF(COUNTIFS(Detalhamento!A9:A329,A65,Detalhamento!K9:K329,"Pendente")&gt;0,"Pendente",IF(COUNTIFS(Detalhamento!A9:A329,A65,Detalhamento!K9:K329,"OK")&gt;0,"OK","-")))</f>
        <v>-</v>
      </c>
      <c r="K65" s="117" t="str">
        <f>IF(COUNTIF(Detalhamento!A9:A329,A65)=0,"-",IF(COUNTIFS(Detalhamento!A9:A329,A65,Detalhamento!L9:L329,"Pendente")&gt;0,"Pendente",IF(COUNTIFS(Detalhamento!A9:A329,A65,Detalhamento!L9:L329,"OK")&gt;0,"OK","-")))</f>
        <v>-</v>
      </c>
      <c r="L65" s="117" t="str">
        <f>IF(COUNTIF(Detalhamento!A9:A329,A65)=0,"-",IF(COUNTIFS(Detalhamento!A9:A329,A65,Detalhamento!M9:M329,"Pendente")&gt;0,"Pendente",IF(COUNTIFS(Detalhamento!A9:A329,A65,Detalhamento!M9:M329,"OK")&gt;0,"OK","-")))</f>
        <v>-</v>
      </c>
      <c r="M65" s="117" t="str">
        <f>IF(COUNTIF(Detalhamento!A9:A329,A65)=0,"-",IF(COUNTIFS(Detalhamento!A9:A329,A65,Detalhamento!N9:N329,"Pendente")&gt;0,"Pendente",IF(COUNTIFS(Detalhamento!A9:A329,A65,Detalhamento!N9:N329,"OK")&gt;0,"OK","-")))</f>
        <v>-</v>
      </c>
      <c r="N65" s="118"/>
      <c r="O65" s="119" t="s">
        <v>230</v>
      </c>
      <c r="P65" s="15">
        <f>IF(A65="",0,COUNTIF(Detalhamento!A9:A329,A65))</f>
        <v>10</v>
      </c>
      <c r="Q65" s="15">
        <f>IF(A65="",0,COUNTIFS(Detalhamento!A9:A329,A65,Detalhamento!H9:H329,"Concluído"))</f>
        <v>0</v>
      </c>
      <c r="R65" s="120">
        <f t="shared" si="2"/>
        <v>0</v>
      </c>
    </row>
    <row r="66" ht="109.5" customHeight="1">
      <c r="A66" s="111" t="s">
        <v>113</v>
      </c>
      <c r="B66" s="112" t="s">
        <v>307</v>
      </c>
      <c r="C66" s="113" t="s">
        <v>195</v>
      </c>
      <c r="D66" s="114">
        <v>46138.0</v>
      </c>
      <c r="E66" s="114">
        <v>46201.0</v>
      </c>
      <c r="F66" s="115" t="str">
        <f t="shared" si="1"/>
        <v>Em andamento</v>
      </c>
      <c r="G66" s="115"/>
      <c r="H66" s="116"/>
      <c r="I66" s="117" t="str">
        <f>IF(COUNTIF(Detalhamento!A9:A329,A66)=0,"-",IF(COUNTIFS(Detalhamento!A9:A329,A66,Detalhamento!J9:J329,"Pendente")&gt;0,"Pendente",IF(COUNTIFS(Detalhamento!A9:A329,A66,Detalhamento!J9:J329,"OK")&gt;0,"OK","-")))</f>
        <v>-</v>
      </c>
      <c r="J66" s="117" t="str">
        <f>IF(COUNTIF(Detalhamento!A9:A329,A66)=0,"-",IF(COUNTIFS(Detalhamento!A9:A329,A66,Detalhamento!K9:K329,"Pendente")&gt;0,"Pendente",IF(COUNTIFS(Detalhamento!A9:A329,A66,Detalhamento!K9:K329,"OK")&gt;0,"OK","-")))</f>
        <v>-</v>
      </c>
      <c r="K66" s="117" t="str">
        <f>IF(COUNTIF(Detalhamento!A9:A329,A66)=0,"-",IF(COUNTIFS(Detalhamento!A9:A329,A66,Detalhamento!L9:L329,"Pendente")&gt;0,"Pendente",IF(COUNTIFS(Detalhamento!A9:A329,A66,Detalhamento!L9:L329,"OK")&gt;0,"OK","-")))</f>
        <v>-</v>
      </c>
      <c r="L66" s="117" t="str">
        <f>IF(COUNTIF(Detalhamento!A9:A329,A66)=0,"-",IF(COUNTIFS(Detalhamento!A9:A329,A66,Detalhamento!M9:M329,"Pendente")&gt;0,"Pendente",IF(COUNTIFS(Detalhamento!A9:A329,A66,Detalhamento!M9:M329,"OK")&gt;0,"OK","-")))</f>
        <v>-</v>
      </c>
      <c r="M66" s="117" t="str">
        <f>IF(COUNTIF(Detalhamento!A9:A329,A66)=0,"-",IF(COUNTIFS(Detalhamento!A9:A329,A66,Detalhamento!N9:N329,"Pendente")&gt;0,"Pendente",IF(COUNTIFS(Detalhamento!A9:A329,A66,Detalhamento!N9:N329,"OK")&gt;0,"OK","-")))</f>
        <v>-</v>
      </c>
      <c r="N66" s="118"/>
      <c r="O66" s="119" t="s">
        <v>230</v>
      </c>
      <c r="P66" s="15">
        <f>IF(A66="",0,COUNTIF(Detalhamento!A9:A329,A66))</f>
        <v>9</v>
      </c>
      <c r="Q66" s="15">
        <f>IF(A66="",0,COUNTIFS(Detalhamento!A9:A329,A66,Detalhamento!H9:H329,"Concluído"))</f>
        <v>0</v>
      </c>
      <c r="R66" s="120">
        <f t="shared" si="2"/>
        <v>0</v>
      </c>
    </row>
    <row r="67" ht="24.0" customHeight="1">
      <c r="A67" s="111" t="s">
        <v>114</v>
      </c>
      <c r="B67" s="112" t="s">
        <v>308</v>
      </c>
      <c r="C67" s="113" t="s">
        <v>195</v>
      </c>
      <c r="D67" s="114">
        <v>46129.0</v>
      </c>
      <c r="E67" s="114">
        <v>46147.0</v>
      </c>
      <c r="F67" s="115" t="str">
        <f t="shared" si="1"/>
        <v>Atrasado</v>
      </c>
      <c r="G67" s="115"/>
      <c r="H67" s="116"/>
      <c r="I67" s="117" t="str">
        <f>IF(COUNTIF(Detalhamento!A9:A329,A67)=0,"-",IF(COUNTIFS(Detalhamento!A9:A329,A67,Detalhamento!J9:J329,"Pendente")&gt;0,"Pendente",IF(COUNTIFS(Detalhamento!A9:A329,A67,Detalhamento!J9:J329,"OK")&gt;0,"OK","-")))</f>
        <v>-</v>
      </c>
      <c r="J67" s="117" t="str">
        <f>IF(COUNTIF(Detalhamento!A9:A329,A67)=0,"-",IF(COUNTIFS(Detalhamento!A9:A329,A67,Detalhamento!K9:K329,"Pendente")&gt;0,"Pendente",IF(COUNTIFS(Detalhamento!A9:A329,A67,Detalhamento!K9:K329,"OK")&gt;0,"OK","-")))</f>
        <v>-</v>
      </c>
      <c r="K67" s="117" t="str">
        <f>IF(COUNTIF(Detalhamento!A9:A329,A67)=0,"-",IF(COUNTIFS(Detalhamento!A9:A329,A67,Detalhamento!L9:L329,"Pendente")&gt;0,"Pendente",IF(COUNTIFS(Detalhamento!A9:A329,A67,Detalhamento!L9:L329,"OK")&gt;0,"OK","-")))</f>
        <v>-</v>
      </c>
      <c r="L67" s="117" t="str">
        <f>IF(COUNTIF(Detalhamento!A9:A329,A67)=0,"-",IF(COUNTIFS(Detalhamento!A9:A329,A67,Detalhamento!M9:M329,"Pendente")&gt;0,"Pendente",IF(COUNTIFS(Detalhamento!A9:A329,A67,Detalhamento!M9:M329,"OK")&gt;0,"OK","-")))</f>
        <v>-</v>
      </c>
      <c r="M67" s="117" t="str">
        <f>IF(COUNTIF(Detalhamento!A9:A329,A67)=0,"-",IF(COUNTIFS(Detalhamento!A9:A329,A67,Detalhamento!N9:N329,"Pendente")&gt;0,"Pendente",IF(COUNTIFS(Detalhamento!A9:A329,A67,Detalhamento!N9:N329,"OK")&gt;0,"OK","-")))</f>
        <v>-</v>
      </c>
      <c r="N67" s="118"/>
      <c r="O67" s="119" t="s">
        <v>230</v>
      </c>
      <c r="P67" s="15">
        <f>IF(A67="",0,COUNTIF(Detalhamento!A9:A329,A67))</f>
        <v>2</v>
      </c>
      <c r="Q67" s="15">
        <f>IF(A67="",0,COUNTIFS(Detalhamento!A9:A329,A67,Detalhamento!H9:H329,"Concluído"))</f>
        <v>0</v>
      </c>
      <c r="R67" s="120">
        <f t="shared" si="2"/>
        <v>0</v>
      </c>
    </row>
    <row r="68" ht="24.0" customHeight="1">
      <c r="A68" s="111" t="s">
        <v>115</v>
      </c>
      <c r="B68" s="112" t="s">
        <v>309</v>
      </c>
      <c r="C68" s="113" t="s">
        <v>195</v>
      </c>
      <c r="D68" s="114">
        <v>46124.0</v>
      </c>
      <c r="E68" s="114">
        <v>46170.0</v>
      </c>
      <c r="F68" s="115" t="str">
        <f t="shared" si="1"/>
        <v>Atrasado</v>
      </c>
      <c r="G68" s="115"/>
      <c r="H68" s="116"/>
      <c r="I68" s="117" t="str">
        <f>IF(COUNTIF(Detalhamento!A9:A329,A68)=0,"-",IF(COUNTIFS(Detalhamento!A9:A329,A68,Detalhamento!J9:J329,"Pendente")&gt;0,"Pendente",IF(COUNTIFS(Detalhamento!A9:A329,A68,Detalhamento!J9:J329,"OK")&gt;0,"OK","-")))</f>
        <v>-</v>
      </c>
      <c r="J68" s="117" t="str">
        <f>IF(COUNTIF(Detalhamento!A9:A329,A68)=0,"-",IF(COUNTIFS(Detalhamento!A9:A329,A68,Detalhamento!K9:K329,"Pendente")&gt;0,"Pendente",IF(COUNTIFS(Detalhamento!A9:A329,A68,Detalhamento!K9:K329,"OK")&gt;0,"OK","-")))</f>
        <v>-</v>
      </c>
      <c r="K68" s="117" t="str">
        <f>IF(COUNTIF(Detalhamento!A9:A329,A68)=0,"-",IF(COUNTIFS(Detalhamento!A9:A329,A68,Detalhamento!L9:L329,"Pendente")&gt;0,"Pendente",IF(COUNTIFS(Detalhamento!A9:A329,A68,Detalhamento!L9:L329,"OK")&gt;0,"OK","-")))</f>
        <v>-</v>
      </c>
      <c r="L68" s="117" t="str">
        <f>IF(COUNTIF(Detalhamento!A9:A329,A68)=0,"-",IF(COUNTIFS(Detalhamento!A9:A329,A68,Detalhamento!M9:M329,"Pendente")&gt;0,"Pendente",IF(COUNTIFS(Detalhamento!A9:A329,A68,Detalhamento!M9:M329,"OK")&gt;0,"OK","-")))</f>
        <v>-</v>
      </c>
      <c r="M68" s="117" t="str">
        <f>IF(COUNTIF(Detalhamento!A9:A329,A68)=0,"-",IF(COUNTIFS(Detalhamento!A9:A329,A68,Detalhamento!N9:N329,"Pendente")&gt;0,"Pendente",IF(COUNTIFS(Detalhamento!A9:A329,A68,Detalhamento!N9:N329,"OK")&gt;0,"OK","-")))</f>
        <v>-</v>
      </c>
      <c r="N68" s="118"/>
      <c r="O68" s="119" t="s">
        <v>230</v>
      </c>
      <c r="P68" s="15">
        <f>IF(A68="",0,COUNTIF(Detalhamento!A9:A329,A68))</f>
        <v>7</v>
      </c>
      <c r="Q68" s="15">
        <f>IF(A68="",0,COUNTIFS(Detalhamento!A9:A329,A68,Detalhamento!H9:H329,"Concluído"))</f>
        <v>0</v>
      </c>
      <c r="R68" s="120">
        <f t="shared" si="2"/>
        <v>0</v>
      </c>
    </row>
    <row r="69" ht="28.5" customHeight="1">
      <c r="A69" s="111" t="s">
        <v>116</v>
      </c>
      <c r="B69" s="112" t="s">
        <v>310</v>
      </c>
      <c r="C69" s="113" t="s">
        <v>195</v>
      </c>
      <c r="D69" s="114">
        <v>46166.0</v>
      </c>
      <c r="E69" s="114">
        <v>46264.0</v>
      </c>
      <c r="F69" s="115" t="str">
        <f t="shared" si="1"/>
        <v>Em andamento</v>
      </c>
      <c r="G69" s="115"/>
      <c r="H69" s="116"/>
      <c r="I69" s="117" t="str">
        <f>IF(COUNTIF(Detalhamento!A9:A329,A69)=0,"-",IF(COUNTIFS(Detalhamento!A9:A329,A69,Detalhamento!J9:J329,"Pendente")&gt;0,"Pendente",IF(COUNTIFS(Detalhamento!A9:A329,A69,Detalhamento!J9:J329,"OK")&gt;0,"OK","-")))</f>
        <v>-</v>
      </c>
      <c r="J69" s="117" t="str">
        <f>IF(COUNTIF(Detalhamento!A9:A329,A69)=0,"-",IF(COUNTIFS(Detalhamento!A9:A329,A69,Detalhamento!K9:K329,"Pendente")&gt;0,"Pendente",IF(COUNTIFS(Detalhamento!A9:A329,A69,Detalhamento!K9:K329,"OK")&gt;0,"OK","-")))</f>
        <v>-</v>
      </c>
      <c r="K69" s="117" t="str">
        <f>IF(COUNTIF(Detalhamento!A9:A329,A69)=0,"-",IF(COUNTIFS(Detalhamento!A9:A329,A69,Detalhamento!L9:L329,"Pendente")&gt;0,"Pendente",IF(COUNTIFS(Detalhamento!A9:A329,A69,Detalhamento!L9:L329,"OK")&gt;0,"OK","-")))</f>
        <v>-</v>
      </c>
      <c r="L69" s="117" t="str">
        <f>IF(COUNTIF(Detalhamento!A9:A329,A69)=0,"-",IF(COUNTIFS(Detalhamento!A9:A329,A69,Detalhamento!M9:M329,"Pendente")&gt;0,"Pendente",IF(COUNTIFS(Detalhamento!A9:A329,A69,Detalhamento!M9:M329,"OK")&gt;0,"OK","-")))</f>
        <v>-</v>
      </c>
      <c r="M69" s="117" t="str">
        <f>IF(COUNTIF(Detalhamento!A9:A329,A69)=0,"-",IF(COUNTIFS(Detalhamento!A9:A329,A69,Detalhamento!N9:N329,"Pendente")&gt;0,"Pendente",IF(COUNTIFS(Detalhamento!A9:A329,A69,Detalhamento!N9:N329,"OK")&gt;0,"OK","-")))</f>
        <v>-</v>
      </c>
      <c r="N69" s="118"/>
      <c r="O69" s="119" t="s">
        <v>230</v>
      </c>
      <c r="P69" s="15">
        <f>IF(A69="",0,COUNTIF(Detalhamento!A9:A329,A69))</f>
        <v>8</v>
      </c>
      <c r="Q69" s="15">
        <f>IF(A69="",0,COUNTIFS(Detalhamento!A9:A329,A69,Detalhamento!H9:H329,"Concluído"))</f>
        <v>0</v>
      </c>
      <c r="R69" s="120">
        <f t="shared" si="2"/>
        <v>0</v>
      </c>
    </row>
    <row r="70" ht="41.25" customHeight="1">
      <c r="A70" s="111" t="s">
        <v>117</v>
      </c>
      <c r="B70" s="112" t="s">
        <v>311</v>
      </c>
      <c r="C70" s="113" t="s">
        <v>195</v>
      </c>
      <c r="D70" s="114">
        <v>46166.0</v>
      </c>
      <c r="E70" s="114">
        <v>46264.0</v>
      </c>
      <c r="F70" s="115" t="str">
        <f t="shared" si="1"/>
        <v>Em andamento</v>
      </c>
      <c r="G70" s="115"/>
      <c r="H70" s="116"/>
      <c r="I70" s="117" t="str">
        <f>IF(COUNTIF(Detalhamento!A9:A329,A70)=0,"-",IF(COUNTIFS(Detalhamento!A9:A329,A70,Detalhamento!J9:J329,"Pendente")&gt;0,"Pendente",IF(COUNTIFS(Detalhamento!A9:A329,A70,Detalhamento!J9:J329,"OK")&gt;0,"OK","-")))</f>
        <v>-</v>
      </c>
      <c r="J70" s="117" t="str">
        <f>IF(COUNTIF(Detalhamento!A9:A329,A70)=0,"-",IF(COUNTIFS(Detalhamento!A9:A329,A70,Detalhamento!K9:K329,"Pendente")&gt;0,"Pendente",IF(COUNTIFS(Detalhamento!A9:A329,A70,Detalhamento!K9:K329,"OK")&gt;0,"OK","-")))</f>
        <v>-</v>
      </c>
      <c r="K70" s="117" t="str">
        <f>IF(COUNTIF(Detalhamento!A9:A329,A70)=0,"-",IF(COUNTIFS(Detalhamento!A9:A329,A70,Detalhamento!L9:L329,"Pendente")&gt;0,"Pendente",IF(COUNTIFS(Detalhamento!A9:A329,A70,Detalhamento!L9:L329,"OK")&gt;0,"OK","-")))</f>
        <v>-</v>
      </c>
      <c r="L70" s="117" t="str">
        <f>IF(COUNTIF(Detalhamento!A9:A329,A70)=0,"-",IF(COUNTIFS(Detalhamento!A9:A329,A70,Detalhamento!M9:M329,"Pendente")&gt;0,"Pendente",IF(COUNTIFS(Detalhamento!A9:A329,A70,Detalhamento!M9:M329,"OK")&gt;0,"OK","-")))</f>
        <v>-</v>
      </c>
      <c r="M70" s="117" t="str">
        <f>IF(COUNTIF(Detalhamento!A9:A329,A70)=0,"-",IF(COUNTIFS(Detalhamento!A9:A329,A70,Detalhamento!N9:N329,"Pendente")&gt;0,"Pendente",IF(COUNTIFS(Detalhamento!A9:A329,A70,Detalhamento!N9:N329,"OK")&gt;0,"OK","-")))</f>
        <v>-</v>
      </c>
      <c r="N70" s="118"/>
      <c r="O70" s="119" t="s">
        <v>230</v>
      </c>
      <c r="P70" s="15">
        <f>IF(A70="",0,COUNTIF(Detalhamento!A9:A329,A70))</f>
        <v>8</v>
      </c>
      <c r="Q70" s="15">
        <f>IF(A70="",0,COUNTIFS(Detalhamento!A9:A329,A70,Detalhamento!H9:H329,"Concluído"))</f>
        <v>0</v>
      </c>
      <c r="R70" s="120">
        <f t="shared" si="2"/>
        <v>0</v>
      </c>
    </row>
    <row r="71" ht="28.5" customHeight="1">
      <c r="A71" s="111" t="s">
        <v>118</v>
      </c>
      <c r="B71" s="112" t="s">
        <v>312</v>
      </c>
      <c r="C71" s="113" t="s">
        <v>195</v>
      </c>
      <c r="D71" s="114">
        <v>46166.0</v>
      </c>
      <c r="E71" s="114">
        <v>46264.0</v>
      </c>
      <c r="F71" s="115" t="str">
        <f t="shared" si="1"/>
        <v>Em andamento</v>
      </c>
      <c r="G71" s="115"/>
      <c r="H71" s="116"/>
      <c r="I71" s="117" t="str">
        <f>IF(COUNTIF(Detalhamento!A9:A329,A71)=0,"-",IF(COUNTIFS(Detalhamento!A9:A329,A71,Detalhamento!J9:J329,"Pendente")&gt;0,"Pendente",IF(COUNTIFS(Detalhamento!A9:A329,A71,Detalhamento!J9:J329,"OK")&gt;0,"OK","-")))</f>
        <v>-</v>
      </c>
      <c r="J71" s="117" t="str">
        <f>IF(COUNTIF(Detalhamento!A9:A329,A71)=0,"-",IF(COUNTIFS(Detalhamento!A9:A329,A71,Detalhamento!K9:K329,"Pendente")&gt;0,"Pendente",IF(COUNTIFS(Detalhamento!A9:A329,A71,Detalhamento!K9:K329,"OK")&gt;0,"OK","-")))</f>
        <v>-</v>
      </c>
      <c r="K71" s="117" t="str">
        <f>IF(COUNTIF(Detalhamento!A9:A329,A71)=0,"-",IF(COUNTIFS(Detalhamento!A9:A329,A71,Detalhamento!L9:L329,"Pendente")&gt;0,"Pendente",IF(COUNTIFS(Detalhamento!A9:A329,A71,Detalhamento!L9:L329,"OK")&gt;0,"OK","-")))</f>
        <v>-</v>
      </c>
      <c r="L71" s="117" t="str">
        <f>IF(COUNTIF(Detalhamento!A9:A329,A71)=0,"-",IF(COUNTIFS(Detalhamento!A9:A329,A71,Detalhamento!M9:M329,"Pendente")&gt;0,"Pendente",IF(COUNTIFS(Detalhamento!A9:A329,A71,Detalhamento!M9:M329,"OK")&gt;0,"OK","-")))</f>
        <v>-</v>
      </c>
      <c r="M71" s="117" t="str">
        <f>IF(COUNTIF(Detalhamento!A9:A329,A71)=0,"-",IF(COUNTIFS(Detalhamento!A9:A329,A71,Detalhamento!N9:N329,"Pendente")&gt;0,"Pendente",IF(COUNTIFS(Detalhamento!A9:A329,A71,Detalhamento!N9:N329,"OK")&gt;0,"OK","-")))</f>
        <v>-</v>
      </c>
      <c r="N71" s="118"/>
      <c r="O71" s="119" t="s">
        <v>230</v>
      </c>
      <c r="P71" s="15">
        <f>IF(A71="",0,COUNTIF(Detalhamento!A9:A329,A71))</f>
        <v>8</v>
      </c>
      <c r="Q71" s="15">
        <f>IF(A71="",0,COUNTIFS(Detalhamento!A9:A329,A71,Detalhamento!H9:H329,"Concluído"))</f>
        <v>0</v>
      </c>
      <c r="R71" s="120">
        <f t="shared" si="2"/>
        <v>0</v>
      </c>
    </row>
    <row r="72" ht="24.0" customHeight="1">
      <c r="A72" s="111" t="s">
        <v>119</v>
      </c>
      <c r="B72" s="112" t="s">
        <v>313</v>
      </c>
      <c r="C72" s="113" t="s">
        <v>195</v>
      </c>
      <c r="D72" s="114">
        <v>46166.0</v>
      </c>
      <c r="E72" s="114">
        <v>46264.0</v>
      </c>
      <c r="F72" s="115" t="str">
        <f t="shared" si="1"/>
        <v>Em andamento</v>
      </c>
      <c r="G72" s="115"/>
      <c r="H72" s="116"/>
      <c r="I72" s="117" t="str">
        <f>IF(COUNTIF(Detalhamento!A9:A329,A72)=0,"-",IF(COUNTIFS(Detalhamento!A9:A329,A72,Detalhamento!J9:J329,"Pendente")&gt;0,"Pendente",IF(COUNTIFS(Detalhamento!A9:A329,A72,Detalhamento!J9:J329,"OK")&gt;0,"OK","-")))</f>
        <v>-</v>
      </c>
      <c r="J72" s="117" t="str">
        <f>IF(COUNTIF(Detalhamento!A9:A329,A72)=0,"-",IF(COUNTIFS(Detalhamento!A9:A329,A72,Detalhamento!K9:K329,"Pendente")&gt;0,"Pendente",IF(COUNTIFS(Detalhamento!A9:A329,A72,Detalhamento!K9:K329,"OK")&gt;0,"OK","-")))</f>
        <v>-</v>
      </c>
      <c r="K72" s="117" t="str">
        <f>IF(COUNTIF(Detalhamento!A9:A329,A72)=0,"-",IF(COUNTIFS(Detalhamento!A9:A329,A72,Detalhamento!L9:L329,"Pendente")&gt;0,"Pendente",IF(COUNTIFS(Detalhamento!A9:A329,A72,Detalhamento!L9:L329,"OK")&gt;0,"OK","-")))</f>
        <v>-</v>
      </c>
      <c r="L72" s="117" t="str">
        <f>IF(COUNTIF(Detalhamento!A9:A329,A72)=0,"-",IF(COUNTIFS(Detalhamento!A9:A329,A72,Detalhamento!M9:M329,"Pendente")&gt;0,"Pendente",IF(COUNTIFS(Detalhamento!A9:A329,A72,Detalhamento!M9:M329,"OK")&gt;0,"OK","-")))</f>
        <v>-</v>
      </c>
      <c r="M72" s="117" t="str">
        <f>IF(COUNTIF(Detalhamento!A9:A329,A72)=0,"-",IF(COUNTIFS(Detalhamento!A9:A329,A72,Detalhamento!N9:N329,"Pendente")&gt;0,"Pendente",IF(COUNTIFS(Detalhamento!A9:A329,A72,Detalhamento!N9:N329,"OK")&gt;0,"OK","-")))</f>
        <v>-</v>
      </c>
      <c r="N72" s="118"/>
      <c r="O72" s="119" t="s">
        <v>230</v>
      </c>
      <c r="P72" s="15">
        <f>IF(A72="",0,COUNTIF(Detalhamento!A9:A329,A72))</f>
        <v>9</v>
      </c>
      <c r="Q72" s="15">
        <f>IF(A72="",0,COUNTIFS(Detalhamento!A9:A329,A72,Detalhamento!H9:H329,"Concluído"))</f>
        <v>0</v>
      </c>
      <c r="R72" s="120">
        <f t="shared" si="2"/>
        <v>0</v>
      </c>
    </row>
    <row r="73" ht="109.5" customHeight="1">
      <c r="A73" s="111" t="s">
        <v>120</v>
      </c>
      <c r="B73" s="112" t="s">
        <v>314</v>
      </c>
      <c r="C73" s="113" t="s">
        <v>195</v>
      </c>
      <c r="D73" s="114">
        <v>46264.0</v>
      </c>
      <c r="E73" s="114">
        <v>46294.0</v>
      </c>
      <c r="F73" s="115" t="str">
        <f t="shared" si="1"/>
        <v>A iniciar</v>
      </c>
      <c r="G73" s="115"/>
      <c r="H73" s="116"/>
      <c r="I73" s="117" t="str">
        <f>IF(COUNTIF(Detalhamento!A9:A329,A73)=0,"-",IF(COUNTIFS(Detalhamento!A9:A329,A73,Detalhamento!J9:J329,"Pendente")&gt;0,"Pendente",IF(COUNTIFS(Detalhamento!A9:A329,A73,Detalhamento!J9:J329,"OK")&gt;0,"OK","-")))</f>
        <v>-</v>
      </c>
      <c r="J73" s="117" t="str">
        <f>IF(COUNTIF(Detalhamento!A9:A329,A73)=0,"-",IF(COUNTIFS(Detalhamento!A9:A329,A73,Detalhamento!K9:K329,"Pendente")&gt;0,"Pendente",IF(COUNTIFS(Detalhamento!A9:A329,A73,Detalhamento!K9:K329,"OK")&gt;0,"OK","-")))</f>
        <v>-</v>
      </c>
      <c r="K73" s="117" t="str">
        <f>IF(COUNTIF(Detalhamento!A9:A329,A73)=0,"-",IF(COUNTIFS(Detalhamento!A9:A329,A73,Detalhamento!L9:L329,"Pendente")&gt;0,"Pendente",IF(COUNTIFS(Detalhamento!A9:A329,A73,Detalhamento!L9:L329,"OK")&gt;0,"OK","-")))</f>
        <v>-</v>
      </c>
      <c r="L73" s="117" t="str">
        <f>IF(COUNTIF(Detalhamento!A9:A329,A73)=0,"-",IF(COUNTIFS(Detalhamento!A9:A329,A73,Detalhamento!M9:M329,"Pendente")&gt;0,"Pendente",IF(COUNTIFS(Detalhamento!A9:A329,A73,Detalhamento!M9:M329,"OK")&gt;0,"OK","-")))</f>
        <v>-</v>
      </c>
      <c r="M73" s="117" t="str">
        <f>IF(COUNTIF(Detalhamento!A9:A329,A73)=0,"-",IF(COUNTIFS(Detalhamento!A9:A329,A73,Detalhamento!N9:N329,"Pendente")&gt;0,"Pendente",IF(COUNTIFS(Detalhamento!A9:A329,A73,Detalhamento!N9:N329,"OK")&gt;0,"OK","-")))</f>
        <v>-</v>
      </c>
      <c r="N73" s="118"/>
      <c r="O73" s="119" t="s">
        <v>230</v>
      </c>
      <c r="P73" s="15">
        <f>IF(A73="",0,COUNTIF(Detalhamento!A9:A329,A73))</f>
        <v>8</v>
      </c>
      <c r="Q73" s="15">
        <f>IF(A73="",0,COUNTIFS(Detalhamento!A9:A329,A73,Detalhamento!H9:H329,"Concluído"))</f>
        <v>0</v>
      </c>
      <c r="R73" s="120">
        <f t="shared" si="2"/>
        <v>0</v>
      </c>
    </row>
    <row r="74" ht="109.5" customHeight="1">
      <c r="A74" s="111" t="s">
        <v>121</v>
      </c>
      <c r="B74" s="112" t="s">
        <v>315</v>
      </c>
      <c r="C74" s="113" t="s">
        <v>195</v>
      </c>
      <c r="D74" s="114">
        <v>46264.0</v>
      </c>
      <c r="E74" s="114">
        <v>46294.0</v>
      </c>
      <c r="F74" s="115" t="str">
        <f t="shared" si="1"/>
        <v>A iniciar</v>
      </c>
      <c r="G74" s="115"/>
      <c r="H74" s="116"/>
      <c r="I74" s="117" t="str">
        <f>IF(COUNTIF(Detalhamento!A9:A329,A74)=0,"-",IF(COUNTIFS(Detalhamento!A9:A329,A74,Detalhamento!J9:J329,"Pendente")&gt;0,"Pendente",IF(COUNTIFS(Detalhamento!A9:A329,A74,Detalhamento!J9:J329,"OK")&gt;0,"OK","-")))</f>
        <v>-</v>
      </c>
      <c r="J74" s="117" t="str">
        <f>IF(COUNTIF(Detalhamento!A9:A329,A74)=0,"-",IF(COUNTIFS(Detalhamento!A9:A329,A74,Detalhamento!K9:K329,"Pendente")&gt;0,"Pendente",IF(COUNTIFS(Detalhamento!A9:A329,A74,Detalhamento!K9:K329,"OK")&gt;0,"OK","-")))</f>
        <v>-</v>
      </c>
      <c r="K74" s="117" t="str">
        <f>IF(COUNTIF(Detalhamento!A9:A329,A74)=0,"-",IF(COUNTIFS(Detalhamento!A9:A329,A74,Detalhamento!L9:L329,"Pendente")&gt;0,"Pendente",IF(COUNTIFS(Detalhamento!A9:A329,A74,Detalhamento!L9:L329,"OK")&gt;0,"OK","-")))</f>
        <v>-</v>
      </c>
      <c r="L74" s="117" t="str">
        <f>IF(COUNTIF(Detalhamento!A9:A329,A74)=0,"-",IF(COUNTIFS(Detalhamento!A9:A329,A74,Detalhamento!M9:M329,"Pendente")&gt;0,"Pendente",IF(COUNTIFS(Detalhamento!A9:A329,A74,Detalhamento!M9:M329,"OK")&gt;0,"OK","-")))</f>
        <v>-</v>
      </c>
      <c r="M74" s="117" t="str">
        <f>IF(COUNTIF(Detalhamento!A9:A329,A74)=0,"-",IF(COUNTIFS(Detalhamento!A9:A329,A74,Detalhamento!N9:N329,"Pendente")&gt;0,"Pendente",IF(COUNTIFS(Detalhamento!A9:A329,A74,Detalhamento!N9:N329,"OK")&gt;0,"OK","-")))</f>
        <v>-</v>
      </c>
      <c r="N74" s="118"/>
      <c r="O74" s="119" t="s">
        <v>230</v>
      </c>
      <c r="P74" s="15">
        <f>IF(A74="",0,COUNTIF(Detalhamento!A9:A329,A74))</f>
        <v>4</v>
      </c>
      <c r="Q74" s="15">
        <f>IF(A74="",0,COUNTIFS(Detalhamento!A9:A329,A74,Detalhamento!H9:H329,"Concluído"))</f>
        <v>0</v>
      </c>
      <c r="R74" s="120">
        <f t="shared" si="2"/>
        <v>0</v>
      </c>
    </row>
    <row r="75" ht="109.5" customHeight="1">
      <c r="A75" s="111" t="s">
        <v>122</v>
      </c>
      <c r="B75" s="112" t="s">
        <v>316</v>
      </c>
      <c r="C75" s="113" t="s">
        <v>195</v>
      </c>
      <c r="D75" s="114">
        <v>46289.0</v>
      </c>
      <c r="E75" s="114">
        <v>46310.0</v>
      </c>
      <c r="F75" s="115" t="str">
        <f t="shared" si="1"/>
        <v>A iniciar</v>
      </c>
      <c r="G75" s="115"/>
      <c r="H75" s="116"/>
      <c r="I75" s="117" t="str">
        <f>IF(COUNTIF(Detalhamento!A9:A329,A75)=0,"-",IF(COUNTIFS(Detalhamento!A9:A329,A75,Detalhamento!J9:J329,"Pendente")&gt;0,"Pendente",IF(COUNTIFS(Detalhamento!A9:A329,A75,Detalhamento!J9:J329,"OK")&gt;0,"OK","-")))</f>
        <v>-</v>
      </c>
      <c r="J75" s="117" t="str">
        <f>IF(COUNTIF(Detalhamento!A9:A329,A75)=0,"-",IF(COUNTIFS(Detalhamento!A9:A329,A75,Detalhamento!K9:K329,"Pendente")&gt;0,"Pendente",IF(COUNTIFS(Detalhamento!A9:A329,A75,Detalhamento!K9:K329,"OK")&gt;0,"OK","-")))</f>
        <v>-</v>
      </c>
      <c r="K75" s="117" t="str">
        <f>IF(COUNTIF(Detalhamento!A9:A329,A75)=0,"-",IF(COUNTIFS(Detalhamento!A9:A329,A75,Detalhamento!L9:L329,"Pendente")&gt;0,"Pendente",IF(COUNTIFS(Detalhamento!A9:A329,A75,Detalhamento!L9:L329,"OK")&gt;0,"OK","-")))</f>
        <v>-</v>
      </c>
      <c r="L75" s="117" t="str">
        <f>IF(COUNTIF(Detalhamento!A9:A329,A75)=0,"-",IF(COUNTIFS(Detalhamento!A9:A329,A75,Detalhamento!M9:M329,"Pendente")&gt;0,"Pendente",IF(COUNTIFS(Detalhamento!A9:A329,A75,Detalhamento!M9:M329,"OK")&gt;0,"OK","-")))</f>
        <v>-</v>
      </c>
      <c r="M75" s="117" t="str">
        <f>IF(COUNTIF(Detalhamento!A9:A329,A75)=0,"-",IF(COUNTIFS(Detalhamento!A9:A329,A75,Detalhamento!N9:N329,"Pendente")&gt;0,"Pendente",IF(COUNTIFS(Detalhamento!A9:A329,A75,Detalhamento!N9:N329,"OK")&gt;0,"OK","-")))</f>
        <v>-</v>
      </c>
      <c r="N75" s="118"/>
      <c r="O75" s="119" t="s">
        <v>230</v>
      </c>
      <c r="P75" s="15">
        <f>IF(A75="",0,COUNTIF(Detalhamento!A9:A329,A75))</f>
        <v>8</v>
      </c>
      <c r="Q75" s="15">
        <f>IF(A75="",0,COUNTIFS(Detalhamento!A9:A329,A75,Detalhamento!H9:H329,"Concluído"))</f>
        <v>0</v>
      </c>
      <c r="R75" s="120">
        <f t="shared" si="2"/>
        <v>0</v>
      </c>
    </row>
    <row r="76" ht="109.5" customHeight="1">
      <c r="A76" s="111" t="s">
        <v>123</v>
      </c>
      <c r="B76" s="112" t="s">
        <v>317</v>
      </c>
      <c r="C76" s="113" t="s">
        <v>195</v>
      </c>
      <c r="D76" s="114">
        <v>46289.0</v>
      </c>
      <c r="E76" s="114">
        <v>46341.0</v>
      </c>
      <c r="F76" s="115" t="str">
        <f t="shared" si="1"/>
        <v>A iniciar</v>
      </c>
      <c r="G76" s="115"/>
      <c r="H76" s="116"/>
      <c r="I76" s="117" t="str">
        <f>IF(COUNTIF(Detalhamento!A9:A329,A76)=0,"-",IF(COUNTIFS(Detalhamento!A9:A329,A76,Detalhamento!J9:J329,"Pendente")&gt;0,"Pendente",IF(COUNTIFS(Detalhamento!A9:A329,A76,Detalhamento!J9:J329,"OK")&gt;0,"OK","-")))</f>
        <v>-</v>
      </c>
      <c r="J76" s="117" t="str">
        <f>IF(COUNTIF(Detalhamento!A9:A329,A76)=0,"-",IF(COUNTIFS(Detalhamento!A9:A329,A76,Detalhamento!K9:K329,"Pendente")&gt;0,"Pendente",IF(COUNTIFS(Detalhamento!A9:A329,A76,Detalhamento!K9:K329,"OK")&gt;0,"OK","-")))</f>
        <v>-</v>
      </c>
      <c r="K76" s="117" t="str">
        <f>IF(COUNTIF(Detalhamento!A9:A329,A76)=0,"-",IF(COUNTIFS(Detalhamento!A9:A329,A76,Detalhamento!L9:L329,"Pendente")&gt;0,"Pendente",IF(COUNTIFS(Detalhamento!A9:A329,A76,Detalhamento!L9:L329,"OK")&gt;0,"OK","-")))</f>
        <v>-</v>
      </c>
      <c r="L76" s="117" t="str">
        <f>IF(COUNTIF(Detalhamento!A9:A329,A76)=0,"-",IF(COUNTIFS(Detalhamento!A9:A329,A76,Detalhamento!M9:M329,"Pendente")&gt;0,"Pendente",IF(COUNTIFS(Detalhamento!A9:A329,A76,Detalhamento!M9:M329,"OK")&gt;0,"OK","-")))</f>
        <v>-</v>
      </c>
      <c r="M76" s="117" t="str">
        <f>IF(COUNTIF(Detalhamento!A9:A329,A76)=0,"-",IF(COUNTIFS(Detalhamento!A9:A329,A76,Detalhamento!N9:N329,"Pendente")&gt;0,"Pendente",IF(COUNTIFS(Detalhamento!A9:A329,A76,Detalhamento!N9:N329,"OK")&gt;0,"OK","-")))</f>
        <v>-</v>
      </c>
      <c r="N76" s="118"/>
      <c r="O76" s="119" t="s">
        <v>230</v>
      </c>
      <c r="P76" s="15">
        <f>IF(A76="",0,COUNTIF(Detalhamento!A9:A329,A76))</f>
        <v>4</v>
      </c>
      <c r="Q76" s="15">
        <f>IF(A76="",0,COUNTIFS(Detalhamento!A9:A329,A76,Detalhamento!H9:H329,"Concluído"))</f>
        <v>0</v>
      </c>
      <c r="R76" s="120">
        <f t="shared" si="2"/>
        <v>0</v>
      </c>
    </row>
    <row r="77" ht="24.0" customHeight="1">
      <c r="A77" s="111" t="s">
        <v>124</v>
      </c>
      <c r="B77" s="112" t="s">
        <v>318</v>
      </c>
      <c r="C77" s="113" t="s">
        <v>195</v>
      </c>
      <c r="D77" s="114">
        <v>46236.0</v>
      </c>
      <c r="E77" s="114">
        <v>46264.0</v>
      </c>
      <c r="F77" s="115" t="str">
        <f t="shared" si="1"/>
        <v>A iniciar</v>
      </c>
      <c r="G77" s="115"/>
      <c r="H77" s="116"/>
      <c r="I77" s="117" t="str">
        <f>IF(COUNTIF(Detalhamento!A9:A329,A77)=0,"-",IF(COUNTIFS(Detalhamento!A9:A329,A77,Detalhamento!J9:J329,"Pendente")&gt;0,"Pendente",IF(COUNTIFS(Detalhamento!A9:A329,A77,Detalhamento!J9:J329,"OK")&gt;0,"OK","-")))</f>
        <v>-</v>
      </c>
      <c r="J77" s="117" t="str">
        <f>IF(COUNTIF(Detalhamento!A9:A329,A77)=0,"-",IF(COUNTIFS(Detalhamento!A9:A329,A77,Detalhamento!K9:K329,"Pendente")&gt;0,"Pendente",IF(COUNTIFS(Detalhamento!A9:A329,A77,Detalhamento!K9:K329,"OK")&gt;0,"OK","-")))</f>
        <v>-</v>
      </c>
      <c r="K77" s="117" t="str">
        <f>IF(COUNTIF(Detalhamento!A9:A329,A77)=0,"-",IF(COUNTIFS(Detalhamento!A9:A329,A77,Detalhamento!L9:L329,"Pendente")&gt;0,"Pendente",IF(COUNTIFS(Detalhamento!A9:A329,A77,Detalhamento!L9:L329,"OK")&gt;0,"OK","-")))</f>
        <v>-</v>
      </c>
      <c r="L77" s="117" t="str">
        <f>IF(COUNTIF(Detalhamento!A9:A329,A77)=0,"-",IF(COUNTIFS(Detalhamento!A9:A329,A77,Detalhamento!M9:M329,"Pendente")&gt;0,"Pendente",IF(COUNTIFS(Detalhamento!A9:A329,A77,Detalhamento!M9:M329,"OK")&gt;0,"OK","-")))</f>
        <v>-</v>
      </c>
      <c r="M77" s="117" t="str">
        <f>IF(COUNTIF(Detalhamento!A9:A329,A77)=0,"-",IF(COUNTIFS(Detalhamento!A9:A329,A77,Detalhamento!N9:N329,"Pendente")&gt;0,"Pendente",IF(COUNTIFS(Detalhamento!A9:A329,A77,Detalhamento!N9:N329,"OK")&gt;0,"OK","-")))</f>
        <v>-</v>
      </c>
      <c r="N77" s="118"/>
      <c r="O77" s="119" t="s">
        <v>230</v>
      </c>
      <c r="P77" s="15">
        <f>IF(A77="",0,COUNTIF(Detalhamento!A9:A329,A77))</f>
        <v>6</v>
      </c>
      <c r="Q77" s="15">
        <f>IF(A77="",0,COUNTIFS(Detalhamento!A9:A329,A77,Detalhamento!H9:H329,"Concluído"))</f>
        <v>0</v>
      </c>
      <c r="R77" s="120">
        <f t="shared" si="2"/>
        <v>0</v>
      </c>
    </row>
    <row r="78" ht="28.5" customHeight="1">
      <c r="A78" s="111" t="s">
        <v>125</v>
      </c>
      <c r="B78" s="112" t="s">
        <v>319</v>
      </c>
      <c r="C78" s="113" t="s">
        <v>195</v>
      </c>
      <c r="D78" s="114">
        <v>46236.0</v>
      </c>
      <c r="E78" s="114">
        <v>46264.0</v>
      </c>
      <c r="F78" s="115" t="str">
        <f t="shared" si="1"/>
        <v>A iniciar</v>
      </c>
      <c r="G78" s="115"/>
      <c r="H78" s="116"/>
      <c r="I78" s="117" t="str">
        <f>IF(COUNTIF(Detalhamento!A9:A329,A78)=0,"-",IF(COUNTIFS(Detalhamento!A9:A329,A78,Detalhamento!J9:J329,"Pendente")&gt;0,"Pendente",IF(COUNTIFS(Detalhamento!A9:A329,A78,Detalhamento!J9:J329,"OK")&gt;0,"OK","-")))</f>
        <v>-</v>
      </c>
      <c r="J78" s="117" t="str">
        <f>IF(COUNTIF(Detalhamento!A9:A329,A78)=0,"-",IF(COUNTIFS(Detalhamento!A9:A329,A78,Detalhamento!K9:K329,"Pendente")&gt;0,"Pendente",IF(COUNTIFS(Detalhamento!A9:A329,A78,Detalhamento!K9:K329,"OK")&gt;0,"OK","-")))</f>
        <v>-</v>
      </c>
      <c r="K78" s="117" t="str">
        <f>IF(COUNTIF(Detalhamento!A9:A329,A78)=0,"-",IF(COUNTIFS(Detalhamento!A9:A329,A78,Detalhamento!L9:L329,"Pendente")&gt;0,"Pendente",IF(COUNTIFS(Detalhamento!A9:A329,A78,Detalhamento!L9:L329,"OK")&gt;0,"OK","-")))</f>
        <v>-</v>
      </c>
      <c r="L78" s="117" t="str">
        <f>IF(COUNTIF(Detalhamento!A9:A329,A78)=0,"-",IF(COUNTIFS(Detalhamento!A9:A329,A78,Detalhamento!M9:M329,"Pendente")&gt;0,"Pendente",IF(COUNTIFS(Detalhamento!A9:A329,A78,Detalhamento!M9:M329,"OK")&gt;0,"OK","-")))</f>
        <v>-</v>
      </c>
      <c r="M78" s="117" t="str">
        <f>IF(COUNTIF(Detalhamento!A9:A329,A78)=0,"-",IF(COUNTIFS(Detalhamento!A9:A329,A78,Detalhamento!N9:N329,"Pendente")&gt;0,"Pendente",IF(COUNTIFS(Detalhamento!A9:A329,A78,Detalhamento!N9:N329,"OK")&gt;0,"OK","-")))</f>
        <v>-</v>
      </c>
      <c r="N78" s="118"/>
      <c r="O78" s="119" t="s">
        <v>230</v>
      </c>
      <c r="P78" s="15">
        <f>IF(A78="",0,COUNTIF(Detalhamento!A9:A329,A78))</f>
        <v>5</v>
      </c>
      <c r="Q78" s="15">
        <f>IF(A78="",0,COUNTIFS(Detalhamento!A9:A329,A78,Detalhamento!H9:H329,"Concluído"))</f>
        <v>0</v>
      </c>
      <c r="R78" s="120">
        <f t="shared" si="2"/>
        <v>0</v>
      </c>
    </row>
    <row r="79" ht="28.5" customHeight="1">
      <c r="A79" s="111" t="s">
        <v>126</v>
      </c>
      <c r="B79" s="112" t="s">
        <v>320</v>
      </c>
      <c r="C79" s="113" t="s">
        <v>195</v>
      </c>
      <c r="D79" s="114">
        <v>46236.0</v>
      </c>
      <c r="E79" s="114">
        <v>46264.0</v>
      </c>
      <c r="F79" s="115" t="str">
        <f t="shared" si="1"/>
        <v>A iniciar</v>
      </c>
      <c r="G79" s="115"/>
      <c r="H79" s="116"/>
      <c r="I79" s="117" t="str">
        <f>IF(COUNTIF(Detalhamento!A9:A329,A79)=0,"-",IF(COUNTIFS(Detalhamento!A9:A329,A79,Detalhamento!J9:J329,"Pendente")&gt;0,"Pendente",IF(COUNTIFS(Detalhamento!A9:A329,A79,Detalhamento!J9:J329,"OK")&gt;0,"OK","-")))</f>
        <v>-</v>
      </c>
      <c r="J79" s="117" t="str">
        <f>IF(COUNTIF(Detalhamento!A9:A329,A79)=0,"-",IF(COUNTIFS(Detalhamento!A9:A329,A79,Detalhamento!K9:K329,"Pendente")&gt;0,"Pendente",IF(COUNTIFS(Detalhamento!A9:A329,A79,Detalhamento!K9:K329,"OK")&gt;0,"OK","-")))</f>
        <v>-</v>
      </c>
      <c r="K79" s="117" t="str">
        <f>IF(COUNTIF(Detalhamento!A9:A329,A79)=0,"-",IF(COUNTIFS(Detalhamento!A9:A329,A79,Detalhamento!L9:L329,"Pendente")&gt;0,"Pendente",IF(COUNTIFS(Detalhamento!A9:A329,A79,Detalhamento!L9:L329,"OK")&gt;0,"OK","-")))</f>
        <v>-</v>
      </c>
      <c r="L79" s="117" t="str">
        <f>IF(COUNTIF(Detalhamento!A9:A329,A79)=0,"-",IF(COUNTIFS(Detalhamento!A9:A329,A79,Detalhamento!M9:M329,"Pendente")&gt;0,"Pendente",IF(COUNTIFS(Detalhamento!A9:A329,A79,Detalhamento!M9:M329,"OK")&gt;0,"OK","-")))</f>
        <v>-</v>
      </c>
      <c r="M79" s="117" t="str">
        <f>IF(COUNTIF(Detalhamento!A9:A329,A79)=0,"-",IF(COUNTIFS(Detalhamento!A9:A329,A79,Detalhamento!N9:N329,"Pendente")&gt;0,"Pendente",IF(COUNTIFS(Detalhamento!A9:A329,A79,Detalhamento!N9:N329,"OK")&gt;0,"OK","-")))</f>
        <v>-</v>
      </c>
      <c r="N79" s="118"/>
      <c r="O79" s="119" t="s">
        <v>230</v>
      </c>
      <c r="P79" s="15">
        <f>IF(A79="",0,COUNTIF(Detalhamento!A9:A329,A79))</f>
        <v>6</v>
      </c>
      <c r="Q79" s="15">
        <f>IF(A79="",0,COUNTIFS(Detalhamento!A9:A329,A79,Detalhamento!H9:H329,"Concluído"))</f>
        <v>0</v>
      </c>
      <c r="R79" s="120">
        <f t="shared" si="2"/>
        <v>0</v>
      </c>
    </row>
    <row r="80" ht="24.0" customHeight="1">
      <c r="A80" s="111" t="s">
        <v>127</v>
      </c>
      <c r="B80" s="112" t="s">
        <v>321</v>
      </c>
      <c r="C80" s="113" t="s">
        <v>195</v>
      </c>
      <c r="D80" s="114">
        <v>46343.0</v>
      </c>
      <c r="E80" s="114">
        <v>46378.0</v>
      </c>
      <c r="F80" s="115" t="str">
        <f t="shared" si="1"/>
        <v>A iniciar</v>
      </c>
      <c r="G80" s="115"/>
      <c r="H80" s="116"/>
      <c r="I80" s="117" t="str">
        <f>IF(COUNTIF(Detalhamento!A9:A329,A80)=0,"-",IF(COUNTIFS(Detalhamento!A9:A329,A80,Detalhamento!J9:J329,"Pendente")&gt;0,"Pendente",IF(COUNTIFS(Detalhamento!A9:A329,A80,Detalhamento!J9:J329,"OK")&gt;0,"OK","-")))</f>
        <v>-</v>
      </c>
      <c r="J80" s="117" t="str">
        <f>IF(COUNTIF(Detalhamento!A9:A329,A80)=0,"-",IF(COUNTIFS(Detalhamento!A9:A329,A80,Detalhamento!K9:K329,"Pendente")&gt;0,"Pendente",IF(COUNTIFS(Detalhamento!A9:A329,A80,Detalhamento!K9:K329,"OK")&gt;0,"OK","-")))</f>
        <v>-</v>
      </c>
      <c r="K80" s="117" t="str">
        <f>IF(COUNTIF(Detalhamento!A9:A329,A80)=0,"-",IF(COUNTIFS(Detalhamento!A9:A329,A80,Detalhamento!L9:L329,"Pendente")&gt;0,"Pendente",IF(COUNTIFS(Detalhamento!A9:A329,A80,Detalhamento!L9:L329,"OK")&gt;0,"OK","-")))</f>
        <v>-</v>
      </c>
      <c r="L80" s="117" t="str">
        <f>IF(COUNTIF(Detalhamento!A9:A329,A80)=0,"-",IF(COUNTIFS(Detalhamento!A9:A329,A80,Detalhamento!M9:M329,"Pendente")&gt;0,"Pendente",IF(COUNTIFS(Detalhamento!A9:A329,A80,Detalhamento!M9:M329,"OK")&gt;0,"OK","-")))</f>
        <v>-</v>
      </c>
      <c r="M80" s="117" t="str">
        <f>IF(COUNTIF(Detalhamento!A9:A329,A80)=0,"-",IF(COUNTIFS(Detalhamento!A9:A329,A80,Detalhamento!N9:N329,"Pendente")&gt;0,"Pendente",IF(COUNTIFS(Detalhamento!A9:A329,A80,Detalhamento!N9:N329,"OK")&gt;0,"OK","-")))</f>
        <v>-</v>
      </c>
      <c r="N80" s="118"/>
      <c r="O80" s="119" t="s">
        <v>230</v>
      </c>
      <c r="P80" s="15">
        <f>IF(A80="",0,COUNTIF(Detalhamento!A9:A329,A80))</f>
        <v>5</v>
      </c>
      <c r="Q80" s="15">
        <f>IF(A80="",0,COUNTIFS(Detalhamento!A9:A329,A80,Detalhamento!H9:H329,"Concluído"))</f>
        <v>0</v>
      </c>
      <c r="R80" s="120">
        <f t="shared" si="2"/>
        <v>0</v>
      </c>
    </row>
    <row r="81" ht="109.5" customHeight="1">
      <c r="A81" s="111" t="s">
        <v>128</v>
      </c>
      <c r="B81" s="112" t="s">
        <v>322</v>
      </c>
      <c r="C81" s="113" t="s">
        <v>195</v>
      </c>
      <c r="D81" s="114">
        <v>46111.0</v>
      </c>
      <c r="E81" s="114">
        <v>46142.0</v>
      </c>
      <c r="F81" s="115" t="str">
        <f t="shared" si="1"/>
        <v>Atrasado</v>
      </c>
      <c r="G81" s="115"/>
      <c r="H81" s="116"/>
      <c r="I81" s="117" t="str">
        <f>IF(COUNTIF(Detalhamento!A9:A329,A81)=0,"-",IF(COUNTIFS(Detalhamento!A9:A329,A81,Detalhamento!J9:J329,"Pendente")&gt;0,"Pendente",IF(COUNTIFS(Detalhamento!A9:A329,A81,Detalhamento!J9:J329,"OK")&gt;0,"OK","-")))</f>
        <v>-</v>
      </c>
      <c r="J81" s="117" t="str">
        <f>IF(COUNTIF(Detalhamento!A9:A329,A81)=0,"-",IF(COUNTIFS(Detalhamento!A9:A329,A81,Detalhamento!K9:K329,"Pendente")&gt;0,"Pendente",IF(COUNTIFS(Detalhamento!A9:A329,A81,Detalhamento!K9:K329,"OK")&gt;0,"OK","-")))</f>
        <v>-</v>
      </c>
      <c r="K81" s="117" t="str">
        <f>IF(COUNTIF(Detalhamento!A9:A329,A81)=0,"-",IF(COUNTIFS(Detalhamento!A9:A329,A81,Detalhamento!L9:L329,"Pendente")&gt;0,"Pendente",IF(COUNTIFS(Detalhamento!A9:A329,A81,Detalhamento!L9:L329,"OK")&gt;0,"OK","-")))</f>
        <v>-</v>
      </c>
      <c r="L81" s="117" t="str">
        <f>IF(COUNTIF(Detalhamento!A9:A329,A81)=0,"-",IF(COUNTIFS(Detalhamento!A9:A329,A81,Detalhamento!M9:M329,"Pendente")&gt;0,"Pendente",IF(COUNTIFS(Detalhamento!A9:A329,A81,Detalhamento!M9:M329,"OK")&gt;0,"OK","-")))</f>
        <v>-</v>
      </c>
      <c r="M81" s="117" t="str">
        <f>IF(COUNTIF(Detalhamento!A9:A329,A81)=0,"-",IF(COUNTIFS(Detalhamento!A9:A329,A81,Detalhamento!N9:N329,"Pendente")&gt;0,"Pendente",IF(COUNTIFS(Detalhamento!A9:A329,A81,Detalhamento!N9:N329,"OK")&gt;0,"OK","-")))</f>
        <v>-</v>
      </c>
      <c r="N81" s="118"/>
      <c r="O81" s="119" t="s">
        <v>230</v>
      </c>
      <c r="P81" s="15">
        <f>IF(A81="",0,COUNTIF(Detalhamento!A9:A329,A81))</f>
        <v>7</v>
      </c>
      <c r="Q81" s="15">
        <f>IF(A81="",0,COUNTIFS(Detalhamento!A9:A329,A81,Detalhamento!H9:H329,"Concluído"))</f>
        <v>0</v>
      </c>
      <c r="R81" s="120">
        <f t="shared" si="2"/>
        <v>0</v>
      </c>
    </row>
    <row r="82" ht="109.5" customHeight="1">
      <c r="A82" s="111" t="s">
        <v>129</v>
      </c>
      <c r="B82" s="112" t="s">
        <v>323</v>
      </c>
      <c r="C82" s="113" t="s">
        <v>195</v>
      </c>
      <c r="D82" s="114">
        <v>46111.0</v>
      </c>
      <c r="E82" s="114">
        <v>46142.0</v>
      </c>
      <c r="F82" s="115" t="str">
        <f t="shared" si="1"/>
        <v>Atrasado</v>
      </c>
      <c r="G82" s="115"/>
      <c r="H82" s="116"/>
      <c r="I82" s="117" t="str">
        <f>IF(COUNTIF(Detalhamento!A9:A329,A82)=0,"-",IF(COUNTIFS(Detalhamento!A9:A329,A82,Detalhamento!J9:J329,"Pendente")&gt;0,"Pendente",IF(COUNTIFS(Detalhamento!A9:A329,A82,Detalhamento!J9:J329,"OK")&gt;0,"OK","-")))</f>
        <v>-</v>
      </c>
      <c r="J82" s="117" t="str">
        <f>IF(COUNTIF(Detalhamento!A9:A329,A82)=0,"-",IF(COUNTIFS(Detalhamento!A9:A329,A82,Detalhamento!K9:K329,"Pendente")&gt;0,"Pendente",IF(COUNTIFS(Detalhamento!A9:A329,A82,Detalhamento!K9:K329,"OK")&gt;0,"OK","-")))</f>
        <v>-</v>
      </c>
      <c r="K82" s="117" t="str">
        <f>IF(COUNTIF(Detalhamento!A9:A329,A82)=0,"-",IF(COUNTIFS(Detalhamento!A9:A329,A82,Detalhamento!L9:L329,"Pendente")&gt;0,"Pendente",IF(COUNTIFS(Detalhamento!A9:A329,A82,Detalhamento!L9:L329,"OK")&gt;0,"OK","-")))</f>
        <v>-</v>
      </c>
      <c r="L82" s="117" t="str">
        <f>IF(COUNTIF(Detalhamento!A9:A329,A82)=0,"-",IF(COUNTIFS(Detalhamento!A9:A329,A82,Detalhamento!M9:M329,"Pendente")&gt;0,"Pendente",IF(COUNTIFS(Detalhamento!A9:A329,A82,Detalhamento!M9:M329,"OK")&gt;0,"OK","-")))</f>
        <v>-</v>
      </c>
      <c r="M82" s="117" t="str">
        <f>IF(COUNTIF(Detalhamento!A9:A329,A82)=0,"-",IF(COUNTIFS(Detalhamento!A9:A329,A82,Detalhamento!N9:N329,"Pendente")&gt;0,"Pendente",IF(COUNTIFS(Detalhamento!A9:A329,A82,Detalhamento!N9:N329,"OK")&gt;0,"OK","-")))</f>
        <v>-</v>
      </c>
      <c r="N82" s="118"/>
      <c r="O82" s="119" t="s">
        <v>230</v>
      </c>
      <c r="P82" s="15">
        <f>IF(A82="",0,COUNTIF(Detalhamento!A9:A329,A82))</f>
        <v>5</v>
      </c>
      <c r="Q82" s="15">
        <f>IF(A82="",0,COUNTIFS(Detalhamento!A9:A329,A82,Detalhamento!H9:H329,"Concluído"))</f>
        <v>0</v>
      </c>
      <c r="R82" s="120">
        <f t="shared" si="2"/>
        <v>0</v>
      </c>
    </row>
    <row r="83" ht="24.0" customHeight="1">
      <c r="A83" s="111" t="s">
        <v>130</v>
      </c>
      <c r="B83" s="112" t="s">
        <v>324</v>
      </c>
      <c r="C83" s="113" t="s">
        <v>195</v>
      </c>
      <c r="D83" s="114">
        <v>46111.0</v>
      </c>
      <c r="E83" s="114">
        <v>46142.0</v>
      </c>
      <c r="F83" s="115" t="str">
        <f t="shared" si="1"/>
        <v>Atrasado</v>
      </c>
      <c r="G83" s="115"/>
      <c r="H83" s="116"/>
      <c r="I83" s="117" t="str">
        <f>IF(COUNTIF(Detalhamento!A9:A329,A83)=0,"-",IF(COUNTIFS(Detalhamento!A9:A329,A83,Detalhamento!J9:J329,"Pendente")&gt;0,"Pendente",IF(COUNTIFS(Detalhamento!A9:A329,A83,Detalhamento!J9:J329,"OK")&gt;0,"OK","-")))</f>
        <v>-</v>
      </c>
      <c r="J83" s="117" t="str">
        <f>IF(COUNTIF(Detalhamento!A9:A329,A83)=0,"-",IF(COUNTIFS(Detalhamento!A9:A329,A83,Detalhamento!K9:K329,"Pendente")&gt;0,"Pendente",IF(COUNTIFS(Detalhamento!A9:A329,A83,Detalhamento!K9:K329,"OK")&gt;0,"OK","-")))</f>
        <v>-</v>
      </c>
      <c r="K83" s="117" t="str">
        <f>IF(COUNTIF(Detalhamento!A9:A329,A83)=0,"-",IF(COUNTIFS(Detalhamento!A9:A329,A83,Detalhamento!L9:L329,"Pendente")&gt;0,"Pendente",IF(COUNTIFS(Detalhamento!A9:A329,A83,Detalhamento!L9:L329,"OK")&gt;0,"OK","-")))</f>
        <v>-</v>
      </c>
      <c r="L83" s="117" t="str">
        <f>IF(COUNTIF(Detalhamento!A9:A329,A83)=0,"-",IF(COUNTIFS(Detalhamento!A9:A329,A83,Detalhamento!M9:M329,"Pendente")&gt;0,"Pendente",IF(COUNTIFS(Detalhamento!A9:A329,A83,Detalhamento!M9:M329,"OK")&gt;0,"OK","-")))</f>
        <v>-</v>
      </c>
      <c r="M83" s="117" t="str">
        <f>IF(COUNTIF(Detalhamento!A9:A329,A83)=0,"-",IF(COUNTIFS(Detalhamento!A9:A329,A83,Detalhamento!N9:N329,"Pendente")&gt;0,"Pendente",IF(COUNTIFS(Detalhamento!A9:A329,A83,Detalhamento!N9:N329,"OK")&gt;0,"OK","-")))</f>
        <v>-</v>
      </c>
      <c r="N83" s="118"/>
      <c r="O83" s="119" t="s">
        <v>230</v>
      </c>
      <c r="P83" s="15">
        <f>IF(A83="",0,COUNTIF(Detalhamento!A9:A329,A83))</f>
        <v>2</v>
      </c>
      <c r="Q83" s="15">
        <f>IF(A83="",0,COUNTIFS(Detalhamento!A9:A329,A83,Detalhamento!H9:H329,"Concluído"))</f>
        <v>0</v>
      </c>
      <c r="R83" s="120">
        <f t="shared" si="2"/>
        <v>0</v>
      </c>
    </row>
    <row r="84" ht="24.0" customHeight="1">
      <c r="A84" s="111" t="s">
        <v>131</v>
      </c>
      <c r="B84" s="112" t="s">
        <v>325</v>
      </c>
      <c r="C84" s="113" t="s">
        <v>195</v>
      </c>
      <c r="D84" s="114">
        <v>46111.0</v>
      </c>
      <c r="E84" s="114">
        <v>46142.0</v>
      </c>
      <c r="F84" s="115" t="str">
        <f t="shared" si="1"/>
        <v>Atrasado</v>
      </c>
      <c r="G84" s="115"/>
      <c r="H84" s="116"/>
      <c r="I84" s="117" t="str">
        <f>IF(COUNTIF(Detalhamento!A9:A329,A84)=0,"-",IF(COUNTIFS(Detalhamento!A9:A329,A84,Detalhamento!J9:J329,"Pendente")&gt;0,"Pendente",IF(COUNTIFS(Detalhamento!A9:A329,A84,Detalhamento!J9:J329,"OK")&gt;0,"OK","-")))</f>
        <v>-</v>
      </c>
      <c r="J84" s="117" t="str">
        <f>IF(COUNTIF(Detalhamento!A9:A329,A84)=0,"-",IF(COUNTIFS(Detalhamento!A9:A329,A84,Detalhamento!K9:K329,"Pendente")&gt;0,"Pendente",IF(COUNTIFS(Detalhamento!A9:A329,A84,Detalhamento!K9:K329,"OK")&gt;0,"OK","-")))</f>
        <v>-</v>
      </c>
      <c r="K84" s="117" t="str">
        <f>IF(COUNTIF(Detalhamento!A9:A329,A84)=0,"-",IF(COUNTIFS(Detalhamento!A9:A329,A84,Detalhamento!L9:L329,"Pendente")&gt;0,"Pendente",IF(COUNTIFS(Detalhamento!A9:A329,A84,Detalhamento!L9:L329,"OK")&gt;0,"OK","-")))</f>
        <v>-</v>
      </c>
      <c r="L84" s="117" t="str">
        <f>IF(COUNTIF(Detalhamento!A9:A329,A84)=0,"-",IF(COUNTIFS(Detalhamento!A9:A329,A84,Detalhamento!M9:M329,"Pendente")&gt;0,"Pendente",IF(COUNTIFS(Detalhamento!A9:A329,A84,Detalhamento!M9:M329,"OK")&gt;0,"OK","-")))</f>
        <v>-</v>
      </c>
      <c r="M84" s="117" t="str">
        <f>IF(COUNTIF(Detalhamento!A9:A329,A84)=0,"-",IF(COUNTIFS(Detalhamento!A9:A329,A84,Detalhamento!N9:N329,"Pendente")&gt;0,"Pendente",IF(COUNTIFS(Detalhamento!A9:A329,A84,Detalhamento!N9:N329,"OK")&gt;0,"OK","-")))</f>
        <v>-</v>
      </c>
      <c r="N84" s="118"/>
      <c r="O84" s="119" t="s">
        <v>230</v>
      </c>
      <c r="P84" s="15">
        <f>IF(A84="",0,COUNTIF(Detalhamento!A9:A329,A84))</f>
        <v>2</v>
      </c>
      <c r="Q84" s="15">
        <f>IF(A84="",0,COUNTIFS(Detalhamento!A9:A329,A84,Detalhamento!H9:H329,"Concluído"))</f>
        <v>0</v>
      </c>
      <c r="R84" s="120">
        <f t="shared" si="2"/>
        <v>0</v>
      </c>
    </row>
    <row r="85" ht="24.0" customHeight="1">
      <c r="A85" s="111" t="s">
        <v>132</v>
      </c>
      <c r="B85" s="112" t="s">
        <v>326</v>
      </c>
      <c r="C85" s="113" t="s">
        <v>195</v>
      </c>
      <c r="D85" s="114">
        <v>46327.0</v>
      </c>
      <c r="E85" s="114">
        <v>46338.0</v>
      </c>
      <c r="F85" s="115" t="str">
        <f t="shared" si="1"/>
        <v>A iniciar</v>
      </c>
      <c r="G85" s="115"/>
      <c r="H85" s="116"/>
      <c r="I85" s="117" t="str">
        <f>IF(COUNTIF(Detalhamento!A9:A329,A85)=0,"-",IF(COUNTIFS(Detalhamento!A9:A329,A85,Detalhamento!J9:J329,"Pendente")&gt;0,"Pendente",IF(COUNTIFS(Detalhamento!A9:A329,A85,Detalhamento!J9:J329,"OK")&gt;0,"OK","-")))</f>
        <v>-</v>
      </c>
      <c r="J85" s="117" t="str">
        <f>IF(COUNTIF(Detalhamento!A9:A329,A85)=0,"-",IF(COUNTIFS(Detalhamento!A9:A329,A85,Detalhamento!K9:K329,"Pendente")&gt;0,"Pendente",IF(COUNTIFS(Detalhamento!A9:A329,A85,Detalhamento!K9:K329,"OK")&gt;0,"OK","-")))</f>
        <v>-</v>
      </c>
      <c r="K85" s="117" t="str">
        <f>IF(COUNTIF(Detalhamento!A9:A329,A85)=0,"-",IF(COUNTIFS(Detalhamento!A9:A329,A85,Detalhamento!L9:L329,"Pendente")&gt;0,"Pendente",IF(COUNTIFS(Detalhamento!A9:A329,A85,Detalhamento!L9:L329,"OK")&gt;0,"OK","-")))</f>
        <v>-</v>
      </c>
      <c r="L85" s="117" t="str">
        <f>IF(COUNTIF(Detalhamento!A9:A329,A85)=0,"-",IF(COUNTIFS(Detalhamento!A9:A329,A85,Detalhamento!M9:M329,"Pendente")&gt;0,"Pendente",IF(COUNTIFS(Detalhamento!A9:A329,A85,Detalhamento!M9:M329,"OK")&gt;0,"OK","-")))</f>
        <v>-</v>
      </c>
      <c r="M85" s="117" t="str">
        <f>IF(COUNTIF(Detalhamento!A9:A329,A85)=0,"-",IF(COUNTIFS(Detalhamento!A9:A329,A85,Detalhamento!N9:N329,"Pendente")&gt;0,"Pendente",IF(COUNTIFS(Detalhamento!A9:A329,A85,Detalhamento!N9:N329,"OK")&gt;0,"OK","-")))</f>
        <v>-</v>
      </c>
      <c r="N85" s="118"/>
      <c r="O85" s="119" t="s">
        <v>230</v>
      </c>
      <c r="P85" s="15">
        <f>IF(A85="",0,COUNTIF(Detalhamento!A9:A329,A85))</f>
        <v>0</v>
      </c>
      <c r="Q85" s="15">
        <f>IF(A85="",0,COUNTIFS(Detalhamento!A9:A329,A85,Detalhamento!H9:H329,"Concluído"))</f>
        <v>0</v>
      </c>
      <c r="R85" s="120" t="str">
        <f t="shared" si="2"/>
        <v/>
      </c>
    </row>
    <row r="86" ht="24.0" customHeight="1">
      <c r="A86" s="111" t="s">
        <v>133</v>
      </c>
      <c r="B86" s="112" t="s">
        <v>327</v>
      </c>
      <c r="C86" s="113" t="s">
        <v>195</v>
      </c>
      <c r="D86" s="114">
        <v>46327.0</v>
      </c>
      <c r="E86" s="114">
        <v>46338.0</v>
      </c>
      <c r="F86" s="115" t="str">
        <f t="shared" si="1"/>
        <v>A iniciar</v>
      </c>
      <c r="G86" s="115"/>
      <c r="H86" s="116"/>
      <c r="I86" s="117" t="str">
        <f>IF(COUNTIF(Detalhamento!A9:A329,A86)=0,"-",IF(COUNTIFS(Detalhamento!A9:A329,A86,Detalhamento!J9:J329,"Pendente")&gt;0,"Pendente",IF(COUNTIFS(Detalhamento!A9:A329,A86,Detalhamento!J9:J329,"OK")&gt;0,"OK","-")))</f>
        <v>-</v>
      </c>
      <c r="J86" s="117" t="str">
        <f>IF(COUNTIF(Detalhamento!A9:A329,A86)=0,"-",IF(COUNTIFS(Detalhamento!A9:A329,A86,Detalhamento!K9:K329,"Pendente")&gt;0,"Pendente",IF(COUNTIFS(Detalhamento!A9:A329,A86,Detalhamento!K9:K329,"OK")&gt;0,"OK","-")))</f>
        <v>-</v>
      </c>
      <c r="K86" s="117" t="str">
        <f>IF(COUNTIF(Detalhamento!A9:A329,A86)=0,"-",IF(COUNTIFS(Detalhamento!A9:A329,A86,Detalhamento!L9:L329,"Pendente")&gt;0,"Pendente",IF(COUNTIFS(Detalhamento!A9:A329,A86,Detalhamento!L9:L329,"OK")&gt;0,"OK","-")))</f>
        <v>-</v>
      </c>
      <c r="L86" s="117" t="str">
        <f>IF(COUNTIF(Detalhamento!A9:A329,A86)=0,"-",IF(COUNTIFS(Detalhamento!A9:A329,A86,Detalhamento!M9:M329,"Pendente")&gt;0,"Pendente",IF(COUNTIFS(Detalhamento!A9:A329,A86,Detalhamento!M9:M329,"OK")&gt;0,"OK","-")))</f>
        <v>-</v>
      </c>
      <c r="M86" s="117" t="str">
        <f>IF(COUNTIF(Detalhamento!A9:A329,A86)=0,"-",IF(COUNTIFS(Detalhamento!A9:A329,A86,Detalhamento!N9:N329,"Pendente")&gt;0,"Pendente",IF(COUNTIFS(Detalhamento!A9:A329,A86,Detalhamento!N9:N329,"OK")&gt;0,"OK","-")))</f>
        <v>-</v>
      </c>
      <c r="N86" s="118"/>
      <c r="O86" s="119" t="s">
        <v>230</v>
      </c>
      <c r="P86" s="15">
        <f>IF(A86="",0,COUNTIF(Detalhamento!A9:A329,A86))</f>
        <v>0</v>
      </c>
      <c r="Q86" s="15">
        <f>IF(A86="",0,COUNTIFS(Detalhamento!A9:A329,A86,Detalhamento!H9:H329,"Concluído"))</f>
        <v>0</v>
      </c>
      <c r="R86" s="120" t="str">
        <f t="shared" si="2"/>
        <v/>
      </c>
    </row>
    <row r="87" ht="28.5" customHeight="1">
      <c r="A87" s="111" t="s">
        <v>134</v>
      </c>
      <c r="B87" s="112" t="s">
        <v>328</v>
      </c>
      <c r="C87" s="113" t="s">
        <v>195</v>
      </c>
      <c r="D87" s="114">
        <v>46327.0</v>
      </c>
      <c r="E87" s="114">
        <v>46352.0</v>
      </c>
      <c r="F87" s="115" t="str">
        <f t="shared" si="1"/>
        <v>A iniciar</v>
      </c>
      <c r="G87" s="115"/>
      <c r="H87" s="116"/>
      <c r="I87" s="117" t="str">
        <f>IF(COUNTIF(Detalhamento!A9:A329,A87)=0,"-",IF(COUNTIFS(Detalhamento!A9:A329,A87,Detalhamento!J9:J329,"Pendente")&gt;0,"Pendente",IF(COUNTIFS(Detalhamento!A9:A329,A87,Detalhamento!J9:J329,"OK")&gt;0,"OK","-")))</f>
        <v>-</v>
      </c>
      <c r="J87" s="117" t="str">
        <f>IF(COUNTIF(Detalhamento!A9:A329,A87)=0,"-",IF(COUNTIFS(Detalhamento!A9:A329,A87,Detalhamento!K9:K329,"Pendente")&gt;0,"Pendente",IF(COUNTIFS(Detalhamento!A9:A329,A87,Detalhamento!K9:K329,"OK")&gt;0,"OK","-")))</f>
        <v>-</v>
      </c>
      <c r="K87" s="117" t="str">
        <f>IF(COUNTIF(Detalhamento!A9:A329,A87)=0,"-",IF(COUNTIFS(Detalhamento!A9:A329,A87,Detalhamento!L9:L329,"Pendente")&gt;0,"Pendente",IF(COUNTIFS(Detalhamento!A9:A329,A87,Detalhamento!L9:L329,"OK")&gt;0,"OK","-")))</f>
        <v>-</v>
      </c>
      <c r="L87" s="117" t="str">
        <f>IF(COUNTIF(Detalhamento!A9:A329,A87)=0,"-",IF(COUNTIFS(Detalhamento!A9:A329,A87,Detalhamento!M9:M329,"Pendente")&gt;0,"Pendente",IF(COUNTIFS(Detalhamento!A9:A329,A87,Detalhamento!M9:M329,"OK")&gt;0,"OK","-")))</f>
        <v>-</v>
      </c>
      <c r="M87" s="117" t="str">
        <f>IF(COUNTIF(Detalhamento!A9:A329,A87)=0,"-",IF(COUNTIFS(Detalhamento!A9:A329,A87,Detalhamento!N9:N329,"Pendente")&gt;0,"Pendente",IF(COUNTIFS(Detalhamento!A9:A329,A87,Detalhamento!N9:N329,"OK")&gt;0,"OK","-")))</f>
        <v>-</v>
      </c>
      <c r="N87" s="118"/>
      <c r="O87" s="119" t="s">
        <v>230</v>
      </c>
      <c r="P87" s="15">
        <f>IF(A87="",0,COUNTIF(Detalhamento!A9:A329,A87))</f>
        <v>0</v>
      </c>
      <c r="Q87" s="15">
        <f>IF(A87="",0,COUNTIFS(Detalhamento!A9:A329,A87,Detalhamento!H9:H329,"Concluído"))</f>
        <v>0</v>
      </c>
      <c r="R87" s="120" t="str">
        <f t="shared" si="2"/>
        <v/>
      </c>
    </row>
    <row r="88" ht="28.5" customHeight="1">
      <c r="A88" s="111" t="s">
        <v>135</v>
      </c>
      <c r="B88" s="112" t="s">
        <v>329</v>
      </c>
      <c r="C88" s="113" t="s">
        <v>195</v>
      </c>
      <c r="D88" s="114">
        <v>46278.0</v>
      </c>
      <c r="E88" s="114">
        <v>46317.0</v>
      </c>
      <c r="F88" s="115" t="str">
        <f t="shared" si="1"/>
        <v>A iniciar</v>
      </c>
      <c r="G88" s="115"/>
      <c r="H88" s="116"/>
      <c r="I88" s="117" t="str">
        <f>IF(COUNTIF(Detalhamento!A9:A329,A88)=0,"-",IF(COUNTIFS(Detalhamento!A9:A329,A88,Detalhamento!J9:J329,"Pendente")&gt;0,"Pendente",IF(COUNTIFS(Detalhamento!A9:A329,A88,Detalhamento!J9:J329,"OK")&gt;0,"OK","-")))</f>
        <v>-</v>
      </c>
      <c r="J88" s="117" t="str">
        <f>IF(COUNTIF(Detalhamento!A9:A329,A88)=0,"-",IF(COUNTIFS(Detalhamento!A9:A329,A88,Detalhamento!K9:K329,"Pendente")&gt;0,"Pendente",IF(COUNTIFS(Detalhamento!A9:A329,A88,Detalhamento!K9:K329,"OK")&gt;0,"OK","-")))</f>
        <v>-</v>
      </c>
      <c r="K88" s="117" t="str">
        <f>IF(COUNTIF(Detalhamento!A9:A329,A88)=0,"-",IF(COUNTIFS(Detalhamento!A9:A329,A88,Detalhamento!L9:L329,"Pendente")&gt;0,"Pendente",IF(COUNTIFS(Detalhamento!A9:A329,A88,Detalhamento!L9:L329,"OK")&gt;0,"OK","-")))</f>
        <v>-</v>
      </c>
      <c r="L88" s="117" t="str">
        <f>IF(COUNTIF(Detalhamento!A9:A329,A88)=0,"-",IF(COUNTIFS(Detalhamento!A9:A329,A88,Detalhamento!M9:M329,"Pendente")&gt;0,"Pendente",IF(COUNTIFS(Detalhamento!A9:A329,A88,Detalhamento!M9:M329,"OK")&gt;0,"OK","-")))</f>
        <v>-</v>
      </c>
      <c r="M88" s="117" t="str">
        <f>IF(COUNTIF(Detalhamento!A9:A329,A88)=0,"-",IF(COUNTIFS(Detalhamento!A9:A329,A88,Detalhamento!N9:N329,"Pendente")&gt;0,"Pendente",IF(COUNTIFS(Detalhamento!A9:A329,A88,Detalhamento!N9:N329,"OK")&gt;0,"OK","-")))</f>
        <v>-</v>
      </c>
      <c r="N88" s="118"/>
      <c r="O88" s="119" t="s">
        <v>230</v>
      </c>
      <c r="P88" s="15">
        <f>IF(A88="",0,COUNTIF(Detalhamento!A9:A329,A88))</f>
        <v>0</v>
      </c>
      <c r="Q88" s="15">
        <f>IF(A88="",0,COUNTIFS(Detalhamento!A9:A329,A88,Detalhamento!H9:H329,"Concluído"))</f>
        <v>0</v>
      </c>
      <c r="R88" s="120" t="str">
        <f t="shared" si="2"/>
        <v/>
      </c>
    </row>
    <row r="89" ht="24.0" customHeight="1">
      <c r="A89" s="111" t="s">
        <v>136</v>
      </c>
      <c r="B89" s="112" t="s">
        <v>330</v>
      </c>
      <c r="C89" s="113" t="s">
        <v>195</v>
      </c>
      <c r="D89" s="114">
        <v>46278.0</v>
      </c>
      <c r="E89" s="114">
        <v>46317.0</v>
      </c>
      <c r="F89" s="115" t="str">
        <f t="shared" si="1"/>
        <v>A iniciar</v>
      </c>
      <c r="G89" s="115"/>
      <c r="H89" s="116"/>
      <c r="I89" s="117" t="str">
        <f>IF(COUNTIF(Detalhamento!A9:A329,A89)=0,"-",IF(COUNTIFS(Detalhamento!A9:A329,A89,Detalhamento!J9:J329,"Pendente")&gt;0,"Pendente",IF(COUNTIFS(Detalhamento!A9:A329,A89,Detalhamento!J9:J329,"OK")&gt;0,"OK","-")))</f>
        <v>-</v>
      </c>
      <c r="J89" s="117" t="str">
        <f>IF(COUNTIF(Detalhamento!A9:A329,A89)=0,"-",IF(COUNTIFS(Detalhamento!A9:A329,A89,Detalhamento!K9:K329,"Pendente")&gt;0,"Pendente",IF(COUNTIFS(Detalhamento!A9:A329,A89,Detalhamento!K9:K329,"OK")&gt;0,"OK","-")))</f>
        <v>-</v>
      </c>
      <c r="K89" s="117" t="str">
        <f>IF(COUNTIF(Detalhamento!A9:A329,A89)=0,"-",IF(COUNTIFS(Detalhamento!A9:A329,A89,Detalhamento!L9:L329,"Pendente")&gt;0,"Pendente",IF(COUNTIFS(Detalhamento!A9:A329,A89,Detalhamento!L9:L329,"OK")&gt;0,"OK","-")))</f>
        <v>-</v>
      </c>
      <c r="L89" s="117" t="str">
        <f>IF(COUNTIF(Detalhamento!A9:A329,A89)=0,"-",IF(COUNTIFS(Detalhamento!A9:A329,A89,Detalhamento!M9:M329,"Pendente")&gt;0,"Pendente",IF(COUNTIFS(Detalhamento!A9:A329,A89,Detalhamento!M9:M329,"OK")&gt;0,"OK","-")))</f>
        <v>-</v>
      </c>
      <c r="M89" s="117" t="str">
        <f>IF(COUNTIF(Detalhamento!A9:A329,A89)=0,"-",IF(COUNTIFS(Detalhamento!A9:A329,A89,Detalhamento!N9:N329,"Pendente")&gt;0,"Pendente",IF(COUNTIFS(Detalhamento!A9:A329,A89,Detalhamento!N9:N329,"OK")&gt;0,"OK","-")))</f>
        <v>-</v>
      </c>
      <c r="N89" s="118"/>
      <c r="O89" s="119" t="s">
        <v>230</v>
      </c>
      <c r="P89" s="15">
        <f>IF(A89="",0,COUNTIF(Detalhamento!A9:A329,A89))</f>
        <v>0</v>
      </c>
      <c r="Q89" s="15">
        <f>IF(A89="",0,COUNTIFS(Detalhamento!A9:A329,A89,Detalhamento!H9:H329,"Concluído"))</f>
        <v>0</v>
      </c>
      <c r="R89" s="120" t="str">
        <f t="shared" si="2"/>
        <v/>
      </c>
    </row>
    <row r="90" ht="24.0" customHeight="1">
      <c r="A90" s="111" t="s">
        <v>137</v>
      </c>
      <c r="B90" s="112" t="s">
        <v>331</v>
      </c>
      <c r="C90" s="113" t="s">
        <v>195</v>
      </c>
      <c r="D90" s="114">
        <v>46278.0</v>
      </c>
      <c r="E90" s="114">
        <v>46317.0</v>
      </c>
      <c r="F90" s="115" t="str">
        <f t="shared" si="1"/>
        <v>A iniciar</v>
      </c>
      <c r="G90" s="115"/>
      <c r="H90" s="116"/>
      <c r="I90" s="117" t="str">
        <f>IF(COUNTIF(Detalhamento!A9:A329,A90)=0,"-",IF(COUNTIFS(Detalhamento!A9:A329,A90,Detalhamento!J9:J329,"Pendente")&gt;0,"Pendente",IF(COUNTIFS(Detalhamento!A9:A329,A90,Detalhamento!J9:J329,"OK")&gt;0,"OK","-")))</f>
        <v>-</v>
      </c>
      <c r="J90" s="117" t="str">
        <f>IF(COUNTIF(Detalhamento!A9:A329,A90)=0,"-",IF(COUNTIFS(Detalhamento!A9:A329,A90,Detalhamento!K9:K329,"Pendente")&gt;0,"Pendente",IF(COUNTIFS(Detalhamento!A9:A329,A90,Detalhamento!K9:K329,"OK")&gt;0,"OK","-")))</f>
        <v>-</v>
      </c>
      <c r="K90" s="117" t="str">
        <f>IF(COUNTIF(Detalhamento!A9:A329,A90)=0,"-",IF(COUNTIFS(Detalhamento!A9:A329,A90,Detalhamento!L9:L329,"Pendente")&gt;0,"Pendente",IF(COUNTIFS(Detalhamento!A9:A329,A90,Detalhamento!L9:L329,"OK")&gt;0,"OK","-")))</f>
        <v>-</v>
      </c>
      <c r="L90" s="117" t="str">
        <f>IF(COUNTIF(Detalhamento!A9:A329,A90)=0,"-",IF(COUNTIFS(Detalhamento!A9:A329,A90,Detalhamento!M9:M329,"Pendente")&gt;0,"Pendente",IF(COUNTIFS(Detalhamento!A9:A329,A90,Detalhamento!M9:M329,"OK")&gt;0,"OK","-")))</f>
        <v>-</v>
      </c>
      <c r="M90" s="117" t="str">
        <f>IF(COUNTIF(Detalhamento!A9:A329,A90)=0,"-",IF(COUNTIFS(Detalhamento!A9:A329,A90,Detalhamento!N9:N329,"Pendente")&gt;0,"Pendente",IF(COUNTIFS(Detalhamento!A9:A329,A90,Detalhamento!N9:N329,"OK")&gt;0,"OK","-")))</f>
        <v>-</v>
      </c>
      <c r="N90" s="118"/>
      <c r="O90" s="119" t="s">
        <v>230</v>
      </c>
      <c r="P90" s="15">
        <f>IF(A90="",0,COUNTIF(Detalhamento!A9:A329,A90))</f>
        <v>0</v>
      </c>
      <c r="Q90" s="15">
        <f>IF(A90="",0,COUNTIFS(Detalhamento!A9:A329,A90,Detalhamento!H9:H329,"Concluído"))</f>
        <v>0</v>
      </c>
      <c r="R90" s="120" t="str">
        <f t="shared" si="2"/>
        <v/>
      </c>
    </row>
    <row r="91" ht="24.0" customHeight="1">
      <c r="A91" s="111" t="s">
        <v>138</v>
      </c>
      <c r="B91" s="112" t="s">
        <v>332</v>
      </c>
      <c r="C91" s="113" t="s">
        <v>195</v>
      </c>
      <c r="D91" s="114">
        <v>46278.0</v>
      </c>
      <c r="E91" s="114">
        <v>46317.0</v>
      </c>
      <c r="F91" s="115" t="str">
        <f t="shared" si="1"/>
        <v>A iniciar</v>
      </c>
      <c r="G91" s="115"/>
      <c r="H91" s="116"/>
      <c r="I91" s="117" t="str">
        <f>IF(COUNTIF(Detalhamento!A9:A329,A91)=0,"-",IF(COUNTIFS(Detalhamento!A9:A329,A91,Detalhamento!J9:J329,"Pendente")&gt;0,"Pendente",IF(COUNTIFS(Detalhamento!A9:A329,A91,Detalhamento!J9:J329,"OK")&gt;0,"OK","-")))</f>
        <v>-</v>
      </c>
      <c r="J91" s="117" t="str">
        <f>IF(COUNTIF(Detalhamento!A9:A329,A91)=0,"-",IF(COUNTIFS(Detalhamento!A9:A329,A91,Detalhamento!K9:K329,"Pendente")&gt;0,"Pendente",IF(COUNTIFS(Detalhamento!A9:A329,A91,Detalhamento!K9:K329,"OK")&gt;0,"OK","-")))</f>
        <v>-</v>
      </c>
      <c r="K91" s="117" t="str">
        <f>IF(COUNTIF(Detalhamento!A9:A329,A91)=0,"-",IF(COUNTIFS(Detalhamento!A9:A329,A91,Detalhamento!L9:L329,"Pendente")&gt;0,"Pendente",IF(COUNTIFS(Detalhamento!A9:A329,A91,Detalhamento!L9:L329,"OK")&gt;0,"OK","-")))</f>
        <v>-</v>
      </c>
      <c r="L91" s="117" t="str">
        <f>IF(COUNTIF(Detalhamento!A9:A329,A91)=0,"-",IF(COUNTIFS(Detalhamento!A9:A329,A91,Detalhamento!M9:M329,"Pendente")&gt;0,"Pendente",IF(COUNTIFS(Detalhamento!A9:A329,A91,Detalhamento!M9:M329,"OK")&gt;0,"OK","-")))</f>
        <v>-</v>
      </c>
      <c r="M91" s="117" t="str">
        <f>IF(COUNTIF(Detalhamento!A9:A329,A91)=0,"-",IF(COUNTIFS(Detalhamento!A9:A329,A91,Detalhamento!N9:N329,"Pendente")&gt;0,"Pendente",IF(COUNTIFS(Detalhamento!A9:A329,A91,Detalhamento!N9:N329,"OK")&gt;0,"OK","-")))</f>
        <v>-</v>
      </c>
      <c r="N91" s="118"/>
      <c r="O91" s="119" t="s">
        <v>230</v>
      </c>
      <c r="P91" s="15">
        <f>IF(A91="",0,COUNTIF(Detalhamento!A9:A329,A91))</f>
        <v>0</v>
      </c>
      <c r="Q91" s="15">
        <f>IF(A91="",0,COUNTIFS(Detalhamento!A9:A329,A91,Detalhamento!H9:H329,"Concluído"))</f>
        <v>0</v>
      </c>
      <c r="R91" s="120" t="str">
        <f t="shared" si="2"/>
        <v/>
      </c>
    </row>
    <row r="92" ht="109.5" customHeight="1">
      <c r="A92" s="111" t="s">
        <v>139</v>
      </c>
      <c r="B92" s="112" t="s">
        <v>333</v>
      </c>
      <c r="C92" s="113" t="s">
        <v>195</v>
      </c>
      <c r="D92" s="114">
        <v>46327.0</v>
      </c>
      <c r="E92" s="114">
        <v>46352.0</v>
      </c>
      <c r="F92" s="115" t="str">
        <f t="shared" si="1"/>
        <v>A iniciar</v>
      </c>
      <c r="G92" s="115"/>
      <c r="H92" s="116"/>
      <c r="I92" s="117" t="str">
        <f>IF(COUNTIF(Detalhamento!A9:A329,A92)=0,"-",IF(COUNTIFS(Detalhamento!A9:A329,A92,Detalhamento!J9:J329,"Pendente")&gt;0,"Pendente",IF(COUNTIFS(Detalhamento!A9:A329,A92,Detalhamento!J9:J329,"OK")&gt;0,"OK","-")))</f>
        <v>-</v>
      </c>
      <c r="J92" s="117" t="str">
        <f>IF(COUNTIF(Detalhamento!A9:A329,A92)=0,"-",IF(COUNTIFS(Detalhamento!A9:A329,A92,Detalhamento!K9:K329,"Pendente")&gt;0,"Pendente",IF(COUNTIFS(Detalhamento!A9:A329,A92,Detalhamento!K9:K329,"OK")&gt;0,"OK","-")))</f>
        <v>-</v>
      </c>
      <c r="K92" s="117" t="str">
        <f>IF(COUNTIF(Detalhamento!A9:A329,A92)=0,"-",IF(COUNTIFS(Detalhamento!A9:A329,A92,Detalhamento!L9:L329,"Pendente")&gt;0,"Pendente",IF(COUNTIFS(Detalhamento!A9:A329,A92,Detalhamento!L9:L329,"OK")&gt;0,"OK","-")))</f>
        <v>-</v>
      </c>
      <c r="L92" s="117" t="str">
        <f>IF(COUNTIF(Detalhamento!A9:A329,A92)=0,"-",IF(COUNTIFS(Detalhamento!A9:A329,A92,Detalhamento!M9:M329,"Pendente")&gt;0,"Pendente",IF(COUNTIFS(Detalhamento!A9:A329,A92,Detalhamento!M9:M329,"OK")&gt;0,"OK","-")))</f>
        <v>-</v>
      </c>
      <c r="M92" s="117" t="str">
        <f>IF(COUNTIF(Detalhamento!A9:A329,A92)=0,"-",IF(COUNTIFS(Detalhamento!A9:A329,A92,Detalhamento!N9:N329,"Pendente")&gt;0,"Pendente",IF(COUNTIFS(Detalhamento!A9:A329,A92,Detalhamento!N9:N329,"OK")&gt;0,"OK","-")))</f>
        <v>-</v>
      </c>
      <c r="N92" s="118"/>
      <c r="O92" s="119" t="s">
        <v>230</v>
      </c>
      <c r="P92" s="15">
        <f>IF(A92="",0,COUNTIF(Detalhamento!A9:A329,A92))</f>
        <v>0</v>
      </c>
      <c r="Q92" s="15">
        <f>IF(A92="",0,COUNTIFS(Detalhamento!A9:A329,A92,Detalhamento!H9:H329,"Concluído"))</f>
        <v>0</v>
      </c>
      <c r="R92" s="120" t="str">
        <f t="shared" si="2"/>
        <v/>
      </c>
    </row>
    <row r="93" ht="41.25" customHeight="1">
      <c r="A93" s="111" t="s">
        <v>140</v>
      </c>
      <c r="B93" s="112" t="s">
        <v>334</v>
      </c>
      <c r="C93" s="113" t="s">
        <v>195</v>
      </c>
      <c r="D93" s="114">
        <v>46141.0</v>
      </c>
      <c r="E93" s="114">
        <v>46352.0</v>
      </c>
      <c r="F93" s="115" t="str">
        <f t="shared" si="1"/>
        <v>Em andamento</v>
      </c>
      <c r="G93" s="115"/>
      <c r="H93" s="116"/>
      <c r="I93" s="117" t="str">
        <f>IF(COUNTIF(Detalhamento!A9:A329,A93)=0,"-",IF(COUNTIFS(Detalhamento!A9:A329,A93,Detalhamento!J9:J329,"Pendente")&gt;0,"Pendente",IF(COUNTIFS(Detalhamento!A9:A329,A93,Detalhamento!J9:J329,"OK")&gt;0,"OK","-")))</f>
        <v>-</v>
      </c>
      <c r="J93" s="117" t="str">
        <f>IF(COUNTIF(Detalhamento!A9:A329,A93)=0,"-",IF(COUNTIFS(Detalhamento!A9:A329,A93,Detalhamento!K9:K329,"Pendente")&gt;0,"Pendente",IF(COUNTIFS(Detalhamento!A9:A329,A93,Detalhamento!K9:K329,"OK")&gt;0,"OK","-")))</f>
        <v>-</v>
      </c>
      <c r="K93" s="117" t="str">
        <f>IF(COUNTIF(Detalhamento!A9:A329,A93)=0,"-",IF(COUNTIFS(Detalhamento!A9:A329,A93,Detalhamento!L9:L329,"Pendente")&gt;0,"Pendente",IF(COUNTIFS(Detalhamento!A9:A329,A93,Detalhamento!L9:L329,"OK")&gt;0,"OK","-")))</f>
        <v>-</v>
      </c>
      <c r="L93" s="117" t="str">
        <f>IF(COUNTIF(Detalhamento!A9:A329,A93)=0,"-",IF(COUNTIFS(Detalhamento!A9:A329,A93,Detalhamento!M9:M329,"Pendente")&gt;0,"Pendente",IF(COUNTIFS(Detalhamento!A9:A329,A93,Detalhamento!M9:M329,"OK")&gt;0,"OK","-")))</f>
        <v>-</v>
      </c>
      <c r="M93" s="117" t="str">
        <f>IF(COUNTIF(Detalhamento!A9:A329,A93)=0,"-",IF(COUNTIFS(Detalhamento!A9:A329,A93,Detalhamento!N9:N329,"Pendente")&gt;0,"Pendente",IF(COUNTIFS(Detalhamento!A9:A329,A93,Detalhamento!N9:N329,"OK")&gt;0,"OK","-")))</f>
        <v>-</v>
      </c>
      <c r="N93" s="118"/>
      <c r="O93" s="119" t="s">
        <v>230</v>
      </c>
      <c r="P93" s="15">
        <f>IF(A93="",0,COUNTIF(Detalhamento!A9:A329,A93))</f>
        <v>0</v>
      </c>
      <c r="Q93" s="15">
        <f>IF(A93="",0,COUNTIFS(Detalhamento!A9:A329,A93,Detalhamento!H9:H329,"Concluído"))</f>
        <v>0</v>
      </c>
      <c r="R93" s="120" t="str">
        <f t="shared" si="2"/>
        <v/>
      </c>
    </row>
    <row r="94" ht="91.5" customHeight="1">
      <c r="A94" s="111" t="s">
        <v>141</v>
      </c>
      <c r="B94" s="112" t="s">
        <v>335</v>
      </c>
      <c r="C94" s="113" t="s">
        <v>195</v>
      </c>
      <c r="D94" s="114">
        <v>46243.0</v>
      </c>
      <c r="E94" s="114">
        <v>46324.0</v>
      </c>
      <c r="F94" s="115" t="str">
        <f t="shared" si="1"/>
        <v>A iniciar</v>
      </c>
      <c r="G94" s="115"/>
      <c r="H94" s="116"/>
      <c r="I94" s="117" t="str">
        <f>IF(COUNTIF(Detalhamento!A9:A329,A94)=0,"-",IF(COUNTIFS(Detalhamento!A9:A329,A94,Detalhamento!J9:J329,"Pendente")&gt;0,"Pendente",IF(COUNTIFS(Detalhamento!A9:A329,A94,Detalhamento!J9:J329,"OK")&gt;0,"OK","-")))</f>
        <v>-</v>
      </c>
      <c r="J94" s="117" t="str">
        <f>IF(COUNTIF(Detalhamento!A9:A329,A94)=0,"-",IF(COUNTIFS(Detalhamento!A9:A329,A94,Detalhamento!K9:K329,"Pendente")&gt;0,"Pendente",IF(COUNTIFS(Detalhamento!A9:A329,A94,Detalhamento!K9:K329,"OK")&gt;0,"OK","-")))</f>
        <v>-</v>
      </c>
      <c r="K94" s="117" t="str">
        <f>IF(COUNTIF(Detalhamento!A9:A329,A94)=0,"-",IF(COUNTIFS(Detalhamento!A9:A329,A94,Detalhamento!L9:L329,"Pendente")&gt;0,"Pendente",IF(COUNTIFS(Detalhamento!A9:A329,A94,Detalhamento!L9:L329,"OK")&gt;0,"OK","-")))</f>
        <v>-</v>
      </c>
      <c r="L94" s="117" t="str">
        <f>IF(COUNTIF(Detalhamento!A9:A329,A94)=0,"-",IF(COUNTIFS(Detalhamento!A9:A329,A94,Detalhamento!M9:M329,"Pendente")&gt;0,"Pendente",IF(COUNTIFS(Detalhamento!A9:A329,A94,Detalhamento!M9:M329,"OK")&gt;0,"OK","-")))</f>
        <v>-</v>
      </c>
      <c r="M94" s="117" t="str">
        <f>IF(COUNTIF(Detalhamento!A9:A329,A94)=0,"-",IF(COUNTIFS(Detalhamento!A9:A329,A94,Detalhamento!N9:N329,"Pendente")&gt;0,"Pendente",IF(COUNTIFS(Detalhamento!A9:A329,A94,Detalhamento!N9:N329,"OK")&gt;0,"OK","-")))</f>
        <v>-</v>
      </c>
      <c r="N94" s="118"/>
      <c r="O94" s="119" t="s">
        <v>230</v>
      </c>
      <c r="P94" s="15">
        <f>IF(A94="",0,COUNTIF(Detalhamento!A9:A329,A94))</f>
        <v>0</v>
      </c>
      <c r="Q94" s="15">
        <f>IF(A94="",0,COUNTIFS(Detalhamento!A9:A329,A94,Detalhamento!H9:H329,"Concluído"))</f>
        <v>0</v>
      </c>
      <c r="R94" s="120" t="str">
        <f t="shared" si="2"/>
        <v/>
      </c>
    </row>
    <row r="95" ht="109.5" customHeight="1">
      <c r="A95" s="111" t="s">
        <v>142</v>
      </c>
      <c r="B95" s="112" t="s">
        <v>336</v>
      </c>
      <c r="C95" s="113" t="s">
        <v>195</v>
      </c>
      <c r="D95" s="114">
        <v>46138.0</v>
      </c>
      <c r="E95" s="114">
        <v>46197.0</v>
      </c>
      <c r="F95" s="115" t="str">
        <f t="shared" si="1"/>
        <v>Atrasado</v>
      </c>
      <c r="G95" s="115"/>
      <c r="H95" s="116"/>
      <c r="I95" s="117" t="str">
        <f>IF(COUNTIF(Detalhamento!A9:A329,A95)=0,"-",IF(COUNTIFS(Detalhamento!A9:A329,A95,Detalhamento!J9:J329,"Pendente")&gt;0,"Pendente",IF(COUNTIFS(Detalhamento!A9:A329,A95,Detalhamento!J9:J329,"OK")&gt;0,"OK","-")))</f>
        <v>-</v>
      </c>
      <c r="J95" s="117" t="str">
        <f>IF(COUNTIF(Detalhamento!A9:A329,A95)=0,"-",IF(COUNTIFS(Detalhamento!A9:A329,A95,Detalhamento!K9:K329,"Pendente")&gt;0,"Pendente",IF(COUNTIFS(Detalhamento!A9:A329,A95,Detalhamento!K9:K329,"OK")&gt;0,"OK","-")))</f>
        <v>-</v>
      </c>
      <c r="K95" s="117" t="str">
        <f>IF(COUNTIF(Detalhamento!A9:A329,A95)=0,"-",IF(COUNTIFS(Detalhamento!A9:A329,A95,Detalhamento!L9:L329,"Pendente")&gt;0,"Pendente",IF(COUNTIFS(Detalhamento!A9:A329,A95,Detalhamento!L9:L329,"OK")&gt;0,"OK","-")))</f>
        <v>-</v>
      </c>
      <c r="L95" s="117" t="str">
        <f>IF(COUNTIF(Detalhamento!A9:A329,A95)=0,"-",IF(COUNTIFS(Detalhamento!A9:A329,A95,Detalhamento!M9:M329,"Pendente")&gt;0,"Pendente",IF(COUNTIFS(Detalhamento!A9:A329,A95,Detalhamento!M9:M329,"OK")&gt;0,"OK","-")))</f>
        <v>-</v>
      </c>
      <c r="M95" s="117" t="str">
        <f>IF(COUNTIF(Detalhamento!A9:A329,A95)=0,"-",IF(COUNTIFS(Detalhamento!A9:A329,A95,Detalhamento!N9:N329,"Pendente")&gt;0,"Pendente",IF(COUNTIFS(Detalhamento!A9:A329,A95,Detalhamento!N9:N329,"OK")&gt;0,"OK","-")))</f>
        <v>-</v>
      </c>
      <c r="N95" s="118"/>
      <c r="O95" s="119" t="s">
        <v>230</v>
      </c>
      <c r="P95" s="15">
        <f>IF(A95="",0,COUNTIF(Detalhamento!A9:A329,A95))</f>
        <v>0</v>
      </c>
      <c r="Q95" s="15">
        <f>IF(A95="",0,COUNTIFS(Detalhamento!A9:A329,A95,Detalhamento!H9:H329,"Concluído"))</f>
        <v>0</v>
      </c>
      <c r="R95" s="120" t="str">
        <f t="shared" si="2"/>
        <v/>
      </c>
    </row>
    <row r="96" ht="109.5" customHeight="1">
      <c r="A96" s="111" t="s">
        <v>143</v>
      </c>
      <c r="B96" s="112" t="s">
        <v>337</v>
      </c>
      <c r="C96" s="113" t="s">
        <v>195</v>
      </c>
      <c r="D96" s="114">
        <v>46355.0</v>
      </c>
      <c r="E96" s="114">
        <v>46378.0</v>
      </c>
      <c r="F96" s="115" t="str">
        <f t="shared" si="1"/>
        <v>A iniciar</v>
      </c>
      <c r="G96" s="115"/>
      <c r="H96" s="116"/>
      <c r="I96" s="117" t="str">
        <f>IF(COUNTIF(Detalhamento!A9:A329,A96)=0,"-",IF(COUNTIFS(Detalhamento!A9:A329,A96,Detalhamento!J9:J329,"Pendente")&gt;0,"Pendente",IF(COUNTIFS(Detalhamento!A9:A329,A96,Detalhamento!J9:J329,"OK")&gt;0,"OK","-")))</f>
        <v>-</v>
      </c>
      <c r="J96" s="117" t="str">
        <f>IF(COUNTIF(Detalhamento!A9:A329,A96)=0,"-",IF(COUNTIFS(Detalhamento!A9:A329,A96,Detalhamento!K9:K329,"Pendente")&gt;0,"Pendente",IF(COUNTIFS(Detalhamento!A9:A329,A96,Detalhamento!K9:K329,"OK")&gt;0,"OK","-")))</f>
        <v>-</v>
      </c>
      <c r="K96" s="117" t="str">
        <f>IF(COUNTIF(Detalhamento!A9:A329,A96)=0,"-",IF(COUNTIFS(Detalhamento!A9:A329,A96,Detalhamento!L9:L329,"Pendente")&gt;0,"Pendente",IF(COUNTIFS(Detalhamento!A9:A329,A96,Detalhamento!L9:L329,"OK")&gt;0,"OK","-")))</f>
        <v>-</v>
      </c>
      <c r="L96" s="117" t="str">
        <f>IF(COUNTIF(Detalhamento!A9:A329,A96)=0,"-",IF(COUNTIFS(Detalhamento!A9:A329,A96,Detalhamento!M9:M329,"Pendente")&gt;0,"Pendente",IF(COUNTIFS(Detalhamento!A9:A329,A96,Detalhamento!M9:M329,"OK")&gt;0,"OK","-")))</f>
        <v>-</v>
      </c>
      <c r="M96" s="117" t="str">
        <f>IF(COUNTIF(Detalhamento!A9:A329,A96)=0,"-",IF(COUNTIFS(Detalhamento!A9:A329,A96,Detalhamento!N9:N329,"Pendente")&gt;0,"Pendente",IF(COUNTIFS(Detalhamento!A9:A329,A96,Detalhamento!N9:N329,"OK")&gt;0,"OK","-")))</f>
        <v>-</v>
      </c>
      <c r="N96" s="118"/>
      <c r="O96" s="119" t="s">
        <v>230</v>
      </c>
      <c r="P96" s="15">
        <f>IF(A96="",0,COUNTIF(Detalhamento!A9:A329,A96))</f>
        <v>0</v>
      </c>
      <c r="Q96" s="15">
        <f>IF(A96="",0,COUNTIFS(Detalhamento!A9:A329,A96,Detalhamento!H9:H329,"Concluído"))</f>
        <v>0</v>
      </c>
      <c r="R96" s="120" t="str">
        <f t="shared" si="2"/>
        <v/>
      </c>
    </row>
    <row r="97" ht="109.5" customHeight="1">
      <c r="A97" s="111" t="s">
        <v>144</v>
      </c>
      <c r="B97" s="112" t="s">
        <v>338</v>
      </c>
      <c r="C97" s="113" t="s">
        <v>195</v>
      </c>
      <c r="D97" s="114">
        <v>46362.0</v>
      </c>
      <c r="E97" s="114">
        <v>46378.0</v>
      </c>
      <c r="F97" s="115" t="str">
        <f t="shared" si="1"/>
        <v>A iniciar</v>
      </c>
      <c r="G97" s="115"/>
      <c r="H97" s="116"/>
      <c r="I97" s="117" t="str">
        <f>IF(COUNTIF(Detalhamento!A9:A329,A97)=0,"-",IF(COUNTIFS(Detalhamento!A9:A329,A97,Detalhamento!J9:J329,"Pendente")&gt;0,"Pendente",IF(COUNTIFS(Detalhamento!A9:A329,A97,Detalhamento!J9:J329,"OK")&gt;0,"OK","-")))</f>
        <v>-</v>
      </c>
      <c r="J97" s="117" t="str">
        <f>IF(COUNTIF(Detalhamento!A9:A329,A97)=0,"-",IF(COUNTIFS(Detalhamento!A9:A329,A97,Detalhamento!K9:K329,"Pendente")&gt;0,"Pendente",IF(COUNTIFS(Detalhamento!A9:A329,A97,Detalhamento!K9:K329,"OK")&gt;0,"OK","-")))</f>
        <v>-</v>
      </c>
      <c r="K97" s="117" t="str">
        <f>IF(COUNTIF(Detalhamento!A9:A329,A97)=0,"-",IF(COUNTIFS(Detalhamento!A9:A329,A97,Detalhamento!L9:L329,"Pendente")&gt;0,"Pendente",IF(COUNTIFS(Detalhamento!A9:A329,A97,Detalhamento!L9:L329,"OK")&gt;0,"OK","-")))</f>
        <v>-</v>
      </c>
      <c r="L97" s="117" t="str">
        <f>IF(COUNTIF(Detalhamento!A9:A329,A97)=0,"-",IF(COUNTIFS(Detalhamento!A9:A329,A97,Detalhamento!M9:M329,"Pendente")&gt;0,"Pendente",IF(COUNTIFS(Detalhamento!A9:A329,A97,Detalhamento!M9:M329,"OK")&gt;0,"OK","-")))</f>
        <v>-</v>
      </c>
      <c r="M97" s="117" t="str">
        <f>IF(COUNTIF(Detalhamento!A9:A329,A97)=0,"-",IF(COUNTIFS(Detalhamento!A9:A329,A97,Detalhamento!N9:N329,"Pendente")&gt;0,"Pendente",IF(COUNTIFS(Detalhamento!A9:A329,A97,Detalhamento!N9:N329,"OK")&gt;0,"OK","-")))</f>
        <v>-</v>
      </c>
      <c r="N97" s="118"/>
      <c r="O97" s="119" t="s">
        <v>230</v>
      </c>
      <c r="P97" s="15">
        <f>IF(A97="",0,COUNTIF(Detalhamento!A9:A329,A97))</f>
        <v>0</v>
      </c>
      <c r="Q97" s="15">
        <f>IF(A97="",0,COUNTIFS(Detalhamento!A9:A329,A97,Detalhamento!H9:H329,"Concluído"))</f>
        <v>0</v>
      </c>
      <c r="R97" s="120" t="str">
        <f t="shared" si="2"/>
        <v/>
      </c>
    </row>
    <row r="98" ht="24.0" customHeight="1">
      <c r="A98" s="111" t="s">
        <v>145</v>
      </c>
      <c r="B98" s="112" t="s">
        <v>339</v>
      </c>
      <c r="C98" s="113" t="s">
        <v>195</v>
      </c>
      <c r="D98" s="114">
        <v>46356.0</v>
      </c>
      <c r="E98" s="114">
        <v>46408.0</v>
      </c>
      <c r="F98" s="115" t="str">
        <f t="shared" si="1"/>
        <v>A iniciar</v>
      </c>
      <c r="G98" s="115"/>
      <c r="H98" s="116"/>
      <c r="I98" s="117" t="str">
        <f>IF(COUNTIF(Detalhamento!A9:A329,A98)=0,"-",IF(COUNTIFS(Detalhamento!A9:A329,A98,Detalhamento!J9:J329,"Pendente")&gt;0,"Pendente",IF(COUNTIFS(Detalhamento!A9:A329,A98,Detalhamento!J9:J329,"OK")&gt;0,"OK","-")))</f>
        <v>-</v>
      </c>
      <c r="J98" s="117" t="str">
        <f>IF(COUNTIF(Detalhamento!A9:A329,A98)=0,"-",IF(COUNTIFS(Detalhamento!A9:A329,A98,Detalhamento!K9:K329,"Pendente")&gt;0,"Pendente",IF(COUNTIFS(Detalhamento!A9:A329,A98,Detalhamento!K9:K329,"OK")&gt;0,"OK","-")))</f>
        <v>-</v>
      </c>
      <c r="K98" s="117" t="str">
        <f>IF(COUNTIF(Detalhamento!A9:A329,A98)=0,"-",IF(COUNTIFS(Detalhamento!A9:A329,A98,Detalhamento!L9:L329,"Pendente")&gt;0,"Pendente",IF(COUNTIFS(Detalhamento!A9:A329,A98,Detalhamento!L9:L329,"OK")&gt;0,"OK","-")))</f>
        <v>-</v>
      </c>
      <c r="L98" s="117" t="str">
        <f>IF(COUNTIF(Detalhamento!A9:A329,A98)=0,"-",IF(COUNTIFS(Detalhamento!A9:A329,A98,Detalhamento!M9:M329,"Pendente")&gt;0,"Pendente",IF(COUNTIFS(Detalhamento!A9:A329,A98,Detalhamento!M9:M329,"OK")&gt;0,"OK","-")))</f>
        <v>-</v>
      </c>
      <c r="M98" s="117" t="str">
        <f>IF(COUNTIF(Detalhamento!A9:A329,A98)=0,"-",IF(COUNTIFS(Detalhamento!A9:A329,A98,Detalhamento!N9:N329,"Pendente")&gt;0,"Pendente",IF(COUNTIFS(Detalhamento!A9:A329,A98,Detalhamento!N9:N329,"OK")&gt;0,"OK","-")))</f>
        <v>-</v>
      </c>
      <c r="N98" s="118"/>
      <c r="O98" s="119" t="s">
        <v>230</v>
      </c>
      <c r="P98" s="15">
        <f>IF(A98="",0,COUNTIF(Detalhamento!A9:A329,A98))</f>
        <v>0</v>
      </c>
      <c r="Q98" s="15">
        <f>IF(A98="",0,COUNTIFS(Detalhamento!A9:A329,A98,Detalhamento!H9:H329,"Concluído"))</f>
        <v>0</v>
      </c>
      <c r="R98" s="120" t="str">
        <f t="shared" si="2"/>
        <v/>
      </c>
    </row>
    <row r="99" ht="41.25" customHeight="1">
      <c r="A99" s="111" t="s">
        <v>340</v>
      </c>
      <c r="B99" s="112" t="s">
        <v>234</v>
      </c>
      <c r="C99" s="113" t="s">
        <v>196</v>
      </c>
      <c r="D99" s="114">
        <v>46069.0</v>
      </c>
      <c r="E99" s="114">
        <v>46072.0</v>
      </c>
      <c r="F99" s="115" t="str">
        <f t="shared" si="1"/>
        <v>Atrasado</v>
      </c>
      <c r="G99" s="115"/>
      <c r="H99" s="116"/>
      <c r="I99" s="117" t="str">
        <f>IF(COUNTIF(Detalhamento!A9:A329,A99)=0,"-",IF(COUNTIFS(Detalhamento!A9:A329,A99,Detalhamento!J9:J329,"Pendente")&gt;0,"Pendente",IF(COUNTIFS(Detalhamento!A9:A329,A99,Detalhamento!J9:J329,"OK")&gt;0,"OK","-")))</f>
        <v>-</v>
      </c>
      <c r="J99" s="117" t="str">
        <f>IF(COUNTIF(Detalhamento!A9:A329,A99)=0,"-",IF(COUNTIFS(Detalhamento!A9:A329,A99,Detalhamento!K9:K329,"Pendente")&gt;0,"Pendente",IF(COUNTIFS(Detalhamento!A9:A329,A99,Detalhamento!K9:K329,"OK")&gt;0,"OK","-")))</f>
        <v>-</v>
      </c>
      <c r="K99" s="117" t="str">
        <f>IF(COUNTIF(Detalhamento!A9:A329,A99)=0,"-",IF(COUNTIFS(Detalhamento!A9:A329,A99,Detalhamento!L9:L329,"Pendente")&gt;0,"Pendente",IF(COUNTIFS(Detalhamento!A9:A329,A99,Detalhamento!L9:L329,"OK")&gt;0,"OK","-")))</f>
        <v>-</v>
      </c>
      <c r="L99" s="117" t="str">
        <f>IF(COUNTIF(Detalhamento!A9:A329,A99)=0,"-",IF(COUNTIFS(Detalhamento!A9:A329,A99,Detalhamento!M9:M329,"Pendente")&gt;0,"Pendente",IF(COUNTIFS(Detalhamento!A9:A329,A99,Detalhamento!M9:M329,"OK")&gt;0,"OK","-")))</f>
        <v>-</v>
      </c>
      <c r="M99" s="117" t="str">
        <f>IF(COUNTIF(Detalhamento!A9:A329,A99)=0,"-",IF(COUNTIFS(Detalhamento!A9:A329,A99,Detalhamento!N9:N329,"Pendente")&gt;0,"Pendente",IF(COUNTIFS(Detalhamento!A9:A329,A99,Detalhamento!N9:N329,"OK")&gt;0,"OK","-")))</f>
        <v>-</v>
      </c>
      <c r="N99" s="118"/>
      <c r="O99" s="119" t="s">
        <v>230</v>
      </c>
      <c r="P99" s="15">
        <f>IF(A99="",0,COUNTIF(Detalhamento!A9:A329,A99))</f>
        <v>0</v>
      </c>
      <c r="Q99" s="15">
        <f>IF(A99="",0,COUNTIFS(Detalhamento!A9:A329,A99,Detalhamento!H9:H329,"Concluído"))</f>
        <v>0</v>
      </c>
      <c r="R99" s="120" t="str">
        <f t="shared" si="2"/>
        <v/>
      </c>
    </row>
    <row r="100" ht="41.25" customHeight="1">
      <c r="A100" s="111" t="s">
        <v>341</v>
      </c>
      <c r="B100" s="112" t="s">
        <v>285</v>
      </c>
      <c r="C100" s="113" t="s">
        <v>196</v>
      </c>
      <c r="D100" s="114">
        <v>46069.0</v>
      </c>
      <c r="E100" s="114">
        <v>46135.0</v>
      </c>
      <c r="F100" s="115" t="str">
        <f t="shared" si="1"/>
        <v>Atrasado</v>
      </c>
      <c r="G100" s="115"/>
      <c r="H100" s="116"/>
      <c r="I100" s="117" t="str">
        <f>IF(COUNTIF(Detalhamento!A9:A329,A100)=0,"-",IF(COUNTIFS(Detalhamento!A9:A329,A100,Detalhamento!J9:J329,"Pendente")&gt;0,"Pendente",IF(COUNTIFS(Detalhamento!A9:A329,A100,Detalhamento!J9:J329,"OK")&gt;0,"OK","-")))</f>
        <v>-</v>
      </c>
      <c r="J100" s="117" t="str">
        <f>IF(COUNTIF(Detalhamento!A9:A329,A100)=0,"-",IF(COUNTIFS(Detalhamento!A9:A329,A100,Detalhamento!K9:K329,"Pendente")&gt;0,"Pendente",IF(COUNTIFS(Detalhamento!A9:A329,A100,Detalhamento!K9:K329,"OK")&gt;0,"OK","-")))</f>
        <v>-</v>
      </c>
      <c r="K100" s="117" t="str">
        <f>IF(COUNTIF(Detalhamento!A9:A329,A100)=0,"-",IF(COUNTIFS(Detalhamento!A9:A329,A100,Detalhamento!L9:L329,"Pendente")&gt;0,"Pendente",IF(COUNTIFS(Detalhamento!A9:A329,A100,Detalhamento!L9:L329,"OK")&gt;0,"OK","-")))</f>
        <v>-</v>
      </c>
      <c r="L100" s="117" t="str">
        <f>IF(COUNTIF(Detalhamento!A9:A329,A100)=0,"-",IF(COUNTIFS(Detalhamento!A9:A329,A100,Detalhamento!M9:M329,"Pendente")&gt;0,"Pendente",IF(COUNTIFS(Detalhamento!A9:A329,A100,Detalhamento!M9:M329,"OK")&gt;0,"OK","-")))</f>
        <v>-</v>
      </c>
      <c r="M100" s="117" t="str">
        <f>IF(COUNTIF(Detalhamento!A9:A329,A100)=0,"-",IF(COUNTIFS(Detalhamento!A9:A329,A100,Detalhamento!N9:N329,"Pendente")&gt;0,"Pendente",IF(COUNTIFS(Detalhamento!A9:A329,A100,Detalhamento!N9:N329,"OK")&gt;0,"OK","-")))</f>
        <v>-</v>
      </c>
      <c r="N100" s="118"/>
      <c r="O100" s="119" t="s">
        <v>230</v>
      </c>
      <c r="P100" s="15">
        <f>IF(A100="",0,COUNTIF(Detalhamento!A9:A329,A100))</f>
        <v>0</v>
      </c>
      <c r="Q100" s="15">
        <f>IF(A100="",0,COUNTIFS(Detalhamento!A9:A329,A100,Detalhamento!H9:H329,"Concluído"))</f>
        <v>0</v>
      </c>
      <c r="R100" s="120" t="str">
        <f t="shared" si="2"/>
        <v/>
      </c>
    </row>
    <row r="101" ht="24.0" customHeight="1">
      <c r="A101" s="111" t="s">
        <v>342</v>
      </c>
      <c r="B101" s="112" t="s">
        <v>62</v>
      </c>
      <c r="C101" s="113" t="s">
        <v>196</v>
      </c>
      <c r="D101" s="114">
        <v>46069.0</v>
      </c>
      <c r="E101" s="114">
        <v>46191.0</v>
      </c>
      <c r="F101" s="115" t="str">
        <f t="shared" si="1"/>
        <v>Atrasado</v>
      </c>
      <c r="G101" s="115"/>
      <c r="H101" s="116"/>
      <c r="I101" s="117" t="str">
        <f>IF(COUNTIF(Detalhamento!A9:A329,A101)=0,"-",IF(COUNTIFS(Detalhamento!A9:A329,A101,Detalhamento!J9:J329,"Pendente")&gt;0,"Pendente",IF(COUNTIFS(Detalhamento!A9:A329,A101,Detalhamento!J9:J329,"OK")&gt;0,"OK","-")))</f>
        <v>-</v>
      </c>
      <c r="J101" s="117" t="str">
        <f>IF(COUNTIF(Detalhamento!A9:A329,A101)=0,"-",IF(COUNTIFS(Detalhamento!A9:A329,A101,Detalhamento!K9:K329,"Pendente")&gt;0,"Pendente",IF(COUNTIFS(Detalhamento!A9:A329,A101,Detalhamento!K9:K329,"OK")&gt;0,"OK","-")))</f>
        <v>-</v>
      </c>
      <c r="K101" s="117" t="str">
        <f>IF(COUNTIF(Detalhamento!A9:A329,A101)=0,"-",IF(COUNTIFS(Detalhamento!A9:A329,A101,Detalhamento!L9:L329,"Pendente")&gt;0,"Pendente",IF(COUNTIFS(Detalhamento!A9:A329,A101,Detalhamento!L9:L329,"OK")&gt;0,"OK","-")))</f>
        <v>-</v>
      </c>
      <c r="L101" s="117" t="str">
        <f>IF(COUNTIF(Detalhamento!A9:A329,A101)=0,"-",IF(COUNTIFS(Detalhamento!A9:A329,A101,Detalhamento!M9:M329,"Pendente")&gt;0,"Pendente",IF(COUNTIFS(Detalhamento!A9:A329,A101,Detalhamento!M9:M329,"OK")&gt;0,"OK","-")))</f>
        <v>-</v>
      </c>
      <c r="M101" s="117" t="str">
        <f>IF(COUNTIF(Detalhamento!A9:A329,A101)=0,"-",IF(COUNTIFS(Detalhamento!A9:A329,A101,Detalhamento!N9:N329,"Pendente")&gt;0,"Pendente",IF(COUNTIFS(Detalhamento!A9:A329,A101,Detalhamento!N9:N329,"OK")&gt;0,"OK","-")))</f>
        <v>-</v>
      </c>
      <c r="N101" s="118"/>
      <c r="O101" s="119" t="s">
        <v>230</v>
      </c>
      <c r="P101" s="15">
        <f>IF(A101="",0,COUNTIF(Detalhamento!A9:A329,A101))</f>
        <v>0</v>
      </c>
      <c r="Q101" s="15">
        <f>IF(A101="",0,COUNTIFS(Detalhamento!A9:A329,A101,Detalhamento!H9:H329,"Concluído"))</f>
        <v>0</v>
      </c>
      <c r="R101" s="120" t="str">
        <f t="shared" si="2"/>
        <v/>
      </c>
    </row>
    <row r="102" ht="24.0" customHeight="1">
      <c r="A102" s="111" t="s">
        <v>343</v>
      </c>
      <c r="B102" s="112" t="s">
        <v>59</v>
      </c>
      <c r="C102" s="113" t="s">
        <v>196</v>
      </c>
      <c r="D102" s="114">
        <v>46069.0</v>
      </c>
      <c r="E102" s="114">
        <v>46191.0</v>
      </c>
      <c r="F102" s="115" t="str">
        <f t="shared" si="1"/>
        <v>Atrasado</v>
      </c>
      <c r="G102" s="115"/>
      <c r="H102" s="116"/>
      <c r="I102" s="117" t="str">
        <f>IF(COUNTIF(Detalhamento!A9:A329,A102)=0,"-",IF(COUNTIFS(Detalhamento!A9:A329,A102,Detalhamento!J9:J329,"Pendente")&gt;0,"Pendente",IF(COUNTIFS(Detalhamento!A9:A329,A102,Detalhamento!J9:J329,"OK")&gt;0,"OK","-")))</f>
        <v>-</v>
      </c>
      <c r="J102" s="117" t="str">
        <f>IF(COUNTIF(Detalhamento!A9:A329,A102)=0,"-",IF(COUNTIFS(Detalhamento!A9:A329,A102,Detalhamento!K9:K329,"Pendente")&gt;0,"Pendente",IF(COUNTIFS(Detalhamento!A9:A329,A102,Detalhamento!K9:K329,"OK")&gt;0,"OK","-")))</f>
        <v>-</v>
      </c>
      <c r="K102" s="117" t="str">
        <f>IF(COUNTIF(Detalhamento!A9:A329,A102)=0,"-",IF(COUNTIFS(Detalhamento!A9:A329,A102,Detalhamento!L9:L329,"Pendente")&gt;0,"Pendente",IF(COUNTIFS(Detalhamento!A9:A329,A102,Detalhamento!L9:L329,"OK")&gt;0,"OK","-")))</f>
        <v>-</v>
      </c>
      <c r="L102" s="117" t="str">
        <f>IF(COUNTIF(Detalhamento!A9:A329,A102)=0,"-",IF(COUNTIFS(Detalhamento!A9:A329,A102,Detalhamento!M9:M329,"Pendente")&gt;0,"Pendente",IF(COUNTIFS(Detalhamento!A9:A329,A102,Detalhamento!M9:M329,"OK")&gt;0,"OK","-")))</f>
        <v>-</v>
      </c>
      <c r="M102" s="117" t="str">
        <f>IF(COUNTIF(Detalhamento!A9:A329,A102)=0,"-",IF(COUNTIFS(Detalhamento!A9:A329,A102,Detalhamento!N9:N329,"Pendente")&gt;0,"Pendente",IF(COUNTIFS(Detalhamento!A9:A329,A102,Detalhamento!N9:N329,"OK")&gt;0,"OK","-")))</f>
        <v>-</v>
      </c>
      <c r="N102" s="118"/>
      <c r="O102" s="119" t="s">
        <v>230</v>
      </c>
      <c r="P102" s="15">
        <f>IF(A102="",0,COUNTIF(Detalhamento!A9:A329,A102))</f>
        <v>0</v>
      </c>
      <c r="Q102" s="15">
        <f>IF(A102="",0,COUNTIFS(Detalhamento!A9:A329,A102,Detalhamento!H9:H329,"Concluído"))</f>
        <v>0</v>
      </c>
      <c r="R102" s="120" t="str">
        <f t="shared" si="2"/>
        <v/>
      </c>
    </row>
    <row r="103" ht="24.0" customHeight="1">
      <c r="A103" s="111" t="s">
        <v>344</v>
      </c>
      <c r="B103" s="112" t="s">
        <v>67</v>
      </c>
      <c r="C103" s="113" t="s">
        <v>196</v>
      </c>
      <c r="D103" s="114">
        <v>46069.0</v>
      </c>
      <c r="E103" s="114">
        <v>46198.0</v>
      </c>
      <c r="F103" s="115" t="str">
        <f t="shared" si="1"/>
        <v>Atrasado</v>
      </c>
      <c r="G103" s="115"/>
      <c r="H103" s="116"/>
      <c r="I103" s="117" t="str">
        <f>IF(COUNTIF(Detalhamento!A9:A329,A103)=0,"-",IF(COUNTIFS(Detalhamento!A9:A329,A103,Detalhamento!J9:J329,"Pendente")&gt;0,"Pendente",IF(COUNTIFS(Detalhamento!A9:A329,A103,Detalhamento!J9:J329,"OK")&gt;0,"OK","-")))</f>
        <v>-</v>
      </c>
      <c r="J103" s="117" t="str">
        <f>IF(COUNTIF(Detalhamento!A9:A329,A103)=0,"-",IF(COUNTIFS(Detalhamento!A9:A329,A103,Detalhamento!K9:K329,"Pendente")&gt;0,"Pendente",IF(COUNTIFS(Detalhamento!A9:A329,A103,Detalhamento!K9:K329,"OK")&gt;0,"OK","-")))</f>
        <v>-</v>
      </c>
      <c r="K103" s="117" t="str">
        <f>IF(COUNTIF(Detalhamento!A9:A329,A103)=0,"-",IF(COUNTIFS(Detalhamento!A9:A329,A103,Detalhamento!L9:L329,"Pendente")&gt;0,"Pendente",IF(COUNTIFS(Detalhamento!A9:A329,A103,Detalhamento!L9:L329,"OK")&gt;0,"OK","-")))</f>
        <v>-</v>
      </c>
      <c r="L103" s="117" t="str">
        <f>IF(COUNTIF(Detalhamento!A9:A329,A103)=0,"-",IF(COUNTIFS(Detalhamento!A9:A329,A103,Detalhamento!M9:M329,"Pendente")&gt;0,"Pendente",IF(COUNTIFS(Detalhamento!A9:A329,A103,Detalhamento!M9:M329,"OK")&gt;0,"OK","-")))</f>
        <v>-</v>
      </c>
      <c r="M103" s="117" t="str">
        <f>IF(COUNTIF(Detalhamento!A9:A329,A103)=0,"-",IF(COUNTIFS(Detalhamento!A9:A329,A103,Detalhamento!N9:N329,"Pendente")&gt;0,"Pendente",IF(COUNTIFS(Detalhamento!A9:A329,A103,Detalhamento!N9:N329,"OK")&gt;0,"OK","-")))</f>
        <v>-</v>
      </c>
      <c r="N103" s="118"/>
      <c r="O103" s="119" t="s">
        <v>230</v>
      </c>
      <c r="P103" s="15">
        <f>IF(A103="",0,COUNTIF(Detalhamento!A9:A329,A103))</f>
        <v>0</v>
      </c>
      <c r="Q103" s="15">
        <f>IF(A103="",0,COUNTIFS(Detalhamento!A9:A329,A103,Detalhamento!H9:H329,"Concluído"))</f>
        <v>0</v>
      </c>
      <c r="R103" s="120" t="str">
        <f t="shared" si="2"/>
        <v/>
      </c>
    </row>
    <row r="104" ht="24.0" customHeight="1">
      <c r="A104" s="111" t="s">
        <v>345</v>
      </c>
      <c r="B104" s="112" t="s">
        <v>292</v>
      </c>
      <c r="C104" s="113" t="s">
        <v>196</v>
      </c>
      <c r="D104" s="114">
        <v>46069.0</v>
      </c>
      <c r="E104" s="114">
        <v>46072.0</v>
      </c>
      <c r="F104" s="115" t="str">
        <f t="shared" si="1"/>
        <v>Atrasado</v>
      </c>
      <c r="G104" s="115"/>
      <c r="H104" s="116"/>
      <c r="I104" s="117" t="str">
        <f>IF(COUNTIF(Detalhamento!A9:A329,A104)=0,"-",IF(COUNTIFS(Detalhamento!A9:A329,A104,Detalhamento!J9:J329,"Pendente")&gt;0,"Pendente",IF(COUNTIFS(Detalhamento!A9:A329,A104,Detalhamento!J9:J329,"OK")&gt;0,"OK","-")))</f>
        <v>-</v>
      </c>
      <c r="J104" s="117" t="str">
        <f>IF(COUNTIF(Detalhamento!A9:A329,A104)=0,"-",IF(COUNTIFS(Detalhamento!A9:A329,A104,Detalhamento!K9:K329,"Pendente")&gt;0,"Pendente",IF(COUNTIFS(Detalhamento!A9:A329,A104,Detalhamento!K9:K329,"OK")&gt;0,"OK","-")))</f>
        <v>-</v>
      </c>
      <c r="K104" s="117" t="str">
        <f>IF(COUNTIF(Detalhamento!A9:A329,A104)=0,"-",IF(COUNTIFS(Detalhamento!A9:A329,A104,Detalhamento!L9:L329,"Pendente")&gt;0,"Pendente",IF(COUNTIFS(Detalhamento!A9:A329,A104,Detalhamento!L9:L329,"OK")&gt;0,"OK","-")))</f>
        <v>-</v>
      </c>
      <c r="L104" s="117" t="str">
        <f>IF(COUNTIF(Detalhamento!A9:A329,A104)=0,"-",IF(COUNTIFS(Detalhamento!A9:A329,A104,Detalhamento!M9:M329,"Pendente")&gt;0,"Pendente",IF(COUNTIFS(Detalhamento!A9:A329,A104,Detalhamento!M9:M329,"OK")&gt;0,"OK","-")))</f>
        <v>-</v>
      </c>
      <c r="M104" s="117" t="str">
        <f>IF(COUNTIF(Detalhamento!A9:A329,A104)=0,"-",IF(COUNTIFS(Detalhamento!A9:A329,A104,Detalhamento!N9:N329,"Pendente")&gt;0,"Pendente",IF(COUNTIFS(Detalhamento!A9:A329,A104,Detalhamento!N9:N329,"OK")&gt;0,"OK","-")))</f>
        <v>-</v>
      </c>
      <c r="N104" s="118"/>
      <c r="O104" s="119" t="s">
        <v>230</v>
      </c>
      <c r="P104" s="15">
        <f>IF(A104="",0,COUNTIF(Detalhamento!A9:A329,A104))</f>
        <v>0</v>
      </c>
      <c r="Q104" s="15">
        <f>IF(A104="",0,COUNTIFS(Detalhamento!A9:A329,A104,Detalhamento!H9:H329,"Concluído"))</f>
        <v>0</v>
      </c>
      <c r="R104" s="120" t="str">
        <f t="shared" si="2"/>
        <v/>
      </c>
    </row>
    <row r="105" ht="41.25" customHeight="1">
      <c r="A105" s="111" t="s">
        <v>346</v>
      </c>
      <c r="B105" s="112" t="s">
        <v>305</v>
      </c>
      <c r="C105" s="113" t="s">
        <v>196</v>
      </c>
      <c r="D105" s="114">
        <v>46124.0</v>
      </c>
      <c r="E105" s="114">
        <v>46149.0</v>
      </c>
      <c r="F105" s="115" t="str">
        <f t="shared" si="1"/>
        <v>Atrasado</v>
      </c>
      <c r="G105" s="115"/>
      <c r="H105" s="116"/>
      <c r="I105" s="117" t="str">
        <f>IF(COUNTIF(Detalhamento!A9:A329,A105)=0,"-",IF(COUNTIFS(Detalhamento!A9:A329,A105,Detalhamento!J9:J329,"Pendente")&gt;0,"Pendente",IF(COUNTIFS(Detalhamento!A9:A329,A105,Detalhamento!J9:J329,"OK")&gt;0,"OK","-")))</f>
        <v>-</v>
      </c>
      <c r="J105" s="117" t="str">
        <f>IF(COUNTIF(Detalhamento!A9:A329,A105)=0,"-",IF(COUNTIFS(Detalhamento!A9:A329,A105,Detalhamento!K9:K329,"Pendente")&gt;0,"Pendente",IF(COUNTIFS(Detalhamento!A9:A329,A105,Detalhamento!K9:K329,"OK")&gt;0,"OK","-")))</f>
        <v>-</v>
      </c>
      <c r="K105" s="117" t="str">
        <f>IF(COUNTIF(Detalhamento!A9:A329,A105)=0,"-",IF(COUNTIFS(Detalhamento!A9:A329,A105,Detalhamento!L9:L329,"Pendente")&gt;0,"Pendente",IF(COUNTIFS(Detalhamento!A9:A329,A105,Detalhamento!L9:L329,"OK")&gt;0,"OK","-")))</f>
        <v>-</v>
      </c>
      <c r="L105" s="117" t="str">
        <f>IF(COUNTIF(Detalhamento!A9:A329,A105)=0,"-",IF(COUNTIFS(Detalhamento!A9:A329,A105,Detalhamento!M9:M329,"Pendente")&gt;0,"Pendente",IF(COUNTIFS(Detalhamento!A9:A329,A105,Detalhamento!M9:M329,"OK")&gt;0,"OK","-")))</f>
        <v>-</v>
      </c>
      <c r="M105" s="117" t="str">
        <f>IF(COUNTIF(Detalhamento!A9:A329,A105)=0,"-",IF(COUNTIFS(Detalhamento!A9:A329,A105,Detalhamento!N9:N329,"Pendente")&gt;0,"Pendente",IF(COUNTIFS(Detalhamento!A9:A329,A105,Detalhamento!N9:N329,"OK")&gt;0,"OK","-")))</f>
        <v>-</v>
      </c>
      <c r="N105" s="118"/>
      <c r="O105" s="119" t="s">
        <v>230</v>
      </c>
      <c r="P105" s="15">
        <f>IF(A105="",0,COUNTIF(Detalhamento!A9:A329,A105))</f>
        <v>0</v>
      </c>
      <c r="Q105" s="15">
        <f>IF(A105="",0,COUNTIFS(Detalhamento!A9:A329,A105,Detalhamento!H9:H329,"Concluído"))</f>
        <v>0</v>
      </c>
      <c r="R105" s="120" t="str">
        <f t="shared" si="2"/>
        <v/>
      </c>
    </row>
    <row r="106" ht="103.5" customHeight="1">
      <c r="A106" s="111" t="s">
        <v>347</v>
      </c>
      <c r="B106" s="112" t="s">
        <v>306</v>
      </c>
      <c r="C106" s="113" t="s">
        <v>196</v>
      </c>
      <c r="D106" s="114">
        <v>46159.0</v>
      </c>
      <c r="E106" s="114">
        <v>46191.0</v>
      </c>
      <c r="F106" s="115" t="str">
        <f t="shared" si="1"/>
        <v>Atrasado</v>
      </c>
      <c r="G106" s="115"/>
      <c r="H106" s="116"/>
      <c r="I106" s="117" t="str">
        <f>IF(COUNTIF(Detalhamento!A9:A329,A106)=0,"-",IF(COUNTIFS(Detalhamento!A9:A329,A106,Detalhamento!J9:J329,"Pendente")&gt;0,"Pendente",IF(COUNTIFS(Detalhamento!A9:A329,A106,Detalhamento!J9:J329,"OK")&gt;0,"OK","-")))</f>
        <v>-</v>
      </c>
      <c r="J106" s="117" t="str">
        <f>IF(COUNTIF(Detalhamento!A9:A329,A106)=0,"-",IF(COUNTIFS(Detalhamento!A9:A329,A106,Detalhamento!K9:K329,"Pendente")&gt;0,"Pendente",IF(COUNTIFS(Detalhamento!A9:A329,A106,Detalhamento!K9:K329,"OK")&gt;0,"OK","-")))</f>
        <v>-</v>
      </c>
      <c r="K106" s="117" t="str">
        <f>IF(COUNTIF(Detalhamento!A9:A329,A106)=0,"-",IF(COUNTIFS(Detalhamento!A9:A329,A106,Detalhamento!L9:L329,"Pendente")&gt;0,"Pendente",IF(COUNTIFS(Detalhamento!A9:A329,A106,Detalhamento!L9:L329,"OK")&gt;0,"OK","-")))</f>
        <v>-</v>
      </c>
      <c r="L106" s="117" t="str">
        <f>IF(COUNTIF(Detalhamento!A9:A329,A106)=0,"-",IF(COUNTIFS(Detalhamento!A9:A329,A106,Detalhamento!M9:M329,"Pendente")&gt;0,"Pendente",IF(COUNTIFS(Detalhamento!A9:A329,A106,Detalhamento!M9:M329,"OK")&gt;0,"OK","-")))</f>
        <v>-</v>
      </c>
      <c r="M106" s="117" t="str">
        <f>IF(COUNTIF(Detalhamento!A9:A329,A106)=0,"-",IF(COUNTIFS(Detalhamento!A9:A329,A106,Detalhamento!N9:N329,"Pendente")&gt;0,"Pendente",IF(COUNTIFS(Detalhamento!A9:A329,A106,Detalhamento!N9:N329,"OK")&gt;0,"OK","-")))</f>
        <v>-</v>
      </c>
      <c r="N106" s="118"/>
      <c r="O106" s="119" t="s">
        <v>230</v>
      </c>
      <c r="P106" s="15">
        <f>IF(A106="",0,COUNTIF(Detalhamento!A9:A329,A106))</f>
        <v>0</v>
      </c>
      <c r="Q106" s="15">
        <f>IF(A106="",0,COUNTIFS(Detalhamento!A9:A329,A106,Detalhamento!H9:H329,"Concluído"))</f>
        <v>0</v>
      </c>
      <c r="R106" s="120" t="str">
        <f t="shared" si="2"/>
        <v/>
      </c>
    </row>
    <row r="107" ht="109.5" customHeight="1">
      <c r="A107" s="111" t="s">
        <v>348</v>
      </c>
      <c r="B107" s="112" t="s">
        <v>307</v>
      </c>
      <c r="C107" s="113" t="s">
        <v>196</v>
      </c>
      <c r="D107" s="114">
        <v>46159.0</v>
      </c>
      <c r="E107" s="114">
        <v>46191.0</v>
      </c>
      <c r="F107" s="115" t="str">
        <f t="shared" si="1"/>
        <v>Atrasado</v>
      </c>
      <c r="G107" s="115"/>
      <c r="H107" s="116"/>
      <c r="I107" s="117" t="str">
        <f>IF(COUNTIF(Detalhamento!A9:A329,A107)=0,"-",IF(COUNTIFS(Detalhamento!A9:A329,A107,Detalhamento!J9:J329,"Pendente")&gt;0,"Pendente",IF(COUNTIFS(Detalhamento!A9:A329,A107,Detalhamento!J9:J329,"OK")&gt;0,"OK","-")))</f>
        <v>-</v>
      </c>
      <c r="J107" s="117" t="str">
        <f>IF(COUNTIF(Detalhamento!A9:A329,A107)=0,"-",IF(COUNTIFS(Detalhamento!A9:A329,A107,Detalhamento!K9:K329,"Pendente")&gt;0,"Pendente",IF(COUNTIFS(Detalhamento!A9:A329,A107,Detalhamento!K9:K329,"OK")&gt;0,"OK","-")))</f>
        <v>-</v>
      </c>
      <c r="K107" s="117" t="str">
        <f>IF(COUNTIF(Detalhamento!A9:A329,A107)=0,"-",IF(COUNTIFS(Detalhamento!A9:A329,A107,Detalhamento!L9:L329,"Pendente")&gt;0,"Pendente",IF(COUNTIFS(Detalhamento!A9:A329,A107,Detalhamento!L9:L329,"OK")&gt;0,"OK","-")))</f>
        <v>-</v>
      </c>
      <c r="L107" s="117" t="str">
        <f>IF(COUNTIF(Detalhamento!A9:A329,A107)=0,"-",IF(COUNTIFS(Detalhamento!A9:A329,A107,Detalhamento!M9:M329,"Pendente")&gt;0,"Pendente",IF(COUNTIFS(Detalhamento!A9:A329,A107,Detalhamento!M9:M329,"OK")&gt;0,"OK","-")))</f>
        <v>-</v>
      </c>
      <c r="M107" s="117" t="str">
        <f>IF(COUNTIF(Detalhamento!A9:A329,A107)=0,"-",IF(COUNTIFS(Detalhamento!A9:A329,A107,Detalhamento!N9:N329,"Pendente")&gt;0,"Pendente",IF(COUNTIFS(Detalhamento!A9:A329,A107,Detalhamento!N9:N329,"OK")&gt;0,"OK","-")))</f>
        <v>-</v>
      </c>
      <c r="N107" s="118"/>
      <c r="O107" s="119" t="s">
        <v>230</v>
      </c>
      <c r="P107" s="15">
        <f>IF(A107="",0,COUNTIF(Detalhamento!A9:A329,A107))</f>
        <v>0</v>
      </c>
      <c r="Q107" s="15">
        <f>IF(A107="",0,COUNTIFS(Detalhamento!A9:A329,A107,Detalhamento!H9:H329,"Concluído"))</f>
        <v>0</v>
      </c>
      <c r="R107" s="120" t="str">
        <f t="shared" si="2"/>
        <v/>
      </c>
    </row>
    <row r="108" ht="24.0" customHeight="1">
      <c r="A108" s="111" t="s">
        <v>349</v>
      </c>
      <c r="B108" s="112" t="s">
        <v>308</v>
      </c>
      <c r="C108" s="113" t="s">
        <v>196</v>
      </c>
      <c r="D108" s="114">
        <v>46138.0</v>
      </c>
      <c r="E108" s="114">
        <v>46184.0</v>
      </c>
      <c r="F108" s="115" t="str">
        <f t="shared" si="1"/>
        <v>Atrasado</v>
      </c>
      <c r="G108" s="115"/>
      <c r="H108" s="116"/>
      <c r="I108" s="117" t="str">
        <f>IF(COUNTIF(Detalhamento!A9:A329,A108)=0,"-",IF(COUNTIFS(Detalhamento!A9:A329,A108,Detalhamento!J9:J329,"Pendente")&gt;0,"Pendente",IF(COUNTIFS(Detalhamento!A9:A329,A108,Detalhamento!J9:J329,"OK")&gt;0,"OK","-")))</f>
        <v>-</v>
      </c>
      <c r="J108" s="117" t="str">
        <f>IF(COUNTIF(Detalhamento!A9:A329,A108)=0,"-",IF(COUNTIFS(Detalhamento!A9:A329,A108,Detalhamento!K9:K329,"Pendente")&gt;0,"Pendente",IF(COUNTIFS(Detalhamento!A9:A329,A108,Detalhamento!K9:K329,"OK")&gt;0,"OK","-")))</f>
        <v>-</v>
      </c>
      <c r="K108" s="117" t="str">
        <f>IF(COUNTIF(Detalhamento!A9:A329,A108)=0,"-",IF(COUNTIFS(Detalhamento!A9:A329,A108,Detalhamento!L9:L329,"Pendente")&gt;0,"Pendente",IF(COUNTIFS(Detalhamento!A9:A329,A108,Detalhamento!L9:L329,"OK")&gt;0,"OK","-")))</f>
        <v>-</v>
      </c>
      <c r="L108" s="117" t="str">
        <f>IF(COUNTIF(Detalhamento!A9:A329,A108)=0,"-",IF(COUNTIFS(Detalhamento!A9:A329,A108,Detalhamento!M9:M329,"Pendente")&gt;0,"Pendente",IF(COUNTIFS(Detalhamento!A9:A329,A108,Detalhamento!M9:M329,"OK")&gt;0,"OK","-")))</f>
        <v>-</v>
      </c>
      <c r="M108" s="117" t="str">
        <f>IF(COUNTIF(Detalhamento!A9:A329,A108)=0,"-",IF(COUNTIFS(Detalhamento!A9:A329,A108,Detalhamento!N9:N329,"Pendente")&gt;0,"Pendente",IF(COUNTIFS(Detalhamento!A9:A329,A108,Detalhamento!N9:N329,"OK")&gt;0,"OK","-")))</f>
        <v>-</v>
      </c>
      <c r="N108" s="118"/>
      <c r="O108" s="119" t="s">
        <v>230</v>
      </c>
      <c r="P108" s="15">
        <f>IF(A108="",0,COUNTIF(Detalhamento!A9:A329,A108))</f>
        <v>0</v>
      </c>
      <c r="Q108" s="15">
        <f>IF(A108="",0,COUNTIFS(Detalhamento!A9:A329,A108,Detalhamento!H9:H329,"Concluído"))</f>
        <v>0</v>
      </c>
      <c r="R108" s="120" t="str">
        <f t="shared" si="2"/>
        <v/>
      </c>
    </row>
    <row r="109">
      <c r="A109" s="111" t="s">
        <v>350</v>
      </c>
      <c r="B109" s="112" t="s">
        <v>309</v>
      </c>
      <c r="C109" s="113" t="s">
        <v>196</v>
      </c>
      <c r="D109" s="114">
        <v>46138.0</v>
      </c>
      <c r="E109" s="114">
        <v>46184.0</v>
      </c>
      <c r="F109" s="115" t="str">
        <f t="shared" si="1"/>
        <v>Atrasado</v>
      </c>
      <c r="G109" s="115"/>
      <c r="H109" s="116"/>
      <c r="I109" s="117" t="str">
        <f>IF(COUNTIF(Detalhamento!A9:A329,A109)=0,"-",IF(COUNTIFS(Detalhamento!A9:A329,A109,Detalhamento!J9:J329,"Pendente")&gt;0,"Pendente",IF(COUNTIFS(Detalhamento!A9:A329,A109,Detalhamento!J9:J329,"OK")&gt;0,"OK","-")))</f>
        <v>-</v>
      </c>
      <c r="J109" s="117" t="str">
        <f>IF(COUNTIF(Detalhamento!A9:A329,A109)=0,"-",IF(COUNTIFS(Detalhamento!A9:A329,A109,Detalhamento!K9:K329,"Pendente")&gt;0,"Pendente",IF(COUNTIFS(Detalhamento!A9:A329,A109,Detalhamento!K9:K329,"OK")&gt;0,"OK","-")))</f>
        <v>-</v>
      </c>
      <c r="K109" s="117" t="str">
        <f>IF(COUNTIF(Detalhamento!A9:A329,A109)=0,"-",IF(COUNTIFS(Detalhamento!A9:A329,A109,Detalhamento!L9:L329,"Pendente")&gt;0,"Pendente",IF(COUNTIFS(Detalhamento!A9:A329,A109,Detalhamento!L9:L329,"OK")&gt;0,"OK","-")))</f>
        <v>-</v>
      </c>
      <c r="L109" s="117" t="str">
        <f>IF(COUNTIF(Detalhamento!A9:A329,A109)=0,"-",IF(COUNTIFS(Detalhamento!A9:A329,A109,Detalhamento!M9:M329,"Pendente")&gt;0,"Pendente",IF(COUNTIFS(Detalhamento!A9:A329,A109,Detalhamento!M9:M329,"OK")&gt;0,"OK","-")))</f>
        <v>-</v>
      </c>
      <c r="M109" s="117" t="str">
        <f>IF(COUNTIF(Detalhamento!A9:A329,A109)=0,"-",IF(COUNTIFS(Detalhamento!A9:A329,A109,Detalhamento!N9:N329,"Pendente")&gt;0,"Pendente",IF(COUNTIFS(Detalhamento!A9:A329,A109,Detalhamento!N9:N329,"OK")&gt;0,"OK","-")))</f>
        <v>-</v>
      </c>
      <c r="N109" s="118"/>
      <c r="O109" s="119" t="s">
        <v>230</v>
      </c>
      <c r="P109" s="15">
        <f>IF(A109="",0,COUNTIF(Detalhamento!A9:A329,A109))</f>
        <v>0</v>
      </c>
      <c r="Q109" s="15">
        <f>IF(A109="",0,COUNTIFS(Detalhamento!A9:A329,A109,Detalhamento!H9:H329,"Concluído"))</f>
        <v>0</v>
      </c>
      <c r="R109" s="120" t="str">
        <f t="shared" si="2"/>
        <v/>
      </c>
    </row>
    <row r="110" ht="28.5" customHeight="1">
      <c r="A110" s="111" t="s">
        <v>351</v>
      </c>
      <c r="B110" s="112" t="s">
        <v>310</v>
      </c>
      <c r="C110" s="113" t="s">
        <v>196</v>
      </c>
      <c r="D110" s="114">
        <v>46180.0</v>
      </c>
      <c r="E110" s="114">
        <v>46247.0</v>
      </c>
      <c r="F110" s="115" t="str">
        <f t="shared" si="1"/>
        <v>Em andamento</v>
      </c>
      <c r="G110" s="115"/>
      <c r="H110" s="116"/>
      <c r="I110" s="117" t="str">
        <f>IF(COUNTIF(Detalhamento!A9:A329,A110)=0,"-",IF(COUNTIFS(Detalhamento!A9:A329,A110,Detalhamento!J9:J329,"Pendente")&gt;0,"Pendente",IF(COUNTIFS(Detalhamento!A9:A329,A110,Detalhamento!J9:J329,"OK")&gt;0,"OK","-")))</f>
        <v>-</v>
      </c>
      <c r="J110" s="117" t="str">
        <f>IF(COUNTIF(Detalhamento!A9:A329,A110)=0,"-",IF(COUNTIFS(Detalhamento!A9:A329,A110,Detalhamento!K9:K329,"Pendente")&gt;0,"Pendente",IF(COUNTIFS(Detalhamento!A9:A329,A110,Detalhamento!K9:K329,"OK")&gt;0,"OK","-")))</f>
        <v>-</v>
      </c>
      <c r="K110" s="117" t="str">
        <f>IF(COUNTIF(Detalhamento!A9:A329,A110)=0,"-",IF(COUNTIFS(Detalhamento!A9:A329,A110,Detalhamento!L9:L329,"Pendente")&gt;0,"Pendente",IF(COUNTIFS(Detalhamento!A9:A329,A110,Detalhamento!L9:L329,"OK")&gt;0,"OK","-")))</f>
        <v>-</v>
      </c>
      <c r="L110" s="117" t="str">
        <f>IF(COUNTIF(Detalhamento!A9:A329,A110)=0,"-",IF(COUNTIFS(Detalhamento!A9:A329,A110,Detalhamento!M9:M329,"Pendente")&gt;0,"Pendente",IF(COUNTIFS(Detalhamento!A9:A329,A110,Detalhamento!M9:M329,"OK")&gt;0,"OK","-")))</f>
        <v>-</v>
      </c>
      <c r="M110" s="117" t="str">
        <f>IF(COUNTIF(Detalhamento!A9:A329,A110)=0,"-",IF(COUNTIFS(Detalhamento!A9:A329,A110,Detalhamento!N9:N329,"Pendente")&gt;0,"Pendente",IF(COUNTIFS(Detalhamento!A9:A329,A110,Detalhamento!N9:N329,"OK")&gt;0,"OK","-")))</f>
        <v>-</v>
      </c>
      <c r="N110" s="118"/>
      <c r="O110" s="119" t="s">
        <v>230</v>
      </c>
      <c r="P110" s="15">
        <f>IF(A110="",0,COUNTIF(Detalhamento!A9:A329,A110))</f>
        <v>0</v>
      </c>
      <c r="Q110" s="15">
        <f>IF(A110="",0,COUNTIFS(Detalhamento!A9:A329,A110,Detalhamento!H9:H329,"Concluído"))</f>
        <v>0</v>
      </c>
      <c r="R110" s="120" t="str">
        <f t="shared" si="2"/>
        <v/>
      </c>
    </row>
    <row r="111" ht="41.25" customHeight="1">
      <c r="A111" s="111" t="s">
        <v>146</v>
      </c>
      <c r="B111" s="112" t="s">
        <v>352</v>
      </c>
      <c r="C111" s="113" t="s">
        <v>196</v>
      </c>
      <c r="D111" s="114">
        <v>46180.0</v>
      </c>
      <c r="E111" s="114">
        <v>46247.0</v>
      </c>
      <c r="F111" s="115" t="str">
        <f t="shared" si="1"/>
        <v>Em andamento</v>
      </c>
      <c r="G111" s="115"/>
      <c r="H111" s="116"/>
      <c r="I111" s="117" t="str">
        <f>IF(COUNTIF(Detalhamento!A9:A329,A111)=0,"-",IF(COUNTIFS(Detalhamento!A9:A329,A111,Detalhamento!J9:J329,"Pendente")&gt;0,"Pendente",IF(COUNTIFS(Detalhamento!A9:A329,A111,Detalhamento!J9:J329,"OK")&gt;0,"OK","-")))</f>
        <v>-</v>
      </c>
      <c r="J111" s="117" t="str">
        <f>IF(COUNTIF(Detalhamento!A9:A329,A111)=0,"-",IF(COUNTIFS(Detalhamento!A9:A329,A111,Detalhamento!K9:K329,"Pendente")&gt;0,"Pendente",IF(COUNTIFS(Detalhamento!A9:A329,A111,Detalhamento!K9:K329,"OK")&gt;0,"OK","-")))</f>
        <v>-</v>
      </c>
      <c r="K111" s="117" t="str">
        <f>IF(COUNTIF(Detalhamento!A9:A329,A111)=0,"-",IF(COUNTIFS(Detalhamento!A9:A329,A111,Detalhamento!L9:L329,"Pendente")&gt;0,"Pendente",IF(COUNTIFS(Detalhamento!A9:A329,A111,Detalhamento!L9:L329,"OK")&gt;0,"OK","-")))</f>
        <v>-</v>
      </c>
      <c r="L111" s="117" t="str">
        <f>IF(COUNTIF(Detalhamento!A9:A329,A111)=0,"-",IF(COUNTIFS(Detalhamento!A9:A329,A111,Detalhamento!M9:M329,"Pendente")&gt;0,"Pendente",IF(COUNTIFS(Detalhamento!A9:A329,A111,Detalhamento!M9:M329,"OK")&gt;0,"OK","-")))</f>
        <v>-</v>
      </c>
      <c r="M111" s="117" t="str">
        <f>IF(COUNTIF(Detalhamento!A9:A329,A111)=0,"-",IF(COUNTIFS(Detalhamento!A9:A329,A111,Detalhamento!N9:N329,"Pendente")&gt;0,"Pendente",IF(COUNTIFS(Detalhamento!A9:A329,A111,Detalhamento!N9:N329,"OK")&gt;0,"OK","-")))</f>
        <v>-</v>
      </c>
      <c r="N111" s="118"/>
      <c r="O111" s="119" t="s">
        <v>230</v>
      </c>
      <c r="P111" s="15">
        <f>IF(A111="",0,COUNTIF(Detalhamento!A9:A329,A111))</f>
        <v>0</v>
      </c>
      <c r="Q111" s="15">
        <f>IF(A111="",0,COUNTIFS(Detalhamento!A9:A329,A111,Detalhamento!H9:H329,"Concluído"))</f>
        <v>0</v>
      </c>
      <c r="R111" s="120" t="str">
        <f t="shared" si="2"/>
        <v/>
      </c>
    </row>
    <row r="112" ht="28.5" customHeight="1">
      <c r="A112" s="111" t="s">
        <v>147</v>
      </c>
      <c r="B112" s="112" t="s">
        <v>312</v>
      </c>
      <c r="C112" s="113" t="s">
        <v>196</v>
      </c>
      <c r="D112" s="114">
        <v>46180.0</v>
      </c>
      <c r="E112" s="114">
        <v>46247.0</v>
      </c>
      <c r="F112" s="115" t="str">
        <f t="shared" si="1"/>
        <v>Em andamento</v>
      </c>
      <c r="G112" s="115"/>
      <c r="H112" s="116"/>
      <c r="I112" s="117" t="str">
        <f>IF(COUNTIF(Detalhamento!A9:A329,A112)=0,"-",IF(COUNTIFS(Detalhamento!A9:A329,A112,Detalhamento!J9:J329,"Pendente")&gt;0,"Pendente",IF(COUNTIFS(Detalhamento!A9:A329,A112,Detalhamento!J9:J329,"OK")&gt;0,"OK","-")))</f>
        <v>-</v>
      </c>
      <c r="J112" s="117" t="str">
        <f>IF(COUNTIF(Detalhamento!A9:A329,A112)=0,"-",IF(COUNTIFS(Detalhamento!A9:A329,A112,Detalhamento!K9:K329,"Pendente")&gt;0,"Pendente",IF(COUNTIFS(Detalhamento!A9:A329,A112,Detalhamento!K9:K329,"OK")&gt;0,"OK","-")))</f>
        <v>-</v>
      </c>
      <c r="K112" s="117" t="str">
        <f>IF(COUNTIF(Detalhamento!A9:A329,A112)=0,"-",IF(COUNTIFS(Detalhamento!A9:A329,A112,Detalhamento!L9:L329,"Pendente")&gt;0,"Pendente",IF(COUNTIFS(Detalhamento!A9:A329,A112,Detalhamento!L9:L329,"OK")&gt;0,"OK","-")))</f>
        <v>-</v>
      </c>
      <c r="L112" s="117" t="str">
        <f>IF(COUNTIF(Detalhamento!A9:A329,A112)=0,"-",IF(COUNTIFS(Detalhamento!A9:A329,A112,Detalhamento!M9:M329,"Pendente")&gt;0,"Pendente",IF(COUNTIFS(Detalhamento!A9:A329,A112,Detalhamento!M9:M329,"OK")&gt;0,"OK","-")))</f>
        <v>-</v>
      </c>
      <c r="M112" s="117" t="str">
        <f>IF(COUNTIF(Detalhamento!A9:A329,A112)=0,"-",IF(COUNTIFS(Detalhamento!A9:A329,A112,Detalhamento!N9:N329,"Pendente")&gt;0,"Pendente",IF(COUNTIFS(Detalhamento!A9:A329,A112,Detalhamento!N9:N329,"OK")&gt;0,"OK","-")))</f>
        <v>-</v>
      </c>
      <c r="N112" s="118"/>
      <c r="O112" s="119" t="s">
        <v>230</v>
      </c>
      <c r="P112" s="15">
        <f>IF(A112="",0,COUNTIF(Detalhamento!A9:A329,A112))</f>
        <v>0</v>
      </c>
      <c r="Q112" s="15">
        <f>IF(A112="",0,COUNTIFS(Detalhamento!A9:A329,A112,Detalhamento!H9:H329,"Concluído"))</f>
        <v>0</v>
      </c>
      <c r="R112" s="120" t="str">
        <f t="shared" si="2"/>
        <v/>
      </c>
    </row>
    <row r="113" ht="19.5" customHeight="1">
      <c r="A113" s="111" t="s">
        <v>148</v>
      </c>
      <c r="B113" s="112" t="s">
        <v>313</v>
      </c>
      <c r="C113" s="113" t="s">
        <v>196</v>
      </c>
      <c r="D113" s="114">
        <v>46180.0</v>
      </c>
      <c r="E113" s="114">
        <v>46247.0</v>
      </c>
      <c r="F113" s="115" t="str">
        <f t="shared" si="1"/>
        <v>Em andamento</v>
      </c>
      <c r="G113" s="115"/>
      <c r="H113" s="116"/>
      <c r="I113" s="117" t="str">
        <f>IF(COUNTIF(Detalhamento!A9:A329,A113)=0,"-",IF(COUNTIFS(Detalhamento!A9:A329,A113,Detalhamento!J9:J329,"Pendente")&gt;0,"Pendente",IF(COUNTIFS(Detalhamento!A9:A329,A113,Detalhamento!J9:J329,"OK")&gt;0,"OK","-")))</f>
        <v>-</v>
      </c>
      <c r="J113" s="117" t="str">
        <f>IF(COUNTIF(Detalhamento!A9:A329,A113)=0,"-",IF(COUNTIFS(Detalhamento!A9:A329,A113,Detalhamento!K9:K329,"Pendente")&gt;0,"Pendente",IF(COUNTIFS(Detalhamento!A9:A329,A113,Detalhamento!K9:K329,"OK")&gt;0,"OK","-")))</f>
        <v>-</v>
      </c>
      <c r="K113" s="117" t="str">
        <f>IF(COUNTIF(Detalhamento!A9:A329,A113)=0,"-",IF(COUNTIFS(Detalhamento!A9:A329,A113,Detalhamento!L9:L329,"Pendente")&gt;0,"Pendente",IF(COUNTIFS(Detalhamento!A9:A329,A113,Detalhamento!L9:L329,"OK")&gt;0,"OK","-")))</f>
        <v>-</v>
      </c>
      <c r="L113" s="117" t="str">
        <f>IF(COUNTIF(Detalhamento!A9:A329,A113)=0,"-",IF(COUNTIFS(Detalhamento!A9:A329,A113,Detalhamento!M9:M329,"Pendente")&gt;0,"Pendente",IF(COUNTIFS(Detalhamento!A9:A329,A113,Detalhamento!M9:M329,"OK")&gt;0,"OK","-")))</f>
        <v>-</v>
      </c>
      <c r="M113" s="117" t="str">
        <f>IF(COUNTIF(Detalhamento!A9:A329,A113)=0,"-",IF(COUNTIFS(Detalhamento!A9:A329,A113,Detalhamento!N9:N329,"Pendente")&gt;0,"Pendente",IF(COUNTIFS(Detalhamento!A9:A329,A113,Detalhamento!N9:N329,"OK")&gt;0,"OK","-")))</f>
        <v>-</v>
      </c>
      <c r="N113" s="118"/>
      <c r="O113" s="119" t="s">
        <v>230</v>
      </c>
      <c r="P113" s="15">
        <f>IF(A113="",0,COUNTIF(Detalhamento!A9:A329,A113))</f>
        <v>0</v>
      </c>
      <c r="Q113" s="15">
        <f>IF(A113="",0,COUNTIFS(Detalhamento!A9:A329,A113,Detalhamento!H9:H329,"Concluído"))</f>
        <v>0</v>
      </c>
      <c r="R113" s="120" t="str">
        <f t="shared" si="2"/>
        <v/>
      </c>
    </row>
    <row r="114" ht="109.5" customHeight="1">
      <c r="A114" s="111" t="s">
        <v>149</v>
      </c>
      <c r="B114" s="112" t="s">
        <v>314</v>
      </c>
      <c r="C114" s="113" t="s">
        <v>196</v>
      </c>
      <c r="D114" s="114">
        <v>46278.0</v>
      </c>
      <c r="E114" s="114">
        <v>46310.0</v>
      </c>
      <c r="F114" s="115" t="str">
        <f t="shared" si="1"/>
        <v>A iniciar</v>
      </c>
      <c r="G114" s="115"/>
      <c r="H114" s="116"/>
      <c r="I114" s="117" t="str">
        <f>IF(COUNTIF(Detalhamento!A9:A329,A114)=0,"-",IF(COUNTIFS(Detalhamento!A9:A329,A114,Detalhamento!J9:J329,"Pendente")&gt;0,"Pendente",IF(COUNTIFS(Detalhamento!A9:A329,A114,Detalhamento!J9:J329,"OK")&gt;0,"OK","-")))</f>
        <v>-</v>
      </c>
      <c r="J114" s="117" t="str">
        <f>IF(COUNTIF(Detalhamento!A9:A329,A114)=0,"-",IF(COUNTIFS(Detalhamento!A9:A329,A114,Detalhamento!K9:K329,"Pendente")&gt;0,"Pendente",IF(COUNTIFS(Detalhamento!A9:A329,A114,Detalhamento!K9:K329,"OK")&gt;0,"OK","-")))</f>
        <v>-</v>
      </c>
      <c r="K114" s="117" t="str">
        <f>IF(COUNTIF(Detalhamento!A9:A329,A114)=0,"-",IF(COUNTIFS(Detalhamento!A9:A329,A114,Detalhamento!L9:L329,"Pendente")&gt;0,"Pendente",IF(COUNTIFS(Detalhamento!A9:A329,A114,Detalhamento!L9:L329,"OK")&gt;0,"OK","-")))</f>
        <v>-</v>
      </c>
      <c r="L114" s="117" t="str">
        <f>IF(COUNTIF(Detalhamento!A9:A329,A114)=0,"-",IF(COUNTIFS(Detalhamento!A9:A329,A114,Detalhamento!M9:M329,"Pendente")&gt;0,"Pendente",IF(COUNTIFS(Detalhamento!A9:A329,A114,Detalhamento!M9:M329,"OK")&gt;0,"OK","-")))</f>
        <v>-</v>
      </c>
      <c r="M114" s="117" t="str">
        <f>IF(COUNTIF(Detalhamento!A9:A329,A114)=0,"-",IF(COUNTIFS(Detalhamento!A9:A329,A114,Detalhamento!N9:N329,"Pendente")&gt;0,"Pendente",IF(COUNTIFS(Detalhamento!A9:A329,A114,Detalhamento!N9:N329,"OK")&gt;0,"OK","-")))</f>
        <v>-</v>
      </c>
      <c r="N114" s="118"/>
      <c r="O114" s="119" t="s">
        <v>230</v>
      </c>
      <c r="P114" s="15">
        <f>IF(A114="",0,COUNTIF(Detalhamento!A9:A329,A114))</f>
        <v>0</v>
      </c>
      <c r="Q114" s="15">
        <f>IF(A114="",0,COUNTIFS(Detalhamento!A9:A329,A114,Detalhamento!H9:H329,"Concluído"))</f>
        <v>0</v>
      </c>
      <c r="R114" s="120" t="str">
        <f t="shared" si="2"/>
        <v/>
      </c>
    </row>
    <row r="115" ht="109.5" customHeight="1">
      <c r="A115" s="111" t="s">
        <v>150</v>
      </c>
      <c r="B115" s="112" t="s">
        <v>315</v>
      </c>
      <c r="C115" s="113" t="s">
        <v>196</v>
      </c>
      <c r="D115" s="114">
        <v>46278.0</v>
      </c>
      <c r="E115" s="114">
        <v>46310.0</v>
      </c>
      <c r="F115" s="115" t="str">
        <f t="shared" si="1"/>
        <v>A iniciar</v>
      </c>
      <c r="G115" s="115"/>
      <c r="H115" s="116"/>
      <c r="I115" s="117" t="str">
        <f>IF(COUNTIF(Detalhamento!A9:A329,A115)=0,"-",IF(COUNTIFS(Detalhamento!A9:A329,A115,Detalhamento!J9:J329,"Pendente")&gt;0,"Pendente",IF(COUNTIFS(Detalhamento!A9:A329,A115,Detalhamento!J9:J329,"OK")&gt;0,"OK","-")))</f>
        <v>-</v>
      </c>
      <c r="J115" s="117" t="str">
        <f>IF(COUNTIF(Detalhamento!A9:A329,A115)=0,"-",IF(COUNTIFS(Detalhamento!A9:A329,A115,Detalhamento!K9:K329,"Pendente")&gt;0,"Pendente",IF(COUNTIFS(Detalhamento!A9:A329,A115,Detalhamento!K9:K329,"OK")&gt;0,"OK","-")))</f>
        <v>-</v>
      </c>
      <c r="K115" s="117" t="str">
        <f>IF(COUNTIF(Detalhamento!A9:A329,A115)=0,"-",IF(COUNTIFS(Detalhamento!A9:A329,A115,Detalhamento!L9:L329,"Pendente")&gt;0,"Pendente",IF(COUNTIFS(Detalhamento!A9:A329,A115,Detalhamento!L9:L329,"OK")&gt;0,"OK","-")))</f>
        <v>-</v>
      </c>
      <c r="L115" s="117" t="str">
        <f>IF(COUNTIF(Detalhamento!A9:A329,A115)=0,"-",IF(COUNTIFS(Detalhamento!A9:A329,A115,Detalhamento!M9:M329,"Pendente")&gt;0,"Pendente",IF(COUNTIFS(Detalhamento!A9:A329,A115,Detalhamento!M9:M329,"OK")&gt;0,"OK","-")))</f>
        <v>-</v>
      </c>
      <c r="M115" s="117" t="str">
        <f>IF(COUNTIF(Detalhamento!A9:A329,A115)=0,"-",IF(COUNTIFS(Detalhamento!A9:A329,A115,Detalhamento!N9:N329,"Pendente")&gt;0,"Pendente",IF(COUNTIFS(Detalhamento!A9:A329,A115,Detalhamento!N9:N329,"OK")&gt;0,"OK","-")))</f>
        <v>-</v>
      </c>
      <c r="N115" s="118"/>
      <c r="O115" s="119" t="s">
        <v>230</v>
      </c>
      <c r="P115" s="15">
        <f>IF(A115="",0,COUNTIF(Detalhamento!A9:A329,A115))</f>
        <v>0</v>
      </c>
      <c r="Q115" s="15">
        <f>IF(A115="",0,COUNTIFS(Detalhamento!A9:A329,A115,Detalhamento!H9:H329,"Concluído"))</f>
        <v>0</v>
      </c>
      <c r="R115" s="120" t="str">
        <f t="shared" si="2"/>
        <v/>
      </c>
    </row>
    <row r="116" ht="109.5" customHeight="1">
      <c r="A116" s="111" t="s">
        <v>151</v>
      </c>
      <c r="B116" s="112" t="s">
        <v>316</v>
      </c>
      <c r="C116" s="113" t="s">
        <v>196</v>
      </c>
      <c r="D116" s="114">
        <v>46299.0</v>
      </c>
      <c r="E116" s="114">
        <v>46324.0</v>
      </c>
      <c r="F116" s="115" t="str">
        <f t="shared" si="1"/>
        <v>A iniciar</v>
      </c>
      <c r="G116" s="115"/>
      <c r="H116" s="116"/>
      <c r="I116" s="117" t="str">
        <f>IF(COUNTIF(Detalhamento!A9:A329,A116)=0,"-",IF(COUNTIFS(Detalhamento!A9:A329,A116,Detalhamento!J9:J329,"Pendente")&gt;0,"Pendente",IF(COUNTIFS(Detalhamento!A9:A329,A116,Detalhamento!J9:J329,"OK")&gt;0,"OK","-")))</f>
        <v>-</v>
      </c>
      <c r="J116" s="117" t="str">
        <f>IF(COUNTIF(Detalhamento!A9:A329,A116)=0,"-",IF(COUNTIFS(Detalhamento!A9:A329,A116,Detalhamento!K9:K329,"Pendente")&gt;0,"Pendente",IF(COUNTIFS(Detalhamento!A9:A329,A116,Detalhamento!K9:K329,"OK")&gt;0,"OK","-")))</f>
        <v>-</v>
      </c>
      <c r="K116" s="117" t="str">
        <f>IF(COUNTIF(Detalhamento!A9:A329,A116)=0,"-",IF(COUNTIFS(Detalhamento!A9:A329,A116,Detalhamento!L9:L329,"Pendente")&gt;0,"Pendente",IF(COUNTIFS(Detalhamento!A9:A329,A116,Detalhamento!L9:L329,"OK")&gt;0,"OK","-")))</f>
        <v>-</v>
      </c>
      <c r="L116" s="117" t="str">
        <f>IF(COUNTIF(Detalhamento!A9:A329,A116)=0,"-",IF(COUNTIFS(Detalhamento!A9:A329,A116,Detalhamento!M9:M329,"Pendente")&gt;0,"Pendente",IF(COUNTIFS(Detalhamento!A9:A329,A116,Detalhamento!M9:M329,"OK")&gt;0,"OK","-")))</f>
        <v>-</v>
      </c>
      <c r="M116" s="117" t="str">
        <f>IF(COUNTIF(Detalhamento!A9:A329,A116)=0,"-",IF(COUNTIFS(Detalhamento!A9:A329,A116,Detalhamento!N9:N329,"Pendente")&gt;0,"Pendente",IF(COUNTIFS(Detalhamento!A9:A329,A116,Detalhamento!N9:N329,"OK")&gt;0,"OK","-")))</f>
        <v>-</v>
      </c>
      <c r="N116" s="118"/>
      <c r="O116" s="119" t="s">
        <v>230</v>
      </c>
      <c r="P116" s="15">
        <f>IF(A116="",0,COUNTIF(Detalhamento!A9:A329,A116))</f>
        <v>0</v>
      </c>
      <c r="Q116" s="15">
        <f>IF(A116="",0,COUNTIFS(Detalhamento!A9:A329,A116,Detalhamento!H9:H329,"Concluído"))</f>
        <v>0</v>
      </c>
      <c r="R116" s="120" t="str">
        <f t="shared" si="2"/>
        <v/>
      </c>
    </row>
    <row r="117" ht="109.5" customHeight="1">
      <c r="A117" s="111" t="s">
        <v>152</v>
      </c>
      <c r="B117" s="112" t="s">
        <v>317</v>
      </c>
      <c r="C117" s="113" t="s">
        <v>196</v>
      </c>
      <c r="D117" s="114">
        <v>46299.0</v>
      </c>
      <c r="E117" s="114">
        <v>46324.0</v>
      </c>
      <c r="F117" s="115" t="str">
        <f t="shared" si="1"/>
        <v>A iniciar</v>
      </c>
      <c r="G117" s="115"/>
      <c r="H117" s="116"/>
      <c r="I117" s="117" t="str">
        <f>IF(COUNTIF(Detalhamento!A9:A329,A117)=0,"-",IF(COUNTIFS(Detalhamento!A9:A329,A117,Detalhamento!J9:J329,"Pendente")&gt;0,"Pendente",IF(COUNTIFS(Detalhamento!A9:A329,A117,Detalhamento!J9:J329,"OK")&gt;0,"OK","-")))</f>
        <v>-</v>
      </c>
      <c r="J117" s="117" t="str">
        <f>IF(COUNTIF(Detalhamento!A9:A329,A117)=0,"-",IF(COUNTIFS(Detalhamento!A9:A329,A117,Detalhamento!K9:K329,"Pendente")&gt;0,"Pendente",IF(COUNTIFS(Detalhamento!A9:A329,A117,Detalhamento!K9:K329,"OK")&gt;0,"OK","-")))</f>
        <v>-</v>
      </c>
      <c r="K117" s="117" t="str">
        <f>IF(COUNTIF(Detalhamento!A9:A329,A117)=0,"-",IF(COUNTIFS(Detalhamento!A9:A329,A117,Detalhamento!L9:L329,"Pendente")&gt;0,"Pendente",IF(COUNTIFS(Detalhamento!A9:A329,A117,Detalhamento!L9:L329,"OK")&gt;0,"OK","-")))</f>
        <v>-</v>
      </c>
      <c r="L117" s="117" t="str">
        <f>IF(COUNTIF(Detalhamento!A9:A329,A117)=0,"-",IF(COUNTIFS(Detalhamento!A9:A329,A117,Detalhamento!M9:M329,"Pendente")&gt;0,"Pendente",IF(COUNTIFS(Detalhamento!A9:A329,A117,Detalhamento!M9:M329,"OK")&gt;0,"OK","-")))</f>
        <v>-</v>
      </c>
      <c r="M117" s="117" t="str">
        <f>IF(COUNTIF(Detalhamento!A9:A329,A117)=0,"-",IF(COUNTIFS(Detalhamento!A9:A329,A117,Detalhamento!N9:N329,"Pendente")&gt;0,"Pendente",IF(COUNTIFS(Detalhamento!A9:A329,A117,Detalhamento!N9:N329,"OK")&gt;0,"OK","-")))</f>
        <v>-</v>
      </c>
      <c r="N117" s="118"/>
      <c r="O117" s="119" t="s">
        <v>230</v>
      </c>
      <c r="P117" s="15">
        <f>IF(A117="",0,COUNTIF(Detalhamento!A9:A329,A117))</f>
        <v>0</v>
      </c>
      <c r="Q117" s="15">
        <f>IF(A117="",0,COUNTIFS(Detalhamento!A9:A329,A117,Detalhamento!H9:H329,"Concluído"))</f>
        <v>0</v>
      </c>
      <c r="R117" s="120" t="str">
        <f t="shared" si="2"/>
        <v/>
      </c>
    </row>
    <row r="118" ht="19.5" customHeight="1">
      <c r="A118" s="111" t="s">
        <v>153</v>
      </c>
      <c r="B118" s="112" t="s">
        <v>318</v>
      </c>
      <c r="C118" s="113" t="s">
        <v>196</v>
      </c>
      <c r="D118" s="114">
        <v>46250.0</v>
      </c>
      <c r="E118" s="114">
        <v>46275.0</v>
      </c>
      <c r="F118" s="115" t="str">
        <f t="shared" si="1"/>
        <v>A iniciar</v>
      </c>
      <c r="G118" s="115"/>
      <c r="H118" s="116"/>
      <c r="I118" s="117" t="str">
        <f>IF(COUNTIF(Detalhamento!A9:A329,A118)=0,"-",IF(COUNTIFS(Detalhamento!A9:A329,A118,Detalhamento!J9:J329,"Pendente")&gt;0,"Pendente",IF(COUNTIFS(Detalhamento!A9:A329,A118,Detalhamento!J9:J329,"OK")&gt;0,"OK","-")))</f>
        <v>-</v>
      </c>
      <c r="J118" s="117" t="str">
        <f>IF(COUNTIF(Detalhamento!A9:A329,A118)=0,"-",IF(COUNTIFS(Detalhamento!A9:A329,A118,Detalhamento!K9:K329,"Pendente")&gt;0,"Pendente",IF(COUNTIFS(Detalhamento!A9:A329,A118,Detalhamento!K9:K329,"OK")&gt;0,"OK","-")))</f>
        <v>-</v>
      </c>
      <c r="K118" s="117" t="str">
        <f>IF(COUNTIF(Detalhamento!A9:A329,A118)=0,"-",IF(COUNTIFS(Detalhamento!A9:A329,A118,Detalhamento!L9:L329,"Pendente")&gt;0,"Pendente",IF(COUNTIFS(Detalhamento!A9:A329,A118,Detalhamento!L9:L329,"OK")&gt;0,"OK","-")))</f>
        <v>-</v>
      </c>
      <c r="L118" s="117" t="str">
        <f>IF(COUNTIF(Detalhamento!A9:A329,A118)=0,"-",IF(COUNTIFS(Detalhamento!A9:A329,A118,Detalhamento!M9:M329,"Pendente")&gt;0,"Pendente",IF(COUNTIFS(Detalhamento!A9:A329,A118,Detalhamento!M9:M329,"OK")&gt;0,"OK","-")))</f>
        <v>-</v>
      </c>
      <c r="M118" s="117" t="str">
        <f>IF(COUNTIF(Detalhamento!A9:A329,A118)=0,"-",IF(COUNTIFS(Detalhamento!A9:A329,A118,Detalhamento!N9:N329,"Pendente")&gt;0,"Pendente",IF(COUNTIFS(Detalhamento!A9:A329,A118,Detalhamento!N9:N329,"OK")&gt;0,"OK","-")))</f>
        <v>-</v>
      </c>
      <c r="N118" s="118"/>
      <c r="O118" s="119" t="s">
        <v>230</v>
      </c>
      <c r="P118" s="15">
        <f>IF(A118="",0,COUNTIF(Detalhamento!A9:A329,A118))</f>
        <v>0</v>
      </c>
      <c r="Q118" s="15">
        <f>IF(A118="",0,COUNTIFS(Detalhamento!A9:A329,A118,Detalhamento!H9:H329,"Concluído"))</f>
        <v>0</v>
      </c>
      <c r="R118" s="120" t="str">
        <f t="shared" si="2"/>
        <v/>
      </c>
    </row>
    <row r="119" ht="28.5" customHeight="1">
      <c r="A119" s="111" t="s">
        <v>154</v>
      </c>
      <c r="B119" s="112" t="s">
        <v>319</v>
      </c>
      <c r="C119" s="113" t="s">
        <v>196</v>
      </c>
      <c r="D119" s="114">
        <v>46250.0</v>
      </c>
      <c r="E119" s="114">
        <v>46275.0</v>
      </c>
      <c r="F119" s="115" t="str">
        <f t="shared" si="1"/>
        <v>A iniciar</v>
      </c>
      <c r="G119" s="115"/>
      <c r="H119" s="116"/>
      <c r="I119" s="117" t="str">
        <f>IF(COUNTIF(Detalhamento!A9:A329,A119)=0,"-",IF(COUNTIFS(Detalhamento!A9:A329,A119,Detalhamento!J9:J329,"Pendente")&gt;0,"Pendente",IF(COUNTIFS(Detalhamento!A9:A329,A119,Detalhamento!J9:J329,"OK")&gt;0,"OK","-")))</f>
        <v>-</v>
      </c>
      <c r="J119" s="117" t="str">
        <f>IF(COUNTIF(Detalhamento!A9:A329,A119)=0,"-",IF(COUNTIFS(Detalhamento!A9:A329,A119,Detalhamento!K9:K329,"Pendente")&gt;0,"Pendente",IF(COUNTIFS(Detalhamento!A9:A329,A119,Detalhamento!K9:K329,"OK")&gt;0,"OK","-")))</f>
        <v>-</v>
      </c>
      <c r="K119" s="117" t="str">
        <f>IF(COUNTIF(Detalhamento!A9:A329,A119)=0,"-",IF(COUNTIFS(Detalhamento!A9:A329,A119,Detalhamento!L9:L329,"Pendente")&gt;0,"Pendente",IF(COUNTIFS(Detalhamento!A9:A329,A119,Detalhamento!L9:L329,"OK")&gt;0,"OK","-")))</f>
        <v>-</v>
      </c>
      <c r="L119" s="117" t="str">
        <f>IF(COUNTIF(Detalhamento!A9:A329,A119)=0,"-",IF(COUNTIFS(Detalhamento!A9:A329,A119,Detalhamento!M9:M329,"Pendente")&gt;0,"Pendente",IF(COUNTIFS(Detalhamento!A9:A329,A119,Detalhamento!M9:M329,"OK")&gt;0,"OK","-")))</f>
        <v>-</v>
      </c>
      <c r="M119" s="117" t="str">
        <f>IF(COUNTIF(Detalhamento!A9:A329,A119)=0,"-",IF(COUNTIFS(Detalhamento!A9:A329,A119,Detalhamento!N9:N329,"Pendente")&gt;0,"Pendente",IF(COUNTIFS(Detalhamento!A9:A329,A119,Detalhamento!N9:N329,"OK")&gt;0,"OK","-")))</f>
        <v>-</v>
      </c>
      <c r="N119" s="118"/>
      <c r="O119" s="119" t="s">
        <v>230</v>
      </c>
      <c r="P119" s="15">
        <f>IF(A119="",0,COUNTIF(Detalhamento!A9:A329,A119))</f>
        <v>0</v>
      </c>
      <c r="Q119" s="15">
        <f>IF(A119="",0,COUNTIFS(Detalhamento!A9:A329,A119,Detalhamento!H9:H329,"Concluído"))</f>
        <v>0</v>
      </c>
      <c r="R119" s="120" t="str">
        <f t="shared" si="2"/>
        <v/>
      </c>
    </row>
    <row r="120" ht="109.5" customHeight="1">
      <c r="A120" s="111" t="s">
        <v>155</v>
      </c>
      <c r="B120" s="112" t="s">
        <v>322</v>
      </c>
      <c r="C120" s="113" t="s">
        <v>196</v>
      </c>
      <c r="D120" s="114">
        <v>46124.0</v>
      </c>
      <c r="E120" s="114">
        <v>46156.0</v>
      </c>
      <c r="F120" s="115" t="str">
        <f t="shared" si="1"/>
        <v>Atrasado</v>
      </c>
      <c r="G120" s="115"/>
      <c r="H120" s="116"/>
      <c r="I120" s="117" t="str">
        <f>IF(COUNTIF(Detalhamento!A9:A329,A120)=0,"-",IF(COUNTIFS(Detalhamento!A9:A329,A120,Detalhamento!J9:J329,"Pendente")&gt;0,"Pendente",IF(COUNTIFS(Detalhamento!A9:A329,A120,Detalhamento!J9:J329,"OK")&gt;0,"OK","-")))</f>
        <v>-</v>
      </c>
      <c r="J120" s="117" t="str">
        <f>IF(COUNTIF(Detalhamento!A9:A329,A120)=0,"-",IF(COUNTIFS(Detalhamento!A9:A329,A120,Detalhamento!K9:K329,"Pendente")&gt;0,"Pendente",IF(COUNTIFS(Detalhamento!A9:A329,A120,Detalhamento!K9:K329,"OK")&gt;0,"OK","-")))</f>
        <v>-</v>
      </c>
      <c r="K120" s="117" t="str">
        <f>IF(COUNTIF(Detalhamento!A9:A329,A120)=0,"-",IF(COUNTIFS(Detalhamento!A9:A329,A120,Detalhamento!L9:L329,"Pendente")&gt;0,"Pendente",IF(COUNTIFS(Detalhamento!A9:A329,A120,Detalhamento!L9:L329,"OK")&gt;0,"OK","-")))</f>
        <v>-</v>
      </c>
      <c r="L120" s="117" t="str">
        <f>IF(COUNTIF(Detalhamento!A9:A329,A120)=0,"-",IF(COUNTIFS(Detalhamento!A9:A329,A120,Detalhamento!M9:M329,"Pendente")&gt;0,"Pendente",IF(COUNTIFS(Detalhamento!A9:A329,A120,Detalhamento!M9:M329,"OK")&gt;0,"OK","-")))</f>
        <v>-</v>
      </c>
      <c r="M120" s="117" t="str">
        <f>IF(COUNTIF(Detalhamento!A9:A329,A120)=0,"-",IF(COUNTIFS(Detalhamento!A9:A329,A120,Detalhamento!N9:N329,"Pendente")&gt;0,"Pendente",IF(COUNTIFS(Detalhamento!A9:A329,A120,Detalhamento!N9:N329,"OK")&gt;0,"OK","-")))</f>
        <v>-</v>
      </c>
      <c r="N120" s="118"/>
      <c r="O120" s="119" t="s">
        <v>230</v>
      </c>
      <c r="P120" s="15">
        <f>IF(A120="",0,COUNTIF(Detalhamento!A9:A329,A120))</f>
        <v>0</v>
      </c>
      <c r="Q120" s="15">
        <f>IF(A120="",0,COUNTIFS(Detalhamento!A9:A329,A120,Detalhamento!H9:H329,"Concluído"))</f>
        <v>0</v>
      </c>
      <c r="R120" s="120" t="str">
        <f t="shared" si="2"/>
        <v/>
      </c>
    </row>
    <row r="121" ht="109.5" customHeight="1">
      <c r="A121" s="111" t="s">
        <v>156</v>
      </c>
      <c r="B121" s="112" t="s">
        <v>323</v>
      </c>
      <c r="C121" s="113" t="s">
        <v>196</v>
      </c>
      <c r="D121" s="114">
        <v>46159.0</v>
      </c>
      <c r="E121" s="114">
        <v>46170.0</v>
      </c>
      <c r="F121" s="115" t="str">
        <f t="shared" si="1"/>
        <v>Atrasado</v>
      </c>
      <c r="G121" s="115"/>
      <c r="H121" s="116"/>
      <c r="I121" s="117" t="str">
        <f>IF(COUNTIF(Detalhamento!A9:A329,A121)=0,"-",IF(COUNTIFS(Detalhamento!A9:A329,A121,Detalhamento!J9:J329,"Pendente")&gt;0,"Pendente",IF(COUNTIFS(Detalhamento!A9:A329,A121,Detalhamento!J9:J329,"OK")&gt;0,"OK","-")))</f>
        <v>-</v>
      </c>
      <c r="J121" s="117" t="str">
        <f>IF(COUNTIF(Detalhamento!A9:A329,A121)=0,"-",IF(COUNTIFS(Detalhamento!A9:A329,A121,Detalhamento!K9:K329,"Pendente")&gt;0,"Pendente",IF(COUNTIFS(Detalhamento!A9:A329,A121,Detalhamento!K9:K329,"OK")&gt;0,"OK","-")))</f>
        <v>-</v>
      </c>
      <c r="K121" s="117" t="str">
        <f>IF(COUNTIF(Detalhamento!A9:A329,A121)=0,"-",IF(COUNTIFS(Detalhamento!A9:A329,A121,Detalhamento!L9:L329,"Pendente")&gt;0,"Pendente",IF(COUNTIFS(Detalhamento!A9:A329,A121,Detalhamento!L9:L329,"OK")&gt;0,"OK","-")))</f>
        <v>-</v>
      </c>
      <c r="L121" s="117" t="str">
        <f>IF(COUNTIF(Detalhamento!A9:A329,A121)=0,"-",IF(COUNTIFS(Detalhamento!A9:A329,A121,Detalhamento!M9:M329,"Pendente")&gt;0,"Pendente",IF(COUNTIFS(Detalhamento!A9:A329,A121,Detalhamento!M9:M329,"OK")&gt;0,"OK","-")))</f>
        <v>-</v>
      </c>
      <c r="M121" s="117" t="str">
        <f>IF(COUNTIF(Detalhamento!A9:A329,A121)=0,"-",IF(COUNTIFS(Detalhamento!A9:A329,A121,Detalhamento!N9:N329,"Pendente")&gt;0,"Pendente",IF(COUNTIFS(Detalhamento!A9:A329,A121,Detalhamento!N9:N329,"OK")&gt;0,"OK","-")))</f>
        <v>-</v>
      </c>
      <c r="N121" s="118"/>
      <c r="O121" s="119" t="s">
        <v>230</v>
      </c>
      <c r="P121" s="15">
        <f>IF(A121="",0,COUNTIF(Detalhamento!A9:A329,A121))</f>
        <v>0</v>
      </c>
      <c r="Q121" s="15">
        <f>IF(A121="",0,COUNTIFS(Detalhamento!A9:A329,A121,Detalhamento!H9:H329,"Concluído"))</f>
        <v>0</v>
      </c>
      <c r="R121" s="120" t="str">
        <f t="shared" si="2"/>
        <v/>
      </c>
    </row>
    <row r="122" ht="19.5" customHeight="1">
      <c r="A122" s="111" t="s">
        <v>157</v>
      </c>
      <c r="B122" s="112" t="s">
        <v>324</v>
      </c>
      <c r="C122" s="113" t="s">
        <v>196</v>
      </c>
      <c r="D122" s="114">
        <v>46124.0</v>
      </c>
      <c r="E122" s="114">
        <v>46156.0</v>
      </c>
      <c r="F122" s="115" t="str">
        <f t="shared" si="1"/>
        <v>Atrasado</v>
      </c>
      <c r="G122" s="115"/>
      <c r="H122" s="116"/>
      <c r="I122" s="117" t="str">
        <f>IF(COUNTIF(Detalhamento!A9:A329,A122)=0,"-",IF(COUNTIFS(Detalhamento!A9:A329,A122,Detalhamento!J9:J329,"Pendente")&gt;0,"Pendente",IF(COUNTIFS(Detalhamento!A9:A329,A122,Detalhamento!J9:J329,"OK")&gt;0,"OK","-")))</f>
        <v>-</v>
      </c>
      <c r="J122" s="117" t="str">
        <f>IF(COUNTIF(Detalhamento!A9:A329,A122)=0,"-",IF(COUNTIFS(Detalhamento!A9:A329,A122,Detalhamento!K9:K329,"Pendente")&gt;0,"Pendente",IF(COUNTIFS(Detalhamento!A9:A329,A122,Detalhamento!K9:K329,"OK")&gt;0,"OK","-")))</f>
        <v>-</v>
      </c>
      <c r="K122" s="117" t="str">
        <f>IF(COUNTIF(Detalhamento!A9:A329,A122)=0,"-",IF(COUNTIFS(Detalhamento!A9:A329,A122,Detalhamento!L9:L329,"Pendente")&gt;0,"Pendente",IF(COUNTIFS(Detalhamento!A9:A329,A122,Detalhamento!L9:L329,"OK")&gt;0,"OK","-")))</f>
        <v>-</v>
      </c>
      <c r="L122" s="117" t="str">
        <f>IF(COUNTIF(Detalhamento!A9:A329,A122)=0,"-",IF(COUNTIFS(Detalhamento!A9:A329,A122,Detalhamento!M9:M329,"Pendente")&gt;0,"Pendente",IF(COUNTIFS(Detalhamento!A9:A329,A122,Detalhamento!M9:M329,"OK")&gt;0,"OK","-")))</f>
        <v>-</v>
      </c>
      <c r="M122" s="117" t="str">
        <f>IF(COUNTIF(Detalhamento!A9:A329,A122)=0,"-",IF(COUNTIFS(Detalhamento!A9:A329,A122,Detalhamento!N9:N329,"Pendente")&gt;0,"Pendente",IF(COUNTIFS(Detalhamento!A9:A329,A122,Detalhamento!N9:N329,"OK")&gt;0,"OK","-")))</f>
        <v>-</v>
      </c>
      <c r="N122" s="118"/>
      <c r="O122" s="119" t="s">
        <v>230</v>
      </c>
      <c r="P122" s="15">
        <f>IF(A122="",0,COUNTIF(Detalhamento!A9:A329,A122))</f>
        <v>0</v>
      </c>
      <c r="Q122" s="15">
        <f>IF(A122="",0,COUNTIFS(Detalhamento!A9:A329,A122,Detalhamento!H9:H329,"Concluído"))</f>
        <v>0</v>
      </c>
      <c r="R122" s="120" t="str">
        <f t="shared" si="2"/>
        <v/>
      </c>
    </row>
    <row r="123" ht="19.5" customHeight="1">
      <c r="A123" s="111" t="s">
        <v>158</v>
      </c>
      <c r="B123" s="112" t="s">
        <v>325</v>
      </c>
      <c r="C123" s="113" t="s">
        <v>196</v>
      </c>
      <c r="D123" s="114">
        <v>46124.0</v>
      </c>
      <c r="E123" s="114">
        <v>46156.0</v>
      </c>
      <c r="F123" s="115" t="str">
        <f t="shared" si="1"/>
        <v>Atrasado</v>
      </c>
      <c r="G123" s="115"/>
      <c r="H123" s="116"/>
      <c r="I123" s="117" t="str">
        <f>IF(COUNTIF(Detalhamento!A9:A329,A123)=0,"-",IF(COUNTIFS(Detalhamento!A9:A329,A123,Detalhamento!J9:J329,"Pendente")&gt;0,"Pendente",IF(COUNTIFS(Detalhamento!A9:A329,A123,Detalhamento!J9:J329,"OK")&gt;0,"OK","-")))</f>
        <v>-</v>
      </c>
      <c r="J123" s="117" t="str">
        <f>IF(COUNTIF(Detalhamento!A9:A329,A123)=0,"-",IF(COUNTIFS(Detalhamento!A9:A329,A123,Detalhamento!K9:K329,"Pendente")&gt;0,"Pendente",IF(COUNTIFS(Detalhamento!A9:A329,A123,Detalhamento!K9:K329,"OK")&gt;0,"OK","-")))</f>
        <v>-</v>
      </c>
      <c r="K123" s="117" t="str">
        <f>IF(COUNTIF(Detalhamento!A9:A329,A123)=0,"-",IF(COUNTIFS(Detalhamento!A9:A329,A123,Detalhamento!L9:L329,"Pendente")&gt;0,"Pendente",IF(COUNTIFS(Detalhamento!A9:A329,A123,Detalhamento!L9:L329,"OK")&gt;0,"OK","-")))</f>
        <v>-</v>
      </c>
      <c r="L123" s="117" t="str">
        <f>IF(COUNTIF(Detalhamento!A9:A329,A123)=0,"-",IF(COUNTIFS(Detalhamento!A9:A329,A123,Detalhamento!M9:M329,"Pendente")&gt;0,"Pendente",IF(COUNTIFS(Detalhamento!A9:A329,A123,Detalhamento!M9:M329,"OK")&gt;0,"OK","-")))</f>
        <v>-</v>
      </c>
      <c r="M123" s="117" t="str">
        <f>IF(COUNTIF(Detalhamento!A9:A329,A123)=0,"-",IF(COUNTIFS(Detalhamento!A9:A329,A123,Detalhamento!N9:N329,"Pendente")&gt;0,"Pendente",IF(COUNTIFS(Detalhamento!A9:A329,A123,Detalhamento!N9:N329,"OK")&gt;0,"OK","-")))</f>
        <v>-</v>
      </c>
      <c r="N123" s="118"/>
      <c r="O123" s="119" t="s">
        <v>230</v>
      </c>
      <c r="P123" s="15">
        <f>IF(A123="",0,COUNTIF(Detalhamento!A9:A329,A123))</f>
        <v>0</v>
      </c>
      <c r="Q123" s="15">
        <f>IF(A123="",0,COUNTIFS(Detalhamento!A9:A329,A123,Detalhamento!H9:H329,"Concluído"))</f>
        <v>0</v>
      </c>
      <c r="R123" s="120" t="str">
        <f t="shared" si="2"/>
        <v/>
      </c>
    </row>
    <row r="124" ht="19.5" customHeight="1">
      <c r="A124" s="111" t="s">
        <v>159</v>
      </c>
      <c r="B124" s="112" t="s">
        <v>326</v>
      </c>
      <c r="C124" s="113" t="s">
        <v>196</v>
      </c>
      <c r="D124" s="114">
        <v>46341.0</v>
      </c>
      <c r="E124" s="114">
        <v>46352.0</v>
      </c>
      <c r="F124" s="115" t="str">
        <f t="shared" si="1"/>
        <v>A iniciar</v>
      </c>
      <c r="G124" s="115"/>
      <c r="H124" s="116"/>
      <c r="I124" s="117" t="str">
        <f>IF(COUNTIF(Detalhamento!A9:A329,A124)=0,"-",IF(COUNTIFS(Detalhamento!A9:A329,A124,Detalhamento!J9:J329,"Pendente")&gt;0,"Pendente",IF(COUNTIFS(Detalhamento!A9:A329,A124,Detalhamento!J9:J329,"OK")&gt;0,"OK","-")))</f>
        <v>-</v>
      </c>
      <c r="J124" s="117" t="str">
        <f>IF(COUNTIF(Detalhamento!A9:A329,A124)=0,"-",IF(COUNTIFS(Detalhamento!A9:A329,A124,Detalhamento!K9:K329,"Pendente")&gt;0,"Pendente",IF(COUNTIFS(Detalhamento!A9:A329,A124,Detalhamento!K9:K329,"OK")&gt;0,"OK","-")))</f>
        <v>-</v>
      </c>
      <c r="K124" s="117" t="str">
        <f>IF(COUNTIF(Detalhamento!A9:A329,A124)=0,"-",IF(COUNTIFS(Detalhamento!A9:A329,A124,Detalhamento!L9:L329,"Pendente")&gt;0,"Pendente",IF(COUNTIFS(Detalhamento!A9:A329,A124,Detalhamento!L9:L329,"OK")&gt;0,"OK","-")))</f>
        <v>-</v>
      </c>
      <c r="L124" s="117" t="str">
        <f>IF(COUNTIF(Detalhamento!A9:A329,A124)=0,"-",IF(COUNTIFS(Detalhamento!A9:A329,A124,Detalhamento!M9:M329,"Pendente")&gt;0,"Pendente",IF(COUNTIFS(Detalhamento!A9:A329,A124,Detalhamento!M9:M329,"OK")&gt;0,"OK","-")))</f>
        <v>-</v>
      </c>
      <c r="M124" s="117" t="str">
        <f>IF(COUNTIF(Detalhamento!A9:A329,A124)=0,"-",IF(COUNTIFS(Detalhamento!A9:A329,A124,Detalhamento!N9:N329,"Pendente")&gt;0,"Pendente",IF(COUNTIFS(Detalhamento!A9:A329,A124,Detalhamento!N9:N329,"OK")&gt;0,"OK","-")))</f>
        <v>-</v>
      </c>
      <c r="N124" s="118"/>
      <c r="O124" s="119" t="s">
        <v>230</v>
      </c>
      <c r="P124" s="15">
        <f>IF(A124="",0,COUNTIF(Detalhamento!A9:A329,A124))</f>
        <v>0</v>
      </c>
      <c r="Q124" s="15">
        <f>IF(A124="",0,COUNTIFS(Detalhamento!A9:A329,A124,Detalhamento!H9:H329,"Concluído"))</f>
        <v>0</v>
      </c>
      <c r="R124" s="120" t="str">
        <f t="shared" si="2"/>
        <v/>
      </c>
    </row>
    <row r="125" ht="19.5" customHeight="1">
      <c r="A125" s="111" t="s">
        <v>160</v>
      </c>
      <c r="B125" s="112" t="s">
        <v>327</v>
      </c>
      <c r="C125" s="113" t="s">
        <v>196</v>
      </c>
      <c r="D125" s="114">
        <v>46341.0</v>
      </c>
      <c r="E125" s="114">
        <v>46352.0</v>
      </c>
      <c r="F125" s="115" t="str">
        <f t="shared" si="1"/>
        <v>A iniciar</v>
      </c>
      <c r="G125" s="115"/>
      <c r="H125" s="116"/>
      <c r="I125" s="117" t="str">
        <f>IF(COUNTIF(Detalhamento!A9:A329,A125)=0,"-",IF(COUNTIFS(Detalhamento!A9:A329,A125,Detalhamento!J9:J329,"Pendente")&gt;0,"Pendente",IF(COUNTIFS(Detalhamento!A9:A329,A125,Detalhamento!J9:J329,"OK")&gt;0,"OK","-")))</f>
        <v>-</v>
      </c>
      <c r="J125" s="117" t="str">
        <f>IF(COUNTIF(Detalhamento!A9:A329,A125)=0,"-",IF(COUNTIFS(Detalhamento!A9:A329,A125,Detalhamento!K9:K329,"Pendente")&gt;0,"Pendente",IF(COUNTIFS(Detalhamento!A9:A329,A125,Detalhamento!K9:K329,"OK")&gt;0,"OK","-")))</f>
        <v>-</v>
      </c>
      <c r="K125" s="117" t="str">
        <f>IF(COUNTIF(Detalhamento!A9:A329,A125)=0,"-",IF(COUNTIFS(Detalhamento!A9:A329,A125,Detalhamento!L9:L329,"Pendente")&gt;0,"Pendente",IF(COUNTIFS(Detalhamento!A9:A329,A125,Detalhamento!L9:L329,"OK")&gt;0,"OK","-")))</f>
        <v>-</v>
      </c>
      <c r="L125" s="117" t="str">
        <f>IF(COUNTIF(Detalhamento!A9:A329,A125)=0,"-",IF(COUNTIFS(Detalhamento!A9:A329,A125,Detalhamento!M9:M329,"Pendente")&gt;0,"Pendente",IF(COUNTIFS(Detalhamento!A9:A329,A125,Detalhamento!M9:M329,"OK")&gt;0,"OK","-")))</f>
        <v>-</v>
      </c>
      <c r="M125" s="117" t="str">
        <f>IF(COUNTIF(Detalhamento!A9:A329,A125)=0,"-",IF(COUNTIFS(Detalhamento!A9:A329,A125,Detalhamento!N9:N329,"Pendente")&gt;0,"Pendente",IF(COUNTIFS(Detalhamento!A9:A329,A125,Detalhamento!N9:N329,"OK")&gt;0,"OK","-")))</f>
        <v>-</v>
      </c>
      <c r="N125" s="118"/>
      <c r="O125" s="119" t="s">
        <v>230</v>
      </c>
      <c r="P125" s="15">
        <f>IF(A125="",0,COUNTIF(Detalhamento!A9:A329,A125))</f>
        <v>0</v>
      </c>
      <c r="Q125" s="15">
        <f>IF(A125="",0,COUNTIFS(Detalhamento!A9:A329,A125,Detalhamento!H9:H329,"Concluído"))</f>
        <v>0</v>
      </c>
      <c r="R125" s="120" t="str">
        <f t="shared" si="2"/>
        <v/>
      </c>
    </row>
    <row r="126" ht="28.5" customHeight="1">
      <c r="A126" s="111" t="s">
        <v>161</v>
      </c>
      <c r="B126" s="112" t="s">
        <v>328</v>
      </c>
      <c r="C126" s="113" t="s">
        <v>196</v>
      </c>
      <c r="D126" s="114">
        <v>46334.0</v>
      </c>
      <c r="E126" s="114">
        <v>46378.0</v>
      </c>
      <c r="F126" s="115" t="str">
        <f t="shared" si="1"/>
        <v>A iniciar</v>
      </c>
      <c r="G126" s="115"/>
      <c r="H126" s="116"/>
      <c r="I126" s="117" t="str">
        <f>IF(COUNTIF(Detalhamento!A9:A329,A126)=0,"-",IF(COUNTIFS(Detalhamento!A9:A329,A126,Detalhamento!J9:J329,"Pendente")&gt;0,"Pendente",IF(COUNTIFS(Detalhamento!A9:A329,A126,Detalhamento!J9:J329,"OK")&gt;0,"OK","-")))</f>
        <v>-</v>
      </c>
      <c r="J126" s="117" t="str">
        <f>IF(COUNTIF(Detalhamento!A9:A329,A126)=0,"-",IF(COUNTIFS(Detalhamento!A9:A329,A126,Detalhamento!K9:K329,"Pendente")&gt;0,"Pendente",IF(COUNTIFS(Detalhamento!A9:A329,A126,Detalhamento!K9:K329,"OK")&gt;0,"OK","-")))</f>
        <v>-</v>
      </c>
      <c r="K126" s="117" t="str">
        <f>IF(COUNTIF(Detalhamento!A9:A329,A126)=0,"-",IF(COUNTIFS(Detalhamento!A9:A329,A126,Detalhamento!L9:L329,"Pendente")&gt;0,"Pendente",IF(COUNTIFS(Detalhamento!A9:A329,A126,Detalhamento!L9:L329,"OK")&gt;0,"OK","-")))</f>
        <v>-</v>
      </c>
      <c r="L126" s="117" t="str">
        <f>IF(COUNTIF(Detalhamento!A9:A329,A126)=0,"-",IF(COUNTIFS(Detalhamento!A9:A329,A126,Detalhamento!M9:M329,"Pendente")&gt;0,"Pendente",IF(COUNTIFS(Detalhamento!A9:A329,A126,Detalhamento!M9:M329,"OK")&gt;0,"OK","-")))</f>
        <v>-</v>
      </c>
      <c r="M126" s="117" t="str">
        <f>IF(COUNTIF(Detalhamento!A9:A329,A126)=0,"-",IF(COUNTIFS(Detalhamento!A9:A329,A126,Detalhamento!N9:N329,"Pendente")&gt;0,"Pendente",IF(COUNTIFS(Detalhamento!A9:A329,A126,Detalhamento!N9:N329,"OK")&gt;0,"OK","-")))</f>
        <v>-</v>
      </c>
      <c r="N126" s="118"/>
      <c r="O126" s="119" t="s">
        <v>230</v>
      </c>
      <c r="P126" s="15">
        <f>IF(A126="",0,COUNTIF(Detalhamento!A9:A329,A126))</f>
        <v>0</v>
      </c>
      <c r="Q126" s="15">
        <f>IF(A126="",0,COUNTIFS(Detalhamento!A9:A329,A126,Detalhamento!H9:H329,"Concluído"))</f>
        <v>0</v>
      </c>
      <c r="R126" s="120" t="str">
        <f t="shared" si="2"/>
        <v/>
      </c>
    </row>
    <row r="127" ht="28.5" customHeight="1">
      <c r="A127" s="111" t="s">
        <v>162</v>
      </c>
      <c r="B127" s="112" t="s">
        <v>329</v>
      </c>
      <c r="C127" s="113" t="s">
        <v>196</v>
      </c>
      <c r="D127" s="114">
        <v>46292.0</v>
      </c>
      <c r="E127" s="114">
        <v>46331.0</v>
      </c>
      <c r="F127" s="115" t="str">
        <f t="shared" si="1"/>
        <v>A iniciar</v>
      </c>
      <c r="G127" s="115"/>
      <c r="H127" s="116"/>
      <c r="I127" s="117" t="str">
        <f>IF(COUNTIF(Detalhamento!A9:A329,A127)=0,"-",IF(COUNTIFS(Detalhamento!A9:A329,A127,Detalhamento!J9:J329,"Pendente")&gt;0,"Pendente",IF(COUNTIFS(Detalhamento!A9:A329,A127,Detalhamento!J9:J329,"OK")&gt;0,"OK","-")))</f>
        <v>-</v>
      </c>
      <c r="J127" s="117" t="str">
        <f>IF(COUNTIF(Detalhamento!A9:A329,A127)=0,"-",IF(COUNTIFS(Detalhamento!A9:A329,A127,Detalhamento!K9:K329,"Pendente")&gt;0,"Pendente",IF(COUNTIFS(Detalhamento!A9:A329,A127,Detalhamento!K9:K329,"OK")&gt;0,"OK","-")))</f>
        <v>-</v>
      </c>
      <c r="K127" s="117" t="str">
        <f>IF(COUNTIF(Detalhamento!A9:A329,A127)=0,"-",IF(COUNTIFS(Detalhamento!A9:A329,A127,Detalhamento!L9:L329,"Pendente")&gt;0,"Pendente",IF(COUNTIFS(Detalhamento!A9:A329,A127,Detalhamento!L9:L329,"OK")&gt;0,"OK","-")))</f>
        <v>-</v>
      </c>
      <c r="L127" s="117" t="str">
        <f>IF(COUNTIF(Detalhamento!A9:A329,A127)=0,"-",IF(COUNTIFS(Detalhamento!A9:A329,A127,Detalhamento!M9:M329,"Pendente")&gt;0,"Pendente",IF(COUNTIFS(Detalhamento!A9:A329,A127,Detalhamento!M9:M329,"OK")&gt;0,"OK","-")))</f>
        <v>-</v>
      </c>
      <c r="M127" s="117" t="str">
        <f>IF(COUNTIF(Detalhamento!A9:A329,A127)=0,"-",IF(COUNTIFS(Detalhamento!A9:A329,A127,Detalhamento!N9:N329,"Pendente")&gt;0,"Pendente",IF(COUNTIFS(Detalhamento!A9:A329,A127,Detalhamento!N9:N329,"OK")&gt;0,"OK","-")))</f>
        <v>-</v>
      </c>
      <c r="N127" s="118"/>
      <c r="O127" s="119" t="s">
        <v>230</v>
      </c>
      <c r="P127" s="15">
        <f>IF(A127="",0,COUNTIF(Detalhamento!A9:A329,A127))</f>
        <v>0</v>
      </c>
      <c r="Q127" s="15">
        <f>IF(A127="",0,COUNTIFS(Detalhamento!A9:A329,A127,Detalhamento!H9:H329,"Concluído"))</f>
        <v>0</v>
      </c>
      <c r="R127" s="120" t="str">
        <f t="shared" si="2"/>
        <v/>
      </c>
    </row>
    <row r="128" ht="19.5" customHeight="1">
      <c r="A128" s="111" t="s">
        <v>163</v>
      </c>
      <c r="B128" s="112" t="s">
        <v>330</v>
      </c>
      <c r="C128" s="113" t="s">
        <v>196</v>
      </c>
      <c r="D128" s="114">
        <v>46292.0</v>
      </c>
      <c r="E128" s="114">
        <v>46331.0</v>
      </c>
      <c r="F128" s="115" t="str">
        <f t="shared" si="1"/>
        <v>A iniciar</v>
      </c>
      <c r="G128" s="115"/>
      <c r="H128" s="116"/>
      <c r="I128" s="117" t="str">
        <f>IF(COUNTIF(Detalhamento!A9:A329,A128)=0,"-",IF(COUNTIFS(Detalhamento!A9:A329,A128,Detalhamento!J9:J329,"Pendente")&gt;0,"Pendente",IF(COUNTIFS(Detalhamento!A9:A329,A128,Detalhamento!J9:J329,"OK")&gt;0,"OK","-")))</f>
        <v>-</v>
      </c>
      <c r="J128" s="117" t="str">
        <f>IF(COUNTIF(Detalhamento!A9:A329,A128)=0,"-",IF(COUNTIFS(Detalhamento!A9:A329,A128,Detalhamento!K9:K329,"Pendente")&gt;0,"Pendente",IF(COUNTIFS(Detalhamento!A9:A329,A128,Detalhamento!K9:K329,"OK")&gt;0,"OK","-")))</f>
        <v>-</v>
      </c>
      <c r="K128" s="117" t="str">
        <f>IF(COUNTIF(Detalhamento!A9:A329,A128)=0,"-",IF(COUNTIFS(Detalhamento!A9:A329,A128,Detalhamento!L9:L329,"Pendente")&gt;0,"Pendente",IF(COUNTIFS(Detalhamento!A9:A329,A128,Detalhamento!L9:L329,"OK")&gt;0,"OK","-")))</f>
        <v>-</v>
      </c>
      <c r="L128" s="117" t="str">
        <f>IF(COUNTIF(Detalhamento!A9:A329,A128)=0,"-",IF(COUNTIFS(Detalhamento!A9:A329,A128,Detalhamento!M9:M329,"Pendente")&gt;0,"Pendente",IF(COUNTIFS(Detalhamento!A9:A329,A128,Detalhamento!M9:M329,"OK")&gt;0,"OK","-")))</f>
        <v>-</v>
      </c>
      <c r="M128" s="117" t="str">
        <f>IF(COUNTIF(Detalhamento!A9:A329,A128)=0,"-",IF(COUNTIFS(Detalhamento!A9:A329,A128,Detalhamento!N9:N329,"Pendente")&gt;0,"Pendente",IF(COUNTIFS(Detalhamento!A9:A329,A128,Detalhamento!N9:N329,"OK")&gt;0,"OK","-")))</f>
        <v>-</v>
      </c>
      <c r="N128" s="118"/>
      <c r="O128" s="119" t="s">
        <v>230</v>
      </c>
      <c r="P128" s="15">
        <f>IF(A128="",0,COUNTIF(Detalhamento!A9:A329,A128))</f>
        <v>0</v>
      </c>
      <c r="Q128" s="15">
        <f>IF(A128="",0,COUNTIFS(Detalhamento!A9:A329,A128,Detalhamento!H9:H329,"Concluído"))</f>
        <v>0</v>
      </c>
      <c r="R128" s="120" t="str">
        <f t="shared" si="2"/>
        <v/>
      </c>
    </row>
    <row r="129" ht="28.5" customHeight="1">
      <c r="A129" s="111" t="s">
        <v>164</v>
      </c>
      <c r="B129" s="112" t="s">
        <v>353</v>
      </c>
      <c r="C129" s="113" t="s">
        <v>196</v>
      </c>
      <c r="D129" s="114">
        <v>46313.0</v>
      </c>
      <c r="E129" s="114">
        <v>46338.0</v>
      </c>
      <c r="F129" s="115" t="str">
        <f t="shared" si="1"/>
        <v>A iniciar</v>
      </c>
      <c r="G129" s="115"/>
      <c r="H129" s="116"/>
      <c r="I129" s="117" t="str">
        <f>IF(COUNTIF(Detalhamento!A9:A329,A129)=0,"-",IF(COUNTIFS(Detalhamento!A9:A329,A129,Detalhamento!J9:J329,"Pendente")&gt;0,"Pendente",IF(COUNTIFS(Detalhamento!A9:A329,A129,Detalhamento!J9:J329,"OK")&gt;0,"OK","-")))</f>
        <v>-</v>
      </c>
      <c r="J129" s="117" t="str">
        <f>IF(COUNTIF(Detalhamento!A9:A329,A129)=0,"-",IF(COUNTIFS(Detalhamento!A9:A329,A129,Detalhamento!K9:K329,"Pendente")&gt;0,"Pendente",IF(COUNTIFS(Detalhamento!A9:A329,A129,Detalhamento!K9:K329,"OK")&gt;0,"OK","-")))</f>
        <v>-</v>
      </c>
      <c r="K129" s="117" t="str">
        <f>IF(COUNTIF(Detalhamento!A9:A329,A129)=0,"-",IF(COUNTIFS(Detalhamento!A9:A329,A129,Detalhamento!L9:L329,"Pendente")&gt;0,"Pendente",IF(COUNTIFS(Detalhamento!A9:A329,A129,Detalhamento!L9:L329,"OK")&gt;0,"OK","-")))</f>
        <v>-</v>
      </c>
      <c r="L129" s="117" t="str">
        <f>IF(COUNTIF(Detalhamento!A9:A329,A129)=0,"-",IF(COUNTIFS(Detalhamento!A9:A329,A129,Detalhamento!M9:M329,"Pendente")&gt;0,"Pendente",IF(COUNTIFS(Detalhamento!A9:A329,A129,Detalhamento!M9:M329,"OK")&gt;0,"OK","-")))</f>
        <v>-</v>
      </c>
      <c r="M129" s="117" t="str">
        <f>IF(COUNTIF(Detalhamento!A9:A329,A129)=0,"-",IF(COUNTIFS(Detalhamento!A9:A329,A129,Detalhamento!N9:N329,"Pendente")&gt;0,"Pendente",IF(COUNTIFS(Detalhamento!A9:A329,A129,Detalhamento!N9:N329,"OK")&gt;0,"OK","-")))</f>
        <v>-</v>
      </c>
      <c r="N129" s="118"/>
      <c r="O129" s="119" t="s">
        <v>230</v>
      </c>
      <c r="P129" s="15">
        <f>IF(A129="",0,COUNTIF(Detalhamento!A9:A329,A129))</f>
        <v>0</v>
      </c>
      <c r="Q129" s="15">
        <f>IF(A129="",0,COUNTIFS(Detalhamento!A9:A329,A129,Detalhamento!H9:H329,"Concluído"))</f>
        <v>0</v>
      </c>
      <c r="R129" s="120" t="str">
        <f t="shared" si="2"/>
        <v/>
      </c>
    </row>
    <row r="130" ht="109.5" customHeight="1">
      <c r="A130" s="111" t="s">
        <v>165</v>
      </c>
      <c r="B130" s="112" t="s">
        <v>333</v>
      </c>
      <c r="C130" s="113" t="s">
        <v>196</v>
      </c>
      <c r="D130" s="114">
        <v>46327.0</v>
      </c>
      <c r="E130" s="114">
        <v>46378.0</v>
      </c>
      <c r="F130" s="115" t="str">
        <f t="shared" si="1"/>
        <v>A iniciar</v>
      </c>
      <c r="G130" s="115"/>
      <c r="H130" s="116"/>
      <c r="I130" s="117" t="str">
        <f>IF(COUNTIF(Detalhamento!A9:A329,A130)=0,"-",IF(COUNTIFS(Detalhamento!A9:A329,A130,Detalhamento!J9:J329,"Pendente")&gt;0,"Pendente",IF(COUNTIFS(Detalhamento!A9:A329,A130,Detalhamento!J9:J329,"OK")&gt;0,"OK","-")))</f>
        <v>-</v>
      </c>
      <c r="J130" s="117" t="str">
        <f>IF(COUNTIF(Detalhamento!A9:A329,A130)=0,"-",IF(COUNTIFS(Detalhamento!A9:A329,A130,Detalhamento!K9:K329,"Pendente")&gt;0,"Pendente",IF(COUNTIFS(Detalhamento!A9:A329,A130,Detalhamento!K9:K329,"OK")&gt;0,"OK","-")))</f>
        <v>-</v>
      </c>
      <c r="K130" s="117" t="str">
        <f>IF(COUNTIF(Detalhamento!A9:A329,A130)=0,"-",IF(COUNTIFS(Detalhamento!A9:A329,A130,Detalhamento!L9:L329,"Pendente")&gt;0,"Pendente",IF(COUNTIFS(Detalhamento!A9:A329,A130,Detalhamento!L9:L329,"OK")&gt;0,"OK","-")))</f>
        <v>-</v>
      </c>
      <c r="L130" s="117" t="str">
        <f>IF(COUNTIF(Detalhamento!A9:A329,A130)=0,"-",IF(COUNTIFS(Detalhamento!A9:A329,A130,Detalhamento!M9:M329,"Pendente")&gt;0,"Pendente",IF(COUNTIFS(Detalhamento!A9:A329,A130,Detalhamento!M9:M329,"OK")&gt;0,"OK","-")))</f>
        <v>-</v>
      </c>
      <c r="M130" s="117" t="str">
        <f>IF(COUNTIF(Detalhamento!A9:A329,A130)=0,"-",IF(COUNTIFS(Detalhamento!A9:A329,A130,Detalhamento!N9:N329,"Pendente")&gt;0,"Pendente",IF(COUNTIFS(Detalhamento!A9:A329,A130,Detalhamento!N9:N329,"OK")&gt;0,"OK","-")))</f>
        <v>-</v>
      </c>
      <c r="N130" s="118"/>
      <c r="O130" s="119" t="s">
        <v>230</v>
      </c>
      <c r="P130" s="15">
        <f>IF(A130="",0,COUNTIF(Detalhamento!A9:A329,A130))</f>
        <v>0</v>
      </c>
      <c r="Q130" s="15">
        <f>IF(A130="",0,COUNTIFS(Detalhamento!A9:A329,A130,Detalhamento!H9:H329,"Concluído"))</f>
        <v>0</v>
      </c>
      <c r="R130" s="120" t="str">
        <f t="shared" si="2"/>
        <v/>
      </c>
    </row>
    <row r="131" ht="41.25" customHeight="1">
      <c r="A131" s="111" t="s">
        <v>166</v>
      </c>
      <c r="B131" s="112" t="s">
        <v>334</v>
      </c>
      <c r="C131" s="113" t="s">
        <v>196</v>
      </c>
      <c r="D131" s="114">
        <v>46124.0</v>
      </c>
      <c r="E131" s="114">
        <v>46366.0</v>
      </c>
      <c r="F131" s="115" t="str">
        <f t="shared" si="1"/>
        <v>Em andamento</v>
      </c>
      <c r="G131" s="115"/>
      <c r="H131" s="116"/>
      <c r="I131" s="117" t="str">
        <f>IF(COUNTIF(Detalhamento!A9:A329,A131)=0,"-",IF(COUNTIFS(Detalhamento!A9:A329,A131,Detalhamento!J9:J329,"Pendente")&gt;0,"Pendente",IF(COUNTIFS(Detalhamento!A9:A329,A131,Detalhamento!J9:J329,"OK")&gt;0,"OK","-")))</f>
        <v>-</v>
      </c>
      <c r="J131" s="117" t="str">
        <f>IF(COUNTIF(Detalhamento!A9:A329,A131)=0,"-",IF(COUNTIFS(Detalhamento!A9:A329,A131,Detalhamento!K9:K329,"Pendente")&gt;0,"Pendente",IF(COUNTIFS(Detalhamento!A9:A329,A131,Detalhamento!K9:K329,"OK")&gt;0,"OK","-")))</f>
        <v>-</v>
      </c>
      <c r="K131" s="117" t="str">
        <f>IF(COUNTIF(Detalhamento!A9:A329,A131)=0,"-",IF(COUNTIFS(Detalhamento!A9:A329,A131,Detalhamento!L9:L329,"Pendente")&gt;0,"Pendente",IF(COUNTIFS(Detalhamento!A9:A329,A131,Detalhamento!L9:L329,"OK")&gt;0,"OK","-")))</f>
        <v>-</v>
      </c>
      <c r="L131" s="117" t="str">
        <f>IF(COUNTIF(Detalhamento!A9:A329,A131)=0,"-",IF(COUNTIFS(Detalhamento!A9:A329,A131,Detalhamento!M9:M329,"Pendente")&gt;0,"Pendente",IF(COUNTIFS(Detalhamento!A9:A329,A131,Detalhamento!M9:M329,"OK")&gt;0,"OK","-")))</f>
        <v>-</v>
      </c>
      <c r="M131" s="117" t="str">
        <f>IF(COUNTIF(Detalhamento!A9:A329,A131)=0,"-",IF(COUNTIFS(Detalhamento!A9:A329,A131,Detalhamento!N9:N329,"Pendente")&gt;0,"Pendente",IF(COUNTIFS(Detalhamento!A9:A329,A131,Detalhamento!N9:N329,"OK")&gt;0,"OK","-")))</f>
        <v>-</v>
      </c>
      <c r="N131" s="118"/>
      <c r="O131" s="119" t="s">
        <v>230</v>
      </c>
      <c r="P131" s="15">
        <f>IF(A131="",0,COUNTIF(Detalhamento!A9:A329,A131))</f>
        <v>0</v>
      </c>
      <c r="Q131" s="15">
        <f>IF(A131="",0,COUNTIFS(Detalhamento!A9:A329,A131,Detalhamento!H9:H329,"Concluído"))</f>
        <v>0</v>
      </c>
      <c r="R131" s="120" t="str">
        <f t="shared" si="2"/>
        <v/>
      </c>
    </row>
    <row r="132" ht="109.5" customHeight="1">
      <c r="A132" s="111" t="s">
        <v>167</v>
      </c>
      <c r="B132" s="112" t="s">
        <v>354</v>
      </c>
      <c r="C132" s="113" t="s">
        <v>196</v>
      </c>
      <c r="D132" s="114">
        <v>46152.0</v>
      </c>
      <c r="E132" s="114">
        <v>46205.0</v>
      </c>
      <c r="F132" s="115" t="str">
        <f t="shared" si="1"/>
        <v>Em andamento</v>
      </c>
      <c r="G132" s="115"/>
      <c r="H132" s="116"/>
      <c r="I132" s="117" t="str">
        <f>IF(COUNTIF(Detalhamento!A9:A329,A132)=0,"-",IF(COUNTIFS(Detalhamento!A9:A329,A132,Detalhamento!J9:J329,"Pendente")&gt;0,"Pendente",IF(COUNTIFS(Detalhamento!A9:A329,A132,Detalhamento!J9:J329,"OK")&gt;0,"OK","-")))</f>
        <v>-</v>
      </c>
      <c r="J132" s="117" t="str">
        <f>IF(COUNTIF(Detalhamento!A9:A329,A132)=0,"-",IF(COUNTIFS(Detalhamento!A9:A329,A132,Detalhamento!K9:K329,"Pendente")&gt;0,"Pendente",IF(COUNTIFS(Detalhamento!A9:A329,A132,Detalhamento!K9:K329,"OK")&gt;0,"OK","-")))</f>
        <v>-</v>
      </c>
      <c r="K132" s="117" t="str">
        <f>IF(COUNTIF(Detalhamento!A9:A329,A132)=0,"-",IF(COUNTIFS(Detalhamento!A9:A329,A132,Detalhamento!L9:L329,"Pendente")&gt;0,"Pendente",IF(COUNTIFS(Detalhamento!A9:A329,A132,Detalhamento!L9:L329,"OK")&gt;0,"OK","-")))</f>
        <v>-</v>
      </c>
      <c r="L132" s="117" t="str">
        <f>IF(COUNTIF(Detalhamento!A9:A329,A132)=0,"-",IF(COUNTIFS(Detalhamento!A9:A329,A132,Detalhamento!M9:M329,"Pendente")&gt;0,"Pendente",IF(COUNTIFS(Detalhamento!A9:A329,A132,Detalhamento!M9:M329,"OK")&gt;0,"OK","-")))</f>
        <v>-</v>
      </c>
      <c r="M132" s="117" t="str">
        <f>IF(COUNTIF(Detalhamento!A9:A329,A132)=0,"-",IF(COUNTIFS(Detalhamento!A9:A329,A132,Detalhamento!N9:N329,"Pendente")&gt;0,"Pendente",IF(COUNTIFS(Detalhamento!A9:A329,A132,Detalhamento!N9:N329,"OK")&gt;0,"OK","-")))</f>
        <v>-</v>
      </c>
      <c r="N132" s="118"/>
      <c r="O132" s="119" t="s">
        <v>230</v>
      </c>
      <c r="P132" s="15">
        <f>IF(A132="",0,COUNTIF(Detalhamento!A9:A329,A132))</f>
        <v>0</v>
      </c>
      <c r="Q132" s="15">
        <f>IF(A132="",0,COUNTIFS(Detalhamento!A9:A329,A132,Detalhamento!H9:H329,"Concluído"))</f>
        <v>0</v>
      </c>
      <c r="R132" s="120" t="str">
        <f t="shared" si="2"/>
        <v/>
      </c>
    </row>
    <row r="133" ht="109.5" customHeight="1">
      <c r="A133" s="111" t="s">
        <v>168</v>
      </c>
      <c r="B133" s="112" t="s">
        <v>338</v>
      </c>
      <c r="C133" s="113" t="s">
        <v>196</v>
      </c>
      <c r="D133" s="114">
        <v>46327.0</v>
      </c>
      <c r="E133" s="114">
        <v>46378.0</v>
      </c>
      <c r="F133" s="115" t="str">
        <f t="shared" si="1"/>
        <v>A iniciar</v>
      </c>
      <c r="G133" s="115"/>
      <c r="H133" s="116"/>
      <c r="I133" s="117" t="str">
        <f>IF(COUNTIF(Detalhamento!A9:A329,A133)=0,"-",IF(COUNTIFS(Detalhamento!A9:A329,A133,Detalhamento!J9:J329,"Pendente")&gt;0,"Pendente",IF(COUNTIFS(Detalhamento!A9:A329,A133,Detalhamento!J9:J329,"OK")&gt;0,"OK","-")))</f>
        <v>-</v>
      </c>
      <c r="J133" s="117" t="str">
        <f>IF(COUNTIF(Detalhamento!A9:A329,A133)=0,"-",IF(COUNTIFS(Detalhamento!A9:A329,A133,Detalhamento!K9:K329,"Pendente")&gt;0,"Pendente",IF(COUNTIFS(Detalhamento!A9:A329,A133,Detalhamento!K9:K329,"OK")&gt;0,"OK","-")))</f>
        <v>-</v>
      </c>
      <c r="K133" s="117" t="str">
        <f>IF(COUNTIF(Detalhamento!A9:A329,A133)=0,"-",IF(COUNTIFS(Detalhamento!A9:A329,A133,Detalhamento!L9:L329,"Pendente")&gt;0,"Pendente",IF(COUNTIFS(Detalhamento!A9:A329,A133,Detalhamento!L9:L329,"OK")&gt;0,"OK","-")))</f>
        <v>-</v>
      </c>
      <c r="L133" s="117" t="str">
        <f>IF(COUNTIF(Detalhamento!A9:A329,A133)=0,"-",IF(COUNTIFS(Detalhamento!A9:A329,A133,Detalhamento!M9:M329,"Pendente")&gt;0,"Pendente",IF(COUNTIFS(Detalhamento!A9:A329,A133,Detalhamento!M9:M329,"OK")&gt;0,"OK","-")))</f>
        <v>-</v>
      </c>
      <c r="M133" s="117" t="str">
        <f>IF(COUNTIF(Detalhamento!A9:A329,A133)=0,"-",IF(COUNTIFS(Detalhamento!A9:A329,A133,Detalhamento!N9:N329,"Pendente")&gt;0,"Pendente",IF(COUNTIFS(Detalhamento!A9:A329,A133,Detalhamento!N9:N329,"OK")&gt;0,"OK","-")))</f>
        <v>-</v>
      </c>
      <c r="N133" s="118"/>
      <c r="O133" s="119" t="s">
        <v>230</v>
      </c>
      <c r="P133" s="15">
        <f>IF(A133="",0,COUNTIF(Detalhamento!A9:A329,A133))</f>
        <v>0</v>
      </c>
      <c r="Q133" s="15">
        <f>IF(A133="",0,COUNTIFS(Detalhamento!A9:A329,A133,Detalhamento!H9:H329,"Concluído"))</f>
        <v>0</v>
      </c>
      <c r="R133" s="120" t="str">
        <f t="shared" si="2"/>
        <v/>
      </c>
    </row>
    <row r="134" ht="28.5" customHeight="1">
      <c r="A134" s="111" t="s">
        <v>169</v>
      </c>
      <c r="B134" s="112" t="s">
        <v>355</v>
      </c>
      <c r="C134" s="113" t="s">
        <v>196</v>
      </c>
      <c r="D134" s="114">
        <v>46250.0</v>
      </c>
      <c r="E134" s="114">
        <v>46275.0</v>
      </c>
      <c r="F134" s="115" t="str">
        <f t="shared" si="1"/>
        <v>A iniciar</v>
      </c>
      <c r="G134" s="115"/>
      <c r="H134" s="116"/>
      <c r="I134" s="117" t="str">
        <f>IF(COUNTIF(Detalhamento!A9:A329,A134)=0,"-",IF(COUNTIFS(Detalhamento!A9:A329,A134,Detalhamento!J9:J329,"Pendente")&gt;0,"Pendente",IF(COUNTIFS(Detalhamento!A9:A329,A134,Detalhamento!J9:J329,"OK")&gt;0,"OK","-")))</f>
        <v>-</v>
      </c>
      <c r="J134" s="117" t="str">
        <f>IF(COUNTIF(Detalhamento!A9:A329,A134)=0,"-",IF(COUNTIFS(Detalhamento!A9:A329,A134,Detalhamento!K9:K329,"Pendente")&gt;0,"Pendente",IF(COUNTIFS(Detalhamento!A9:A329,A134,Detalhamento!K9:K329,"OK")&gt;0,"OK","-")))</f>
        <v>-</v>
      </c>
      <c r="K134" s="117" t="str">
        <f>IF(COUNTIF(Detalhamento!A9:A329,A134)=0,"-",IF(COUNTIFS(Detalhamento!A9:A329,A134,Detalhamento!L9:L329,"Pendente")&gt;0,"Pendente",IF(COUNTIFS(Detalhamento!A9:A329,A134,Detalhamento!L9:L329,"OK")&gt;0,"OK","-")))</f>
        <v>-</v>
      </c>
      <c r="L134" s="117" t="str">
        <f>IF(COUNTIF(Detalhamento!A9:A329,A134)=0,"-",IF(COUNTIFS(Detalhamento!A9:A329,A134,Detalhamento!M9:M329,"Pendente")&gt;0,"Pendente",IF(COUNTIFS(Detalhamento!A9:A329,A134,Detalhamento!M9:M329,"OK")&gt;0,"OK","-")))</f>
        <v>-</v>
      </c>
      <c r="M134" s="117" t="str">
        <f>IF(COUNTIF(Detalhamento!A9:A329,A134)=0,"-",IF(COUNTIFS(Detalhamento!A9:A329,A134,Detalhamento!N9:N329,"Pendente")&gt;0,"Pendente",IF(COUNTIFS(Detalhamento!A9:A329,A134,Detalhamento!N9:N329,"OK")&gt;0,"OK","-")))</f>
        <v>-</v>
      </c>
      <c r="N134" s="118"/>
      <c r="O134" s="119" t="s">
        <v>230</v>
      </c>
      <c r="P134" s="15">
        <f>IF(A134="",0,COUNTIF(Detalhamento!A9:A329,A134))</f>
        <v>0</v>
      </c>
      <c r="Q134" s="15">
        <f>IF(A134="",0,COUNTIFS(Detalhamento!A9:A329,A134,Detalhamento!H9:H329,"Concluído"))</f>
        <v>0</v>
      </c>
      <c r="R134" s="120" t="str">
        <f t="shared" si="2"/>
        <v/>
      </c>
    </row>
    <row r="135">
      <c r="A135" s="111" t="s">
        <v>170</v>
      </c>
      <c r="B135" s="112" t="s">
        <v>356</v>
      </c>
      <c r="C135" s="113" t="s">
        <v>196</v>
      </c>
      <c r="D135" s="114">
        <v>46348.0</v>
      </c>
      <c r="E135" s="114">
        <v>46401.0</v>
      </c>
      <c r="F135" s="115" t="str">
        <f t="shared" si="1"/>
        <v>A iniciar</v>
      </c>
      <c r="G135" s="115"/>
      <c r="H135" s="116"/>
      <c r="I135" s="117" t="str">
        <f>IF(COUNTIF(Detalhamento!A9:A329,A135)=0,"-",IF(COUNTIFS(Detalhamento!A9:A329,A135,Detalhamento!J9:J329,"Pendente")&gt;0,"Pendente",IF(COUNTIFS(Detalhamento!A9:A329,A135,Detalhamento!J9:J329,"OK")&gt;0,"OK","-")))</f>
        <v>-</v>
      </c>
      <c r="J135" s="117" t="str">
        <f>IF(COUNTIF(Detalhamento!A9:A329,A135)=0,"-",IF(COUNTIFS(Detalhamento!A9:A329,A135,Detalhamento!K9:K329,"Pendente")&gt;0,"Pendente",IF(COUNTIFS(Detalhamento!A9:A329,A135,Detalhamento!K9:K329,"OK")&gt;0,"OK","-")))</f>
        <v>-</v>
      </c>
      <c r="K135" s="117" t="str">
        <f>IF(COUNTIF(Detalhamento!A9:A329,A135)=0,"-",IF(COUNTIFS(Detalhamento!A9:A329,A135,Detalhamento!L9:L329,"Pendente")&gt;0,"Pendente",IF(COUNTIFS(Detalhamento!A9:A329,A135,Detalhamento!L9:L329,"OK")&gt;0,"OK","-")))</f>
        <v>-</v>
      </c>
      <c r="L135" s="117" t="str">
        <f>IF(COUNTIF(Detalhamento!A9:A329,A135)=0,"-",IF(COUNTIFS(Detalhamento!A9:A329,A135,Detalhamento!M9:M329,"Pendente")&gt;0,"Pendente",IF(COUNTIFS(Detalhamento!A9:A329,A135,Detalhamento!M9:M329,"OK")&gt;0,"OK","-")))</f>
        <v>-</v>
      </c>
      <c r="M135" s="117" t="str">
        <f>IF(COUNTIF(Detalhamento!A9:A329,A135)=0,"-",IF(COUNTIFS(Detalhamento!A9:A329,A135,Detalhamento!N9:N329,"Pendente")&gt;0,"Pendente",IF(COUNTIFS(Detalhamento!A9:A329,A135,Detalhamento!N9:N329,"OK")&gt;0,"OK","-")))</f>
        <v>-</v>
      </c>
      <c r="N135" s="118"/>
      <c r="O135" s="119" t="s">
        <v>230</v>
      </c>
      <c r="P135" s="15">
        <f>IF(A135="",0,COUNTIF(Detalhamento!A9:A329,A135))</f>
        <v>0</v>
      </c>
      <c r="Q135" s="15">
        <f>IF(A135="",0,COUNTIFS(Detalhamento!A9:A329,A135,Detalhamento!H9:H329,"Concluído"))</f>
        <v>0</v>
      </c>
      <c r="R135" s="120" t="str">
        <f t="shared" si="2"/>
        <v/>
      </c>
    </row>
    <row r="136" ht="41.25" customHeight="1">
      <c r="A136" s="111" t="s">
        <v>357</v>
      </c>
      <c r="B136" s="112" t="s">
        <v>285</v>
      </c>
      <c r="C136" s="113" t="s">
        <v>197</v>
      </c>
      <c r="D136" s="114">
        <v>46118.0</v>
      </c>
      <c r="E136" s="114">
        <v>46149.0</v>
      </c>
      <c r="F136" s="115" t="str">
        <f t="shared" si="1"/>
        <v>Atrasado</v>
      </c>
      <c r="G136" s="115"/>
      <c r="H136" s="116"/>
      <c r="I136" s="117" t="str">
        <f>IF(COUNTIF(Detalhamento!A9:A329,A136)=0,"-",IF(COUNTIFS(Detalhamento!A9:A329,A136,Detalhamento!J9:J329,"Pendente")&gt;0,"Pendente",IF(COUNTIFS(Detalhamento!A9:A329,A136,Detalhamento!J9:J329,"OK")&gt;0,"OK","-")))</f>
        <v>-</v>
      </c>
      <c r="J136" s="117" t="str">
        <f>IF(COUNTIF(Detalhamento!A9:A329,A136)=0,"-",IF(COUNTIFS(Detalhamento!A9:A329,A136,Detalhamento!K9:K329,"Pendente")&gt;0,"Pendente",IF(COUNTIFS(Detalhamento!A9:A329,A136,Detalhamento!K9:K329,"OK")&gt;0,"OK","-")))</f>
        <v>-</v>
      </c>
      <c r="K136" s="117" t="str">
        <f>IF(COUNTIF(Detalhamento!A9:A329,A136)=0,"-",IF(COUNTIFS(Detalhamento!A9:A329,A136,Detalhamento!L9:L329,"Pendente")&gt;0,"Pendente",IF(COUNTIFS(Detalhamento!A9:A329,A136,Detalhamento!L9:L329,"OK")&gt;0,"OK","-")))</f>
        <v>-</v>
      </c>
      <c r="L136" s="117" t="str">
        <f>IF(COUNTIF(Detalhamento!A9:A329,A136)=0,"-",IF(COUNTIFS(Detalhamento!A9:A329,A136,Detalhamento!M9:M329,"Pendente")&gt;0,"Pendente",IF(COUNTIFS(Detalhamento!A9:A329,A136,Detalhamento!M9:M329,"OK")&gt;0,"OK","-")))</f>
        <v>-</v>
      </c>
      <c r="M136" s="117" t="str">
        <f>IF(COUNTIF(Detalhamento!A9:A329,A136)=0,"-",IF(COUNTIFS(Detalhamento!A9:A329,A136,Detalhamento!N9:N329,"Pendente")&gt;0,"Pendente",IF(COUNTIFS(Detalhamento!A9:A329,A136,Detalhamento!N9:N329,"OK")&gt;0,"OK","-")))</f>
        <v>-</v>
      </c>
      <c r="N136" s="118"/>
      <c r="O136" s="119" t="s">
        <v>230</v>
      </c>
      <c r="P136" s="15">
        <f>IF(A136="",0,COUNTIF(Detalhamento!A9:A329,A136))</f>
        <v>0</v>
      </c>
      <c r="Q136" s="15">
        <f>IF(A136="",0,COUNTIFS(Detalhamento!A9:A329,A136,Detalhamento!H9:H329,"Concluído"))</f>
        <v>0</v>
      </c>
      <c r="R136" s="120" t="str">
        <f t="shared" si="2"/>
        <v/>
      </c>
    </row>
    <row r="137">
      <c r="A137" s="111" t="s">
        <v>358</v>
      </c>
      <c r="B137" s="112" t="s">
        <v>59</v>
      </c>
      <c r="C137" s="113" t="s">
        <v>197</v>
      </c>
      <c r="D137" s="114">
        <v>46118.0</v>
      </c>
      <c r="E137" s="114">
        <v>46149.0</v>
      </c>
      <c r="F137" s="115" t="str">
        <f t="shared" si="1"/>
        <v>Atrasado</v>
      </c>
      <c r="G137" s="115"/>
      <c r="H137" s="116"/>
      <c r="I137" s="117" t="str">
        <f>IF(COUNTIF(Detalhamento!A9:A329,A137)=0,"-",IF(COUNTIFS(Detalhamento!A9:A329,A137,Detalhamento!J9:J329,"Pendente")&gt;0,"Pendente",IF(COUNTIFS(Detalhamento!A9:A329,A137,Detalhamento!J9:J329,"OK")&gt;0,"OK","-")))</f>
        <v>-</v>
      </c>
      <c r="J137" s="117" t="str">
        <f>IF(COUNTIF(Detalhamento!A9:A329,A137)=0,"-",IF(COUNTIFS(Detalhamento!A9:A329,A137,Detalhamento!K9:K329,"Pendente")&gt;0,"Pendente",IF(COUNTIFS(Detalhamento!A9:A329,A137,Detalhamento!K9:K329,"OK")&gt;0,"OK","-")))</f>
        <v>-</v>
      </c>
      <c r="K137" s="117" t="str">
        <f>IF(COUNTIF(Detalhamento!A9:A329,A137)=0,"-",IF(COUNTIFS(Detalhamento!A9:A329,A137,Detalhamento!L9:L329,"Pendente")&gt;0,"Pendente",IF(COUNTIFS(Detalhamento!A9:A329,A137,Detalhamento!L9:L329,"OK")&gt;0,"OK","-")))</f>
        <v>-</v>
      </c>
      <c r="L137" s="117" t="str">
        <f>IF(COUNTIF(Detalhamento!A9:A329,A137)=0,"-",IF(COUNTIFS(Detalhamento!A9:A329,A137,Detalhamento!M9:M329,"Pendente")&gt;0,"Pendente",IF(COUNTIFS(Detalhamento!A9:A329,A137,Detalhamento!M9:M329,"OK")&gt;0,"OK","-")))</f>
        <v>-</v>
      </c>
      <c r="M137" s="117" t="str">
        <f>IF(COUNTIF(Detalhamento!A9:A329,A137)=0,"-",IF(COUNTIFS(Detalhamento!A9:A329,A137,Detalhamento!N9:N329,"Pendente")&gt;0,"Pendente",IF(COUNTIFS(Detalhamento!A9:A329,A137,Detalhamento!N9:N329,"OK")&gt;0,"OK","-")))</f>
        <v>-</v>
      </c>
      <c r="N137" s="118"/>
      <c r="O137" s="119" t="s">
        <v>230</v>
      </c>
      <c r="P137" s="15">
        <f>IF(A137="",0,COUNTIF(Detalhamento!A9:A329,A137))</f>
        <v>0</v>
      </c>
      <c r="Q137" s="15">
        <f>IF(A137="",0,COUNTIFS(Detalhamento!A9:A329,A137,Detalhamento!H9:H329,"Concluído"))</f>
        <v>0</v>
      </c>
      <c r="R137" s="120" t="str">
        <f t="shared" si="2"/>
        <v/>
      </c>
    </row>
    <row r="138" ht="19.5" customHeight="1">
      <c r="A138" s="111" t="s">
        <v>359</v>
      </c>
      <c r="B138" s="112" t="s">
        <v>62</v>
      </c>
      <c r="C138" s="113" t="s">
        <v>197</v>
      </c>
      <c r="D138" s="114">
        <v>46118.0</v>
      </c>
      <c r="E138" s="114">
        <v>46149.0</v>
      </c>
      <c r="F138" s="115" t="str">
        <f t="shared" si="1"/>
        <v>Atrasado</v>
      </c>
      <c r="G138" s="115"/>
      <c r="H138" s="116"/>
      <c r="I138" s="117" t="str">
        <f>IF(COUNTIF(Detalhamento!A9:A329,A138)=0,"-",IF(COUNTIFS(Detalhamento!A9:A329,A138,Detalhamento!J9:J329,"Pendente")&gt;0,"Pendente",IF(COUNTIFS(Detalhamento!A9:A329,A138,Detalhamento!J9:J329,"OK")&gt;0,"OK","-")))</f>
        <v>-</v>
      </c>
      <c r="J138" s="117" t="str">
        <f>IF(COUNTIF(Detalhamento!A9:A329,A138)=0,"-",IF(COUNTIFS(Detalhamento!A9:A329,A138,Detalhamento!K9:K329,"Pendente")&gt;0,"Pendente",IF(COUNTIFS(Detalhamento!A9:A329,A138,Detalhamento!K9:K329,"OK")&gt;0,"OK","-")))</f>
        <v>-</v>
      </c>
      <c r="K138" s="117" t="str">
        <f>IF(COUNTIF(Detalhamento!A9:A329,A138)=0,"-",IF(COUNTIFS(Detalhamento!A9:A329,A138,Detalhamento!L9:L329,"Pendente")&gt;0,"Pendente",IF(COUNTIFS(Detalhamento!A9:A329,A138,Detalhamento!L9:L329,"OK")&gt;0,"OK","-")))</f>
        <v>-</v>
      </c>
      <c r="L138" s="117" t="str">
        <f>IF(COUNTIF(Detalhamento!A9:A329,A138)=0,"-",IF(COUNTIFS(Detalhamento!A9:A329,A138,Detalhamento!M9:M329,"Pendente")&gt;0,"Pendente",IF(COUNTIFS(Detalhamento!A9:A329,A138,Detalhamento!M9:M329,"OK")&gt;0,"OK","-")))</f>
        <v>-</v>
      </c>
      <c r="M138" s="117" t="str">
        <f>IF(COUNTIF(Detalhamento!A9:A329,A138)=0,"-",IF(COUNTIFS(Detalhamento!A9:A329,A138,Detalhamento!N9:N329,"Pendente")&gt;0,"Pendente",IF(COUNTIFS(Detalhamento!A9:A329,A138,Detalhamento!N9:N329,"OK")&gt;0,"OK","-")))</f>
        <v>-</v>
      </c>
      <c r="N138" s="118"/>
      <c r="O138" s="119" t="s">
        <v>230</v>
      </c>
      <c r="P138" s="15">
        <f>IF(A138="",0,COUNTIF(Detalhamento!A9:A329,A138))</f>
        <v>0</v>
      </c>
      <c r="Q138" s="15">
        <f>IF(A138="",0,COUNTIFS(Detalhamento!A9:A329,A138,Detalhamento!H9:H329,"Concluído"))</f>
        <v>0</v>
      </c>
      <c r="R138" s="120" t="str">
        <f t="shared" si="2"/>
        <v/>
      </c>
    </row>
    <row r="139">
      <c r="A139" s="111" t="s">
        <v>360</v>
      </c>
      <c r="B139" s="112" t="s">
        <v>59</v>
      </c>
      <c r="C139" s="113" t="s">
        <v>197</v>
      </c>
      <c r="D139" s="114">
        <v>46118.0</v>
      </c>
      <c r="E139" s="114">
        <v>46149.0</v>
      </c>
      <c r="F139" s="115" t="str">
        <f t="shared" si="1"/>
        <v>Atrasado</v>
      </c>
      <c r="G139" s="115"/>
      <c r="H139" s="116"/>
      <c r="I139" s="117" t="str">
        <f>IF(COUNTIF(Detalhamento!A9:A329,A139)=0,"-",IF(COUNTIFS(Detalhamento!A9:A329,A139,Detalhamento!J9:J329,"Pendente")&gt;0,"Pendente",IF(COUNTIFS(Detalhamento!A9:A329,A139,Detalhamento!J9:J329,"OK")&gt;0,"OK","-")))</f>
        <v>-</v>
      </c>
      <c r="J139" s="117" t="str">
        <f>IF(COUNTIF(Detalhamento!A9:A329,A139)=0,"-",IF(COUNTIFS(Detalhamento!A9:A329,A139,Detalhamento!K9:K329,"Pendente")&gt;0,"Pendente",IF(COUNTIFS(Detalhamento!A9:A329,A139,Detalhamento!K9:K329,"OK")&gt;0,"OK","-")))</f>
        <v>-</v>
      </c>
      <c r="K139" s="117" t="str">
        <f>IF(COUNTIF(Detalhamento!A9:A329,A139)=0,"-",IF(COUNTIFS(Detalhamento!A9:A329,A139,Detalhamento!L9:L329,"Pendente")&gt;0,"Pendente",IF(COUNTIFS(Detalhamento!A9:A329,A139,Detalhamento!L9:L329,"OK")&gt;0,"OK","-")))</f>
        <v>-</v>
      </c>
      <c r="L139" s="117" t="str">
        <f>IF(COUNTIF(Detalhamento!A9:A329,A139)=0,"-",IF(COUNTIFS(Detalhamento!A9:A329,A139,Detalhamento!M9:M329,"Pendente")&gt;0,"Pendente",IF(COUNTIFS(Detalhamento!A9:A329,A139,Detalhamento!M9:M329,"OK")&gt;0,"OK","-")))</f>
        <v>-</v>
      </c>
      <c r="M139" s="117" t="str">
        <f>IF(COUNTIF(Detalhamento!A9:A329,A139)=0,"-",IF(COUNTIFS(Detalhamento!A9:A329,A139,Detalhamento!N9:N329,"Pendente")&gt;0,"Pendente",IF(COUNTIFS(Detalhamento!A9:A329,A139,Detalhamento!N9:N329,"OK")&gt;0,"OK","-")))</f>
        <v>-</v>
      </c>
      <c r="N139" s="118"/>
      <c r="O139" s="119" t="s">
        <v>230</v>
      </c>
      <c r="P139" s="15">
        <f>IF(A139="",0,COUNTIF(Detalhamento!A9:A329,A139))</f>
        <v>0</v>
      </c>
      <c r="Q139" s="15">
        <f>IF(A139="",0,COUNTIFS(Detalhamento!A9:A329,A139,Detalhamento!H9:H329,"Concluído"))</f>
        <v>0</v>
      </c>
      <c r="R139" s="120" t="str">
        <f t="shared" si="2"/>
        <v/>
      </c>
    </row>
    <row r="140" ht="19.5" customHeight="1">
      <c r="A140" s="111" t="s">
        <v>361</v>
      </c>
      <c r="B140" s="112" t="s">
        <v>67</v>
      </c>
      <c r="C140" s="113" t="s">
        <v>197</v>
      </c>
      <c r="D140" s="114">
        <v>46118.0</v>
      </c>
      <c r="E140" s="114">
        <v>46149.0</v>
      </c>
      <c r="F140" s="115" t="str">
        <f t="shared" si="1"/>
        <v>Atrasado</v>
      </c>
      <c r="G140" s="115"/>
      <c r="H140" s="116"/>
      <c r="I140" s="117" t="str">
        <f>IF(COUNTIF(Detalhamento!A9:A329,A140)=0,"-",IF(COUNTIFS(Detalhamento!A9:A329,A140,Detalhamento!J9:J329,"Pendente")&gt;0,"Pendente",IF(COUNTIFS(Detalhamento!A9:A329,A140,Detalhamento!J9:J329,"OK")&gt;0,"OK","-")))</f>
        <v>-</v>
      </c>
      <c r="J140" s="117" t="str">
        <f>IF(COUNTIF(Detalhamento!A9:A329,A140)=0,"-",IF(COUNTIFS(Detalhamento!A9:A329,A140,Detalhamento!K9:K329,"Pendente")&gt;0,"Pendente",IF(COUNTIFS(Detalhamento!A9:A329,A140,Detalhamento!K9:K329,"OK")&gt;0,"OK","-")))</f>
        <v>-</v>
      </c>
      <c r="K140" s="117" t="str">
        <f>IF(COUNTIF(Detalhamento!A9:A329,A140)=0,"-",IF(COUNTIFS(Detalhamento!A9:A329,A140,Detalhamento!L9:L329,"Pendente")&gt;0,"Pendente",IF(COUNTIFS(Detalhamento!A9:A329,A140,Detalhamento!L9:L329,"OK")&gt;0,"OK","-")))</f>
        <v>-</v>
      </c>
      <c r="L140" s="117" t="str">
        <f>IF(COUNTIF(Detalhamento!A9:A329,A140)=0,"-",IF(COUNTIFS(Detalhamento!A9:A329,A140,Detalhamento!M9:M329,"Pendente")&gt;0,"Pendente",IF(COUNTIFS(Detalhamento!A9:A329,A140,Detalhamento!M9:M329,"OK")&gt;0,"OK","-")))</f>
        <v>-</v>
      </c>
      <c r="M140" s="117" t="str">
        <f>IF(COUNTIF(Detalhamento!A9:A329,A140)=0,"-",IF(COUNTIFS(Detalhamento!A9:A329,A140,Detalhamento!N9:N329,"Pendente")&gt;0,"Pendente",IF(COUNTIFS(Detalhamento!A9:A329,A140,Detalhamento!N9:N329,"OK")&gt;0,"OK","-")))</f>
        <v>-</v>
      </c>
      <c r="N140" s="118"/>
      <c r="O140" s="119" t="s">
        <v>230</v>
      </c>
      <c r="P140" s="15">
        <f>IF(A140="",0,COUNTIF(Detalhamento!A9:A329,A140))</f>
        <v>0</v>
      </c>
      <c r="Q140" s="15">
        <f>IF(A140="",0,COUNTIFS(Detalhamento!A9:A329,A140,Detalhamento!H9:H329,"Concluído"))</f>
        <v>0</v>
      </c>
      <c r="R140" s="120" t="str">
        <f t="shared" si="2"/>
        <v/>
      </c>
    </row>
    <row r="141">
      <c r="A141" s="111" t="s">
        <v>362</v>
      </c>
      <c r="B141" s="112" t="s">
        <v>292</v>
      </c>
      <c r="C141" s="113" t="s">
        <v>197</v>
      </c>
      <c r="D141" s="114">
        <v>46118.0</v>
      </c>
      <c r="E141" s="114">
        <v>46149.0</v>
      </c>
      <c r="F141" s="115" t="str">
        <f t="shared" si="1"/>
        <v>Atrasado</v>
      </c>
      <c r="G141" s="115"/>
      <c r="H141" s="116"/>
      <c r="I141" s="117" t="str">
        <f>IF(COUNTIF(Detalhamento!A9:A329,A141)=0,"-",IF(COUNTIFS(Detalhamento!A9:A329,A141,Detalhamento!J9:J329,"Pendente")&gt;0,"Pendente",IF(COUNTIFS(Detalhamento!A9:A329,A141,Detalhamento!J9:J329,"OK")&gt;0,"OK","-")))</f>
        <v>-</v>
      </c>
      <c r="J141" s="117" t="str">
        <f>IF(COUNTIF(Detalhamento!A9:A329,A141)=0,"-",IF(COUNTIFS(Detalhamento!A9:A329,A141,Detalhamento!K9:K329,"Pendente")&gt;0,"Pendente",IF(COUNTIFS(Detalhamento!A9:A329,A141,Detalhamento!K9:K329,"OK")&gt;0,"OK","-")))</f>
        <v>-</v>
      </c>
      <c r="K141" s="117" t="str">
        <f>IF(COUNTIF(Detalhamento!A9:A329,A141)=0,"-",IF(COUNTIFS(Detalhamento!A9:A329,A141,Detalhamento!L9:L329,"Pendente")&gt;0,"Pendente",IF(COUNTIFS(Detalhamento!A9:A329,A141,Detalhamento!L9:L329,"OK")&gt;0,"OK","-")))</f>
        <v>-</v>
      </c>
      <c r="L141" s="117" t="str">
        <f>IF(COUNTIF(Detalhamento!A9:A329,A141)=0,"-",IF(COUNTIFS(Detalhamento!A9:A329,A141,Detalhamento!M9:M329,"Pendente")&gt;0,"Pendente",IF(COUNTIFS(Detalhamento!A9:A329,A141,Detalhamento!M9:M329,"OK")&gt;0,"OK","-")))</f>
        <v>-</v>
      </c>
      <c r="M141" s="117" t="str">
        <f>IF(COUNTIF(Detalhamento!A9:A329,A141)=0,"-",IF(COUNTIFS(Detalhamento!A9:A329,A141,Detalhamento!N9:N329,"Pendente")&gt;0,"Pendente",IF(COUNTIFS(Detalhamento!A9:A329,A141,Detalhamento!N9:N329,"OK")&gt;0,"OK","-")))</f>
        <v>-</v>
      </c>
      <c r="N141" s="118"/>
      <c r="O141" s="119" t="s">
        <v>230</v>
      </c>
      <c r="P141" s="15">
        <f>IF(A141="",0,COUNTIF(Detalhamento!A9:A329,A141))</f>
        <v>0</v>
      </c>
      <c r="Q141" s="15">
        <f>IF(A141="",0,COUNTIFS(Detalhamento!A9:A329,A141,Detalhamento!H9:H329,"Concluído"))</f>
        <v>0</v>
      </c>
      <c r="R141" s="120" t="str">
        <f t="shared" si="2"/>
        <v/>
      </c>
    </row>
    <row r="142">
      <c r="A142" s="111" t="s">
        <v>363</v>
      </c>
      <c r="B142" s="112" t="s">
        <v>309</v>
      </c>
      <c r="C142" s="113" t="s">
        <v>197</v>
      </c>
      <c r="D142" s="114">
        <v>46267.0</v>
      </c>
      <c r="E142" s="114">
        <v>46296.0</v>
      </c>
      <c r="F142" s="115" t="str">
        <f t="shared" si="1"/>
        <v>A iniciar</v>
      </c>
      <c r="G142" s="115"/>
      <c r="H142" s="116"/>
      <c r="I142" s="117" t="str">
        <f>IF(COUNTIF(Detalhamento!A9:A329,A142)=0,"-",IF(COUNTIFS(Detalhamento!A9:A329,A142,Detalhamento!J9:J329,"Pendente")&gt;0,"Pendente",IF(COUNTIFS(Detalhamento!A9:A329,A142,Detalhamento!J9:J329,"OK")&gt;0,"OK","-")))</f>
        <v>-</v>
      </c>
      <c r="J142" s="117" t="str">
        <f>IF(COUNTIF(Detalhamento!A9:A329,A142)=0,"-",IF(COUNTIFS(Detalhamento!A9:A329,A142,Detalhamento!K9:K329,"Pendente")&gt;0,"Pendente",IF(COUNTIFS(Detalhamento!A9:A329,A142,Detalhamento!K9:K329,"OK")&gt;0,"OK","-")))</f>
        <v>-</v>
      </c>
      <c r="K142" s="117" t="str">
        <f>IF(COUNTIF(Detalhamento!A9:A329,A142)=0,"-",IF(COUNTIFS(Detalhamento!A9:A329,A142,Detalhamento!L9:L329,"Pendente")&gt;0,"Pendente",IF(COUNTIFS(Detalhamento!A9:A329,A142,Detalhamento!L9:L329,"OK")&gt;0,"OK","-")))</f>
        <v>-</v>
      </c>
      <c r="L142" s="117" t="str">
        <f>IF(COUNTIF(Detalhamento!A9:A329,A142)=0,"-",IF(COUNTIFS(Detalhamento!A9:A329,A142,Detalhamento!M9:M329,"Pendente")&gt;0,"Pendente",IF(COUNTIFS(Detalhamento!A9:A329,A142,Detalhamento!M9:M329,"OK")&gt;0,"OK","-")))</f>
        <v>-</v>
      </c>
      <c r="M142" s="117" t="str">
        <f>IF(COUNTIF(Detalhamento!A9:A329,A142)=0,"-",IF(COUNTIFS(Detalhamento!A9:A329,A142,Detalhamento!N9:N329,"Pendente")&gt;0,"Pendente",IF(COUNTIFS(Detalhamento!A9:A329,A142,Detalhamento!N9:N329,"OK")&gt;0,"OK","-")))</f>
        <v>-</v>
      </c>
      <c r="N142" s="118"/>
      <c r="O142" s="119" t="s">
        <v>230</v>
      </c>
      <c r="P142" s="15">
        <f>IF(A142="",0,COUNTIF(Detalhamento!A9:A329,A142))</f>
        <v>0</v>
      </c>
      <c r="Q142" s="15">
        <f>IF(A142="",0,COUNTIFS(Detalhamento!A9:A329,A142,Detalhamento!H9:H329,"Concluído"))</f>
        <v>0</v>
      </c>
      <c r="R142" s="120" t="str">
        <f t="shared" si="2"/>
        <v/>
      </c>
    </row>
    <row r="143">
      <c r="A143" s="111" t="s">
        <v>364</v>
      </c>
      <c r="B143" s="112" t="s">
        <v>313</v>
      </c>
      <c r="C143" s="113" t="s">
        <v>197</v>
      </c>
      <c r="D143" s="114">
        <v>46292.0</v>
      </c>
      <c r="E143" s="114">
        <v>46324.0</v>
      </c>
      <c r="F143" s="115" t="str">
        <f t="shared" si="1"/>
        <v>A iniciar</v>
      </c>
      <c r="G143" s="115"/>
      <c r="H143" s="116"/>
      <c r="I143" s="117" t="str">
        <f>IF(COUNTIF(Detalhamento!A9:A329,A143)=0,"-",IF(COUNTIFS(Detalhamento!A9:A329,A143,Detalhamento!J9:J329,"Pendente")&gt;0,"Pendente",IF(COUNTIFS(Detalhamento!A9:A329,A143,Detalhamento!J9:J329,"OK")&gt;0,"OK","-")))</f>
        <v>-</v>
      </c>
      <c r="J143" s="117" t="str">
        <f>IF(COUNTIF(Detalhamento!A9:A329,A143)=0,"-",IF(COUNTIFS(Detalhamento!A9:A329,A143,Detalhamento!K9:K329,"Pendente")&gt;0,"Pendente",IF(COUNTIFS(Detalhamento!A9:A329,A143,Detalhamento!K9:K329,"OK")&gt;0,"OK","-")))</f>
        <v>-</v>
      </c>
      <c r="K143" s="117" t="str">
        <f>IF(COUNTIF(Detalhamento!A9:A329,A143)=0,"-",IF(COUNTIFS(Detalhamento!A9:A329,A143,Detalhamento!L9:L329,"Pendente")&gt;0,"Pendente",IF(COUNTIFS(Detalhamento!A9:A329,A143,Detalhamento!L9:L329,"OK")&gt;0,"OK","-")))</f>
        <v>-</v>
      </c>
      <c r="L143" s="117" t="str">
        <f>IF(COUNTIF(Detalhamento!A9:A329,A143)=0,"-",IF(COUNTIFS(Detalhamento!A9:A329,A143,Detalhamento!M9:M329,"Pendente")&gt;0,"Pendente",IF(COUNTIFS(Detalhamento!A9:A329,A143,Detalhamento!M9:M329,"OK")&gt;0,"OK","-")))</f>
        <v>-</v>
      </c>
      <c r="M143" s="117" t="str">
        <f>IF(COUNTIF(Detalhamento!A9:A329,A143)=0,"-",IF(COUNTIFS(Detalhamento!A9:A329,A143,Detalhamento!N9:N329,"Pendente")&gt;0,"Pendente",IF(COUNTIFS(Detalhamento!A9:A329,A143,Detalhamento!N9:N329,"OK")&gt;0,"OK","-")))</f>
        <v>-</v>
      </c>
      <c r="N143" s="118"/>
      <c r="O143" s="119" t="s">
        <v>230</v>
      </c>
      <c r="P143" s="15">
        <f>IF(A143="",0,COUNTIF(Detalhamento!A9:A329,A143))</f>
        <v>0</v>
      </c>
      <c r="Q143" s="15">
        <f>IF(A143="",0,COUNTIFS(Detalhamento!A9:A329,A143,Detalhamento!H9:H329,"Concluído"))</f>
        <v>0</v>
      </c>
      <c r="R143" s="120" t="str">
        <f t="shared" si="2"/>
        <v/>
      </c>
    </row>
    <row r="144" ht="28.5" customHeight="1">
      <c r="A144" s="111" t="s">
        <v>365</v>
      </c>
      <c r="B144" s="112" t="s">
        <v>366</v>
      </c>
      <c r="C144" s="113" t="s">
        <v>197</v>
      </c>
      <c r="D144" s="114">
        <v>46292.0</v>
      </c>
      <c r="E144" s="114">
        <v>46378.0</v>
      </c>
      <c r="F144" s="115" t="str">
        <f t="shared" si="1"/>
        <v>A iniciar</v>
      </c>
      <c r="G144" s="115"/>
      <c r="H144" s="116"/>
      <c r="I144" s="117" t="str">
        <f>IF(COUNTIF(Detalhamento!A9:A329,A144)=0,"-",IF(COUNTIFS(Detalhamento!A9:A329,A144,Detalhamento!J9:J329,"Pendente")&gt;0,"Pendente",IF(COUNTIFS(Detalhamento!A9:A329,A144,Detalhamento!J9:J329,"OK")&gt;0,"OK","-")))</f>
        <v>-</v>
      </c>
      <c r="J144" s="117" t="str">
        <f>IF(COUNTIF(Detalhamento!A9:A329,A144)=0,"-",IF(COUNTIFS(Detalhamento!A9:A329,A144,Detalhamento!K9:K329,"Pendente")&gt;0,"Pendente",IF(COUNTIFS(Detalhamento!A9:A329,A144,Detalhamento!K9:K329,"OK")&gt;0,"OK","-")))</f>
        <v>-</v>
      </c>
      <c r="K144" s="117" t="str">
        <f>IF(COUNTIF(Detalhamento!A9:A329,A144)=0,"-",IF(COUNTIFS(Detalhamento!A9:A329,A144,Detalhamento!L9:L329,"Pendente")&gt;0,"Pendente",IF(COUNTIFS(Detalhamento!A9:A329,A144,Detalhamento!L9:L329,"OK")&gt;0,"OK","-")))</f>
        <v>-</v>
      </c>
      <c r="L144" s="117" t="str">
        <f>IF(COUNTIF(Detalhamento!A9:A329,A144)=0,"-",IF(COUNTIFS(Detalhamento!A9:A329,A144,Detalhamento!M9:M329,"Pendente")&gt;0,"Pendente",IF(COUNTIFS(Detalhamento!A9:A329,A144,Detalhamento!M9:M329,"OK")&gt;0,"OK","-")))</f>
        <v>-</v>
      </c>
      <c r="M144" s="117" t="str">
        <f>IF(COUNTIF(Detalhamento!A9:A329,A144)=0,"-",IF(COUNTIFS(Detalhamento!A9:A329,A144,Detalhamento!N9:N329,"Pendente")&gt;0,"Pendente",IF(COUNTIFS(Detalhamento!A9:A329,A144,Detalhamento!N9:N329,"OK")&gt;0,"OK","-")))</f>
        <v>-</v>
      </c>
      <c r="N144" s="118"/>
      <c r="O144" s="119" t="s">
        <v>230</v>
      </c>
      <c r="P144" s="15">
        <f>IF(A144="",0,COUNTIF(Detalhamento!A9:A329,A144))</f>
        <v>0</v>
      </c>
      <c r="Q144" s="15">
        <f>IF(A144="",0,COUNTIFS(Detalhamento!A9:A329,A144,Detalhamento!H9:H329,"Concluído"))</f>
        <v>0</v>
      </c>
      <c r="R144" s="120" t="str">
        <f t="shared" si="2"/>
        <v/>
      </c>
    </row>
    <row r="145" ht="28.5" customHeight="1">
      <c r="A145" s="111" t="s">
        <v>367</v>
      </c>
      <c r="B145" s="112" t="s">
        <v>353</v>
      </c>
      <c r="C145" s="113" t="s">
        <v>197</v>
      </c>
      <c r="D145" s="114">
        <v>46292.0</v>
      </c>
      <c r="E145" s="114">
        <v>46394.0</v>
      </c>
      <c r="F145" s="115" t="str">
        <f t="shared" si="1"/>
        <v>A iniciar</v>
      </c>
      <c r="G145" s="115"/>
      <c r="H145" s="116"/>
      <c r="I145" s="117" t="str">
        <f>IF(COUNTIF(Detalhamento!A9:A329,A145)=0,"-",IF(COUNTIFS(Detalhamento!A9:A329,A145,Detalhamento!J9:J329,"Pendente")&gt;0,"Pendente",IF(COUNTIFS(Detalhamento!A9:A329,A145,Detalhamento!J9:J329,"OK")&gt;0,"OK","-")))</f>
        <v>-</v>
      </c>
      <c r="J145" s="117" t="str">
        <f>IF(COUNTIF(Detalhamento!A9:A329,A145)=0,"-",IF(COUNTIFS(Detalhamento!A9:A329,A145,Detalhamento!K9:K329,"Pendente")&gt;0,"Pendente",IF(COUNTIFS(Detalhamento!A9:A329,A145,Detalhamento!K9:K329,"OK")&gt;0,"OK","-")))</f>
        <v>-</v>
      </c>
      <c r="K145" s="117" t="str">
        <f>IF(COUNTIF(Detalhamento!A9:A329,A145)=0,"-",IF(COUNTIFS(Detalhamento!A9:A329,A145,Detalhamento!L9:L329,"Pendente")&gt;0,"Pendente",IF(COUNTIFS(Detalhamento!A9:A329,A145,Detalhamento!L9:L329,"OK")&gt;0,"OK","-")))</f>
        <v>-</v>
      </c>
      <c r="L145" s="117" t="str">
        <f>IF(COUNTIF(Detalhamento!A9:A329,A145)=0,"-",IF(COUNTIFS(Detalhamento!A9:A329,A145,Detalhamento!M9:M329,"Pendente")&gt;0,"Pendente",IF(COUNTIFS(Detalhamento!A9:A329,A145,Detalhamento!M9:M329,"OK")&gt;0,"OK","-")))</f>
        <v>-</v>
      </c>
      <c r="M145" s="117" t="str">
        <f>IF(COUNTIF(Detalhamento!A9:A329,A145)=0,"-",IF(COUNTIFS(Detalhamento!A9:A329,A145,Detalhamento!N9:N329,"Pendente")&gt;0,"Pendente",IF(COUNTIFS(Detalhamento!A9:A329,A145,Detalhamento!N9:N329,"OK")&gt;0,"OK","-")))</f>
        <v>-</v>
      </c>
      <c r="N145" s="118"/>
      <c r="O145" s="119" t="s">
        <v>230</v>
      </c>
      <c r="P145" s="15">
        <f>IF(A145="",0,COUNTIF(Detalhamento!A9:A329,A145))</f>
        <v>0</v>
      </c>
      <c r="Q145" s="15">
        <f>IF(A145="",0,COUNTIFS(Detalhamento!A9:A329,A145,Detalhamento!H9:H329,"Concluído"))</f>
        <v>0</v>
      </c>
      <c r="R145" s="120" t="str">
        <f t="shared" si="2"/>
        <v/>
      </c>
    </row>
    <row r="146" ht="28.5" customHeight="1">
      <c r="A146" s="111" t="s">
        <v>368</v>
      </c>
      <c r="B146" s="112" t="s">
        <v>355</v>
      </c>
      <c r="C146" s="113" t="s">
        <v>197</v>
      </c>
      <c r="D146" s="114">
        <v>46327.0</v>
      </c>
      <c r="E146" s="114">
        <v>46352.0</v>
      </c>
      <c r="F146" s="115" t="str">
        <f t="shared" si="1"/>
        <v>A iniciar</v>
      </c>
      <c r="G146" s="115"/>
      <c r="H146" s="116"/>
      <c r="I146" s="117" t="str">
        <f>IF(COUNTIF(Detalhamento!A9:A329,A146)=0,"-",IF(COUNTIFS(Detalhamento!A9:A329,A146,Detalhamento!J9:J329,"Pendente")&gt;0,"Pendente",IF(COUNTIFS(Detalhamento!A9:A329,A146,Detalhamento!J9:J329,"OK")&gt;0,"OK","-")))</f>
        <v>-</v>
      </c>
      <c r="J146" s="117" t="str">
        <f>IF(COUNTIF(Detalhamento!A9:A329,A146)=0,"-",IF(COUNTIFS(Detalhamento!A9:A329,A146,Detalhamento!K9:K329,"Pendente")&gt;0,"Pendente",IF(COUNTIFS(Detalhamento!A9:A329,A146,Detalhamento!K9:K329,"OK")&gt;0,"OK","-")))</f>
        <v>-</v>
      </c>
      <c r="K146" s="117" t="str">
        <f>IF(COUNTIF(Detalhamento!A9:A329,A146)=0,"-",IF(COUNTIFS(Detalhamento!A9:A329,A146,Detalhamento!L9:L329,"Pendente")&gt;0,"Pendente",IF(COUNTIFS(Detalhamento!A9:A329,A146,Detalhamento!L9:L329,"OK")&gt;0,"OK","-")))</f>
        <v>-</v>
      </c>
      <c r="L146" s="117" t="str">
        <f>IF(COUNTIF(Detalhamento!A9:A329,A146)=0,"-",IF(COUNTIFS(Detalhamento!A9:A329,A146,Detalhamento!M9:M329,"Pendente")&gt;0,"Pendente",IF(COUNTIFS(Detalhamento!A9:A329,A146,Detalhamento!M9:M329,"OK")&gt;0,"OK","-")))</f>
        <v>-</v>
      </c>
      <c r="M146" s="117" t="str">
        <f>IF(COUNTIF(Detalhamento!A9:A329,A146)=0,"-",IF(COUNTIFS(Detalhamento!A9:A329,A146,Detalhamento!N9:N329,"Pendente")&gt;0,"Pendente",IF(COUNTIFS(Detalhamento!A9:A329,A146,Detalhamento!N9:N329,"OK")&gt;0,"OK","-")))</f>
        <v>-</v>
      </c>
      <c r="N146" s="118"/>
      <c r="O146" s="119" t="s">
        <v>230</v>
      </c>
      <c r="P146" s="15">
        <f>IF(A146="",0,COUNTIF(Detalhamento!A9:A329,A146))</f>
        <v>0</v>
      </c>
      <c r="Q146" s="15">
        <f>IF(A146="",0,COUNTIFS(Detalhamento!A9:A329,A146,Detalhamento!H9:H329,"Concluído"))</f>
        <v>0</v>
      </c>
      <c r="R146" s="120" t="str">
        <f t="shared" si="2"/>
        <v/>
      </c>
    </row>
    <row r="147">
      <c r="A147" s="111" t="s">
        <v>369</v>
      </c>
      <c r="B147" s="112" t="s">
        <v>356</v>
      </c>
      <c r="C147" s="113" t="s">
        <v>197</v>
      </c>
      <c r="D147" s="114">
        <v>46352.0</v>
      </c>
      <c r="E147" s="114">
        <v>46378.0</v>
      </c>
      <c r="F147" s="115" t="str">
        <f t="shared" si="1"/>
        <v>A iniciar</v>
      </c>
      <c r="G147" s="115"/>
      <c r="H147" s="116"/>
      <c r="I147" s="117" t="str">
        <f>IF(COUNTIF(Detalhamento!A9:A329,A147)=0,"-",IF(COUNTIFS(Detalhamento!A9:A329,A147,Detalhamento!J9:J329,"Pendente")&gt;0,"Pendente",IF(COUNTIFS(Detalhamento!A9:A329,A147,Detalhamento!J9:J329,"OK")&gt;0,"OK","-")))</f>
        <v>-</v>
      </c>
      <c r="J147" s="117" t="str">
        <f>IF(COUNTIF(Detalhamento!A9:A329,A147)=0,"-",IF(COUNTIFS(Detalhamento!A9:A329,A147,Detalhamento!K9:K329,"Pendente")&gt;0,"Pendente",IF(COUNTIFS(Detalhamento!A9:A329,A147,Detalhamento!K9:K329,"OK")&gt;0,"OK","-")))</f>
        <v>-</v>
      </c>
      <c r="K147" s="117" t="str">
        <f>IF(COUNTIF(Detalhamento!A9:A329,A147)=0,"-",IF(COUNTIFS(Detalhamento!A9:A329,A147,Detalhamento!L9:L329,"Pendente")&gt;0,"Pendente",IF(COUNTIFS(Detalhamento!A9:A329,A147,Detalhamento!L9:L329,"OK")&gt;0,"OK","-")))</f>
        <v>-</v>
      </c>
      <c r="L147" s="117" t="str">
        <f>IF(COUNTIF(Detalhamento!A9:A329,A147)=0,"-",IF(COUNTIFS(Detalhamento!A9:A329,A147,Detalhamento!M9:M329,"Pendente")&gt;0,"Pendente",IF(COUNTIFS(Detalhamento!A9:A329,A147,Detalhamento!M9:M329,"OK")&gt;0,"OK","-")))</f>
        <v>-</v>
      </c>
      <c r="M147" s="117" t="str">
        <f>IF(COUNTIF(Detalhamento!A9:A329,A147)=0,"-",IF(COUNTIFS(Detalhamento!A9:A329,A147,Detalhamento!N9:N329,"Pendente")&gt;0,"Pendente",IF(COUNTIFS(Detalhamento!A9:A329,A147,Detalhamento!N9:N329,"OK")&gt;0,"OK","-")))</f>
        <v>-</v>
      </c>
      <c r="N147" s="118"/>
      <c r="O147" s="119" t="s">
        <v>230</v>
      </c>
      <c r="P147" s="15">
        <f>IF(A147="",0,COUNTIF(Detalhamento!A9:A329,A147))</f>
        <v>0</v>
      </c>
      <c r="Q147" s="15">
        <f>IF(A147="",0,COUNTIFS(Detalhamento!A9:A329,A147,Detalhamento!H9:H329,"Concluído"))</f>
        <v>0</v>
      </c>
      <c r="R147" s="120" t="str">
        <f t="shared" si="2"/>
        <v/>
      </c>
    </row>
    <row r="148">
      <c r="A148" s="111" t="s">
        <v>370</v>
      </c>
      <c r="B148" s="112" t="s">
        <v>292</v>
      </c>
      <c r="C148" s="113" t="s">
        <v>198</v>
      </c>
      <c r="D148" s="114">
        <v>46307.0</v>
      </c>
      <c r="E148" s="114">
        <v>46310.0</v>
      </c>
      <c r="F148" s="115" t="str">
        <f t="shared" si="1"/>
        <v>A iniciar</v>
      </c>
      <c r="G148" s="115"/>
      <c r="H148" s="116"/>
      <c r="I148" s="117" t="str">
        <f>IF(COUNTIF(Detalhamento!A9:A329,A148)=0,"-",IF(COUNTIFS(Detalhamento!A9:A329,A148,Detalhamento!J9:J329,"Pendente")&gt;0,"Pendente",IF(COUNTIFS(Detalhamento!A9:A329,A148,Detalhamento!J9:J329,"OK")&gt;0,"OK","-")))</f>
        <v>-</v>
      </c>
      <c r="J148" s="117" t="str">
        <f>IF(COUNTIF(Detalhamento!A9:A329,A148)=0,"-",IF(COUNTIFS(Detalhamento!A9:A329,A148,Detalhamento!K9:K329,"Pendente")&gt;0,"Pendente",IF(COUNTIFS(Detalhamento!A9:A329,A148,Detalhamento!K9:K329,"OK")&gt;0,"OK","-")))</f>
        <v>-</v>
      </c>
      <c r="K148" s="117" t="str">
        <f>IF(COUNTIF(Detalhamento!A9:A329,A148)=0,"-",IF(COUNTIFS(Detalhamento!A9:A329,A148,Detalhamento!L9:L329,"Pendente")&gt;0,"Pendente",IF(COUNTIFS(Detalhamento!A9:A329,A148,Detalhamento!L9:L329,"OK")&gt;0,"OK","-")))</f>
        <v>-</v>
      </c>
      <c r="L148" s="117" t="str">
        <f>IF(COUNTIF(Detalhamento!A9:A329,A148)=0,"-",IF(COUNTIFS(Detalhamento!A9:A329,A148,Detalhamento!M9:M329,"Pendente")&gt;0,"Pendente",IF(COUNTIFS(Detalhamento!A9:A329,A148,Detalhamento!M9:M329,"OK")&gt;0,"OK","-")))</f>
        <v>-</v>
      </c>
      <c r="M148" s="117" t="str">
        <f>IF(COUNTIF(Detalhamento!A9:A329,A148)=0,"-",IF(COUNTIFS(Detalhamento!A9:A329,A148,Detalhamento!N9:N329,"Pendente")&gt;0,"Pendente",IF(COUNTIFS(Detalhamento!A9:A329,A148,Detalhamento!N9:N329,"OK")&gt;0,"OK","-")))</f>
        <v>-</v>
      </c>
      <c r="N148" s="118"/>
      <c r="O148" s="119" t="s">
        <v>230</v>
      </c>
      <c r="P148" s="15">
        <f>IF(A148="",0,COUNTIF(Detalhamento!A9:A329,A148))</f>
        <v>0</v>
      </c>
      <c r="Q148" s="15">
        <f>IF(A148="",0,COUNTIFS(Detalhamento!A9:A329,A148,Detalhamento!H9:H329,"Concluído"))</f>
        <v>0</v>
      </c>
      <c r="R148" s="120" t="str">
        <f t="shared" si="2"/>
        <v/>
      </c>
    </row>
    <row r="149" ht="28.5" customHeight="1">
      <c r="A149" s="111" t="s">
        <v>371</v>
      </c>
      <c r="B149" s="112" t="s">
        <v>302</v>
      </c>
      <c r="C149" s="113" t="s">
        <v>198</v>
      </c>
      <c r="D149" s="114">
        <v>46327.0</v>
      </c>
      <c r="E149" s="114">
        <v>46352.0</v>
      </c>
      <c r="F149" s="115" t="str">
        <f t="shared" si="1"/>
        <v>A iniciar</v>
      </c>
      <c r="G149" s="115"/>
      <c r="H149" s="116"/>
      <c r="I149" s="117" t="str">
        <f>IF(COUNTIF(Detalhamento!A9:A329,A149)=0,"-",IF(COUNTIFS(Detalhamento!A9:A329,A149,Detalhamento!J9:J329,"Pendente")&gt;0,"Pendente",IF(COUNTIFS(Detalhamento!A9:A329,A149,Detalhamento!J9:J329,"OK")&gt;0,"OK","-")))</f>
        <v>-</v>
      </c>
      <c r="J149" s="117" t="str">
        <f>IF(COUNTIF(Detalhamento!A9:A329,A149)=0,"-",IF(COUNTIFS(Detalhamento!A9:A329,A149,Detalhamento!K9:K329,"Pendente")&gt;0,"Pendente",IF(COUNTIFS(Detalhamento!A9:A329,A149,Detalhamento!K9:K329,"OK")&gt;0,"OK","-")))</f>
        <v>-</v>
      </c>
      <c r="K149" s="117" t="str">
        <f>IF(COUNTIF(Detalhamento!A9:A329,A149)=0,"-",IF(COUNTIFS(Detalhamento!A9:A329,A149,Detalhamento!L9:L329,"Pendente")&gt;0,"Pendente",IF(COUNTIFS(Detalhamento!A9:A329,A149,Detalhamento!L9:L329,"OK")&gt;0,"OK","-")))</f>
        <v>-</v>
      </c>
      <c r="L149" s="117" t="str">
        <f>IF(COUNTIF(Detalhamento!A9:A329,A149)=0,"-",IF(COUNTIFS(Detalhamento!A9:A329,A149,Detalhamento!M9:M329,"Pendente")&gt;0,"Pendente",IF(COUNTIFS(Detalhamento!A9:A329,A149,Detalhamento!M9:M329,"OK")&gt;0,"OK","-")))</f>
        <v>-</v>
      </c>
      <c r="M149" s="117" t="str">
        <f>IF(COUNTIF(Detalhamento!A9:A329,A149)=0,"-",IF(COUNTIFS(Detalhamento!A9:A329,A149,Detalhamento!N9:N329,"Pendente")&gt;0,"Pendente",IF(COUNTIFS(Detalhamento!A9:A329,A149,Detalhamento!N9:N329,"OK")&gt;0,"OK","-")))</f>
        <v>-</v>
      </c>
      <c r="N149" s="118"/>
      <c r="O149" s="119" t="s">
        <v>230</v>
      </c>
      <c r="P149" s="15">
        <f>IF(A149="",0,COUNTIF(Detalhamento!A9:A329,A149))</f>
        <v>0</v>
      </c>
      <c r="Q149" s="15">
        <f>IF(A149="",0,COUNTIFS(Detalhamento!A9:A329,A149,Detalhamento!H9:H329,"Concluído"))</f>
        <v>0</v>
      </c>
      <c r="R149" s="120" t="str">
        <f t="shared" si="2"/>
        <v/>
      </c>
    </row>
    <row r="150" ht="41.25" customHeight="1">
      <c r="A150" s="111" t="s">
        <v>372</v>
      </c>
      <c r="B150" s="112" t="s">
        <v>304</v>
      </c>
      <c r="C150" s="113" t="s">
        <v>198</v>
      </c>
      <c r="D150" s="114">
        <v>46313.0</v>
      </c>
      <c r="E150" s="114">
        <v>46317.0</v>
      </c>
      <c r="F150" s="115" t="str">
        <f t="shared" si="1"/>
        <v>A iniciar</v>
      </c>
      <c r="G150" s="115"/>
      <c r="H150" s="116"/>
      <c r="I150" s="117" t="str">
        <f>IF(COUNTIF(Detalhamento!A9:A329,A150)=0,"-",IF(COUNTIFS(Detalhamento!A9:A329,A150,Detalhamento!J9:J329,"Pendente")&gt;0,"Pendente",IF(COUNTIFS(Detalhamento!A9:A329,A150,Detalhamento!J9:J329,"OK")&gt;0,"OK","-")))</f>
        <v>-</v>
      </c>
      <c r="J150" s="117" t="str">
        <f>IF(COUNTIF(Detalhamento!A9:A329,A150)=0,"-",IF(COUNTIFS(Detalhamento!A9:A329,A150,Detalhamento!K9:K329,"Pendente")&gt;0,"Pendente",IF(COUNTIFS(Detalhamento!A9:A329,A150,Detalhamento!K9:K329,"OK")&gt;0,"OK","-")))</f>
        <v>-</v>
      </c>
      <c r="K150" s="117" t="str">
        <f>IF(COUNTIF(Detalhamento!A9:A329,A150)=0,"-",IF(COUNTIFS(Detalhamento!A9:A329,A150,Detalhamento!L9:L329,"Pendente")&gt;0,"Pendente",IF(COUNTIFS(Detalhamento!A9:A329,A150,Detalhamento!L9:L329,"OK")&gt;0,"OK","-")))</f>
        <v>-</v>
      </c>
      <c r="L150" s="117" t="str">
        <f>IF(COUNTIF(Detalhamento!A9:A329,A150)=0,"-",IF(COUNTIFS(Detalhamento!A9:A329,A150,Detalhamento!M9:M329,"Pendente")&gt;0,"Pendente",IF(COUNTIFS(Detalhamento!A9:A329,A150,Detalhamento!M9:M329,"OK")&gt;0,"OK","-")))</f>
        <v>-</v>
      </c>
      <c r="M150" s="117" t="str">
        <f>IF(COUNTIF(Detalhamento!A9:A329,A150)=0,"-",IF(COUNTIFS(Detalhamento!A9:A329,A150,Detalhamento!N9:N329,"Pendente")&gt;0,"Pendente",IF(COUNTIFS(Detalhamento!A9:A329,A150,Detalhamento!N9:N329,"OK")&gt;0,"OK","-")))</f>
        <v>-</v>
      </c>
      <c r="N150" s="118"/>
      <c r="O150" s="119" t="s">
        <v>230</v>
      </c>
      <c r="P150" s="15">
        <f>IF(A150="",0,COUNTIF(Detalhamento!A9:A329,A150))</f>
        <v>0</v>
      </c>
      <c r="Q150" s="15">
        <f>IF(A150="",0,COUNTIFS(Detalhamento!A9:A329,A150,Detalhamento!H9:H329,"Concluído"))</f>
        <v>0</v>
      </c>
      <c r="R150" s="120" t="str">
        <f t="shared" si="2"/>
        <v/>
      </c>
    </row>
    <row r="151" ht="103.5" customHeight="1">
      <c r="A151" s="111" t="s">
        <v>373</v>
      </c>
      <c r="B151" s="112" t="s">
        <v>306</v>
      </c>
      <c r="C151" s="113" t="s">
        <v>198</v>
      </c>
      <c r="D151" s="114">
        <v>46320.0</v>
      </c>
      <c r="E151" s="114">
        <v>46324.0</v>
      </c>
      <c r="F151" s="115" t="str">
        <f t="shared" si="1"/>
        <v>A iniciar</v>
      </c>
      <c r="G151" s="115"/>
      <c r="H151" s="116"/>
      <c r="I151" s="117" t="str">
        <f>IF(COUNTIF(Detalhamento!A9:A329,A151)=0,"-",IF(COUNTIFS(Detalhamento!A9:A329,A151,Detalhamento!J9:J329,"Pendente")&gt;0,"Pendente",IF(COUNTIFS(Detalhamento!A9:A329,A151,Detalhamento!J9:J329,"OK")&gt;0,"OK","-")))</f>
        <v>-</v>
      </c>
      <c r="J151" s="117" t="str">
        <f>IF(COUNTIF(Detalhamento!A9:A329,A151)=0,"-",IF(COUNTIFS(Detalhamento!A9:A329,A151,Detalhamento!K9:K329,"Pendente")&gt;0,"Pendente",IF(COUNTIFS(Detalhamento!A9:A329,A151,Detalhamento!K9:K329,"OK")&gt;0,"OK","-")))</f>
        <v>-</v>
      </c>
      <c r="K151" s="117" t="str">
        <f>IF(COUNTIF(Detalhamento!A9:A329,A151)=0,"-",IF(COUNTIFS(Detalhamento!A9:A329,A151,Detalhamento!L9:L329,"Pendente")&gt;0,"Pendente",IF(COUNTIFS(Detalhamento!A9:A329,A151,Detalhamento!L9:L329,"OK")&gt;0,"OK","-")))</f>
        <v>-</v>
      </c>
      <c r="L151" s="117" t="str">
        <f>IF(COUNTIF(Detalhamento!A9:A329,A151)=0,"-",IF(COUNTIFS(Detalhamento!A9:A329,A151,Detalhamento!M9:M329,"Pendente")&gt;0,"Pendente",IF(COUNTIFS(Detalhamento!A9:A329,A151,Detalhamento!M9:M329,"OK")&gt;0,"OK","-")))</f>
        <v>-</v>
      </c>
      <c r="M151" s="117" t="str">
        <f>IF(COUNTIF(Detalhamento!A9:A329,A151)=0,"-",IF(COUNTIFS(Detalhamento!A9:A329,A151,Detalhamento!N9:N329,"Pendente")&gt;0,"Pendente",IF(COUNTIFS(Detalhamento!A9:A329,A151,Detalhamento!N9:N329,"OK")&gt;0,"OK","-")))</f>
        <v>-</v>
      </c>
      <c r="N151" s="118"/>
      <c r="O151" s="119" t="s">
        <v>230</v>
      </c>
      <c r="P151" s="15">
        <f>IF(A151="",0,COUNTIF(Detalhamento!A9:A329,A151))</f>
        <v>0</v>
      </c>
      <c r="Q151" s="15">
        <f>IF(A151="",0,COUNTIFS(Detalhamento!A9:A329,A151,Detalhamento!H9:H329,"Concluído"))</f>
        <v>0</v>
      </c>
      <c r="R151" s="120" t="str">
        <f t="shared" si="2"/>
        <v/>
      </c>
    </row>
    <row r="152">
      <c r="A152" s="111" t="s">
        <v>374</v>
      </c>
      <c r="B152" s="112" t="s">
        <v>309</v>
      </c>
      <c r="C152" s="113" t="s">
        <v>198</v>
      </c>
      <c r="D152" s="114">
        <v>46327.0</v>
      </c>
      <c r="E152" s="114">
        <v>46345.0</v>
      </c>
      <c r="F152" s="115" t="str">
        <f t="shared" si="1"/>
        <v>A iniciar</v>
      </c>
      <c r="G152" s="115"/>
      <c r="H152" s="116"/>
      <c r="I152" s="117" t="str">
        <f>IF(COUNTIF(Detalhamento!A9:A329,A152)=0,"-",IF(COUNTIFS(Detalhamento!A9:A329,A152,Detalhamento!J9:J329,"Pendente")&gt;0,"Pendente",IF(COUNTIFS(Detalhamento!A9:A329,A152,Detalhamento!J9:J329,"OK")&gt;0,"OK","-")))</f>
        <v>-</v>
      </c>
      <c r="J152" s="117" t="str">
        <f>IF(COUNTIF(Detalhamento!A9:A329,A152)=0,"-",IF(COUNTIFS(Detalhamento!A9:A329,A152,Detalhamento!K9:K329,"Pendente")&gt;0,"Pendente",IF(COUNTIFS(Detalhamento!A9:A329,A152,Detalhamento!K9:K329,"OK")&gt;0,"OK","-")))</f>
        <v>-</v>
      </c>
      <c r="K152" s="117" t="str">
        <f>IF(COUNTIF(Detalhamento!A9:A329,A152)=0,"-",IF(COUNTIFS(Detalhamento!A9:A329,A152,Detalhamento!L9:L329,"Pendente")&gt;0,"Pendente",IF(COUNTIFS(Detalhamento!A9:A329,A152,Detalhamento!L9:L329,"OK")&gt;0,"OK","-")))</f>
        <v>-</v>
      </c>
      <c r="L152" s="117" t="str">
        <f>IF(COUNTIF(Detalhamento!A9:A329,A152)=0,"-",IF(COUNTIFS(Detalhamento!A9:A329,A152,Detalhamento!M9:M329,"Pendente")&gt;0,"Pendente",IF(COUNTIFS(Detalhamento!A9:A329,A152,Detalhamento!M9:M329,"OK")&gt;0,"OK","-")))</f>
        <v>-</v>
      </c>
      <c r="M152" s="117" t="str">
        <f>IF(COUNTIF(Detalhamento!A9:A329,A152)=0,"-",IF(COUNTIFS(Detalhamento!A9:A329,A152,Detalhamento!N9:N329,"Pendente")&gt;0,"Pendente",IF(COUNTIFS(Detalhamento!A9:A329,A152,Detalhamento!N9:N329,"OK")&gt;0,"OK","-")))</f>
        <v>-</v>
      </c>
      <c r="N152" s="118"/>
      <c r="O152" s="119" t="s">
        <v>230</v>
      </c>
      <c r="P152" s="15">
        <f>IF(A152="",0,COUNTIF(Detalhamento!A9:A329,A152))</f>
        <v>0</v>
      </c>
      <c r="Q152" s="15">
        <f>IF(A152="",0,COUNTIFS(Detalhamento!A9:A329,A152,Detalhamento!H9:H329,"Concluído"))</f>
        <v>0</v>
      </c>
      <c r="R152" s="120" t="str">
        <f t="shared" si="2"/>
        <v/>
      </c>
    </row>
    <row r="153" ht="28.5" customHeight="1">
      <c r="A153" s="111" t="s">
        <v>375</v>
      </c>
      <c r="B153" s="112" t="s">
        <v>310</v>
      </c>
      <c r="C153" s="113" t="s">
        <v>198</v>
      </c>
      <c r="D153" s="114">
        <v>46327.0</v>
      </c>
      <c r="E153" s="114">
        <v>46345.0</v>
      </c>
      <c r="F153" s="115" t="str">
        <f t="shared" si="1"/>
        <v>A iniciar</v>
      </c>
      <c r="G153" s="115"/>
      <c r="H153" s="116"/>
      <c r="I153" s="117" t="str">
        <f>IF(COUNTIF(Detalhamento!A9:A329,A153)=0,"-",IF(COUNTIFS(Detalhamento!A9:A329,A153,Detalhamento!J9:J329,"Pendente")&gt;0,"Pendente",IF(COUNTIFS(Detalhamento!A9:A329,A153,Detalhamento!J9:J329,"OK")&gt;0,"OK","-")))</f>
        <v>-</v>
      </c>
      <c r="J153" s="117" t="str">
        <f>IF(COUNTIF(Detalhamento!A9:A329,A153)=0,"-",IF(COUNTIFS(Detalhamento!A9:A329,A153,Detalhamento!K9:K329,"Pendente")&gt;0,"Pendente",IF(COUNTIFS(Detalhamento!A9:A329,A153,Detalhamento!K9:K329,"OK")&gt;0,"OK","-")))</f>
        <v>-</v>
      </c>
      <c r="K153" s="117" t="str">
        <f>IF(COUNTIF(Detalhamento!A9:A329,A153)=0,"-",IF(COUNTIFS(Detalhamento!A9:A329,A153,Detalhamento!L9:L329,"Pendente")&gt;0,"Pendente",IF(COUNTIFS(Detalhamento!A9:A329,A153,Detalhamento!L9:L329,"OK")&gt;0,"OK","-")))</f>
        <v>-</v>
      </c>
      <c r="L153" s="117" t="str">
        <f>IF(COUNTIF(Detalhamento!A9:A329,A153)=0,"-",IF(COUNTIFS(Detalhamento!A9:A329,A153,Detalhamento!M9:M329,"Pendente")&gt;0,"Pendente",IF(COUNTIFS(Detalhamento!A9:A329,A153,Detalhamento!M9:M329,"OK")&gt;0,"OK","-")))</f>
        <v>-</v>
      </c>
      <c r="M153" s="117" t="str">
        <f>IF(COUNTIF(Detalhamento!A9:A329,A153)=0,"-",IF(COUNTIFS(Detalhamento!A9:A329,A153,Detalhamento!N9:N329,"Pendente")&gt;0,"Pendente",IF(COUNTIFS(Detalhamento!A9:A329,A153,Detalhamento!N9:N329,"OK")&gt;0,"OK","-")))</f>
        <v>-</v>
      </c>
      <c r="N153" s="118"/>
      <c r="O153" s="119" t="s">
        <v>230</v>
      </c>
      <c r="P153" s="15">
        <f>IF(A153="",0,COUNTIF(Detalhamento!A9:A329,A153))</f>
        <v>0</v>
      </c>
      <c r="Q153" s="15">
        <f>IF(A153="",0,COUNTIFS(Detalhamento!A9:A329,A153,Detalhamento!H9:H329,"Concluído"))</f>
        <v>0</v>
      </c>
      <c r="R153" s="120" t="str">
        <f t="shared" si="2"/>
        <v/>
      </c>
    </row>
    <row r="154" ht="109.5" customHeight="1">
      <c r="A154" s="111" t="s">
        <v>376</v>
      </c>
      <c r="B154" s="112" t="s">
        <v>314</v>
      </c>
      <c r="C154" s="113" t="s">
        <v>198</v>
      </c>
      <c r="D154" s="114">
        <v>46327.0</v>
      </c>
      <c r="E154" s="114">
        <v>46373.0</v>
      </c>
      <c r="F154" s="115" t="str">
        <f t="shared" si="1"/>
        <v>A iniciar</v>
      </c>
      <c r="G154" s="115"/>
      <c r="H154" s="116"/>
      <c r="I154" s="117" t="str">
        <f>IF(COUNTIF(Detalhamento!A9:A329,A154)=0,"-",IF(COUNTIFS(Detalhamento!A9:A329,A154,Detalhamento!J9:J329,"Pendente")&gt;0,"Pendente",IF(COUNTIFS(Detalhamento!A9:A329,A154,Detalhamento!J9:J329,"OK")&gt;0,"OK","-")))</f>
        <v>-</v>
      </c>
      <c r="J154" s="117" t="str">
        <f>IF(COUNTIF(Detalhamento!A9:A329,A154)=0,"-",IF(COUNTIFS(Detalhamento!A9:A329,A154,Detalhamento!K9:K329,"Pendente")&gt;0,"Pendente",IF(COUNTIFS(Detalhamento!A9:A329,A154,Detalhamento!K9:K329,"OK")&gt;0,"OK","-")))</f>
        <v>-</v>
      </c>
      <c r="K154" s="117" t="str">
        <f>IF(COUNTIF(Detalhamento!A9:A329,A154)=0,"-",IF(COUNTIFS(Detalhamento!A9:A329,A154,Detalhamento!L9:L329,"Pendente")&gt;0,"Pendente",IF(COUNTIFS(Detalhamento!A9:A329,A154,Detalhamento!L9:L329,"OK")&gt;0,"OK","-")))</f>
        <v>-</v>
      </c>
      <c r="L154" s="117" t="str">
        <f>IF(COUNTIF(Detalhamento!A9:A329,A154)=0,"-",IF(COUNTIFS(Detalhamento!A9:A329,A154,Detalhamento!M9:M329,"Pendente")&gt;0,"Pendente",IF(COUNTIFS(Detalhamento!A9:A329,A154,Detalhamento!M9:M329,"OK")&gt;0,"OK","-")))</f>
        <v>-</v>
      </c>
      <c r="M154" s="117" t="str">
        <f>IF(COUNTIF(Detalhamento!A9:A329,A154)=0,"-",IF(COUNTIFS(Detalhamento!A9:A329,A154,Detalhamento!N9:N329,"Pendente")&gt;0,"Pendente",IF(COUNTIFS(Detalhamento!A9:A329,A154,Detalhamento!N9:N329,"OK")&gt;0,"OK","-")))</f>
        <v>-</v>
      </c>
      <c r="N154" s="118"/>
      <c r="O154" s="119" t="s">
        <v>230</v>
      </c>
      <c r="P154" s="15">
        <f>IF(A154="",0,COUNTIF(Detalhamento!A9:A329,A154))</f>
        <v>0</v>
      </c>
      <c r="Q154" s="15">
        <f>IF(A154="",0,COUNTIFS(Detalhamento!A9:A329,A154,Detalhamento!H9:H329,"Concluído"))</f>
        <v>0</v>
      </c>
      <c r="R154" s="120" t="str">
        <f t="shared" si="2"/>
        <v/>
      </c>
    </row>
    <row r="155" ht="109.5" customHeight="1">
      <c r="A155" s="111" t="s">
        <v>377</v>
      </c>
      <c r="B155" s="112" t="s">
        <v>315</v>
      </c>
      <c r="C155" s="113" t="s">
        <v>198</v>
      </c>
      <c r="D155" s="114">
        <v>46327.0</v>
      </c>
      <c r="E155" s="114">
        <v>46373.0</v>
      </c>
      <c r="F155" s="115" t="str">
        <f t="shared" si="1"/>
        <v>A iniciar</v>
      </c>
      <c r="G155" s="115"/>
      <c r="H155" s="116"/>
      <c r="I155" s="117" t="str">
        <f>IF(COUNTIF(Detalhamento!A9:A329,A155)=0,"-",IF(COUNTIFS(Detalhamento!A9:A329,A155,Detalhamento!J9:J329,"Pendente")&gt;0,"Pendente",IF(COUNTIFS(Detalhamento!A9:A329,A155,Detalhamento!J9:J329,"OK")&gt;0,"OK","-")))</f>
        <v>-</v>
      </c>
      <c r="J155" s="117" t="str">
        <f>IF(COUNTIF(Detalhamento!A9:A329,A155)=0,"-",IF(COUNTIFS(Detalhamento!A9:A329,A155,Detalhamento!K9:K329,"Pendente")&gt;0,"Pendente",IF(COUNTIFS(Detalhamento!A9:A329,A155,Detalhamento!K9:K329,"OK")&gt;0,"OK","-")))</f>
        <v>-</v>
      </c>
      <c r="K155" s="117" t="str">
        <f>IF(COUNTIF(Detalhamento!A9:A329,A155)=0,"-",IF(COUNTIFS(Detalhamento!A9:A329,A155,Detalhamento!L9:L329,"Pendente")&gt;0,"Pendente",IF(COUNTIFS(Detalhamento!A9:A329,A155,Detalhamento!L9:L329,"OK")&gt;0,"OK","-")))</f>
        <v>-</v>
      </c>
      <c r="L155" s="117" t="str">
        <f>IF(COUNTIF(Detalhamento!A9:A329,A155)=0,"-",IF(COUNTIFS(Detalhamento!A9:A329,A155,Detalhamento!M9:M329,"Pendente")&gt;0,"Pendente",IF(COUNTIFS(Detalhamento!A9:A329,A155,Detalhamento!M9:M329,"OK")&gt;0,"OK","-")))</f>
        <v>-</v>
      </c>
      <c r="M155" s="117" t="str">
        <f>IF(COUNTIF(Detalhamento!A9:A329,A155)=0,"-",IF(COUNTIFS(Detalhamento!A9:A329,A155,Detalhamento!N9:N329,"Pendente")&gt;0,"Pendente",IF(COUNTIFS(Detalhamento!A9:A329,A155,Detalhamento!N9:N329,"OK")&gt;0,"OK","-")))</f>
        <v>-</v>
      </c>
      <c r="N155" s="118"/>
      <c r="O155" s="119" t="s">
        <v>230</v>
      </c>
      <c r="P155" s="15">
        <f>IF(A155="",0,COUNTIF(Detalhamento!A9:A329,A155))</f>
        <v>0</v>
      </c>
      <c r="Q155" s="15">
        <f>IF(A155="",0,COUNTIFS(Detalhamento!A9:A329,A155,Detalhamento!H9:H329,"Concluído"))</f>
        <v>0</v>
      </c>
      <c r="R155" s="120" t="str">
        <f t="shared" si="2"/>
        <v/>
      </c>
    </row>
    <row r="156">
      <c r="A156" s="111" t="s">
        <v>378</v>
      </c>
      <c r="B156" s="112" t="s">
        <v>330</v>
      </c>
      <c r="C156" s="113" t="s">
        <v>198</v>
      </c>
      <c r="D156" s="114">
        <v>46334.0</v>
      </c>
      <c r="E156" s="114">
        <v>46345.0</v>
      </c>
      <c r="F156" s="115" t="str">
        <f t="shared" si="1"/>
        <v>A iniciar</v>
      </c>
      <c r="G156" s="115"/>
      <c r="H156" s="116"/>
      <c r="I156" s="117" t="str">
        <f>IF(COUNTIF(Detalhamento!A9:A329,A156)=0,"-",IF(COUNTIFS(Detalhamento!A9:A329,A156,Detalhamento!J9:J329,"Pendente")&gt;0,"Pendente",IF(COUNTIFS(Detalhamento!A9:A329,A156,Detalhamento!J9:J329,"OK")&gt;0,"OK","-")))</f>
        <v>-</v>
      </c>
      <c r="J156" s="117" t="str">
        <f>IF(COUNTIF(Detalhamento!A9:A329,A156)=0,"-",IF(COUNTIFS(Detalhamento!A9:A329,A156,Detalhamento!K9:K329,"Pendente")&gt;0,"Pendente",IF(COUNTIFS(Detalhamento!A9:A329,A156,Detalhamento!K9:K329,"OK")&gt;0,"OK","-")))</f>
        <v>-</v>
      </c>
      <c r="K156" s="117" t="str">
        <f>IF(COUNTIF(Detalhamento!A9:A329,A156)=0,"-",IF(COUNTIFS(Detalhamento!A9:A329,A156,Detalhamento!L9:L329,"Pendente")&gt;0,"Pendente",IF(COUNTIFS(Detalhamento!A9:A329,A156,Detalhamento!L9:L329,"OK")&gt;0,"OK","-")))</f>
        <v>-</v>
      </c>
      <c r="L156" s="117" t="str">
        <f>IF(COUNTIF(Detalhamento!A9:A329,A156)=0,"-",IF(COUNTIFS(Detalhamento!A9:A329,A156,Detalhamento!M9:M329,"Pendente")&gt;0,"Pendente",IF(COUNTIFS(Detalhamento!A9:A329,A156,Detalhamento!M9:M329,"OK")&gt;0,"OK","-")))</f>
        <v>-</v>
      </c>
      <c r="M156" s="117" t="str">
        <f>IF(COUNTIF(Detalhamento!A9:A329,A156)=0,"-",IF(COUNTIFS(Detalhamento!A9:A329,A156,Detalhamento!N9:N329,"Pendente")&gt;0,"Pendente",IF(COUNTIFS(Detalhamento!A9:A329,A156,Detalhamento!N9:N329,"OK")&gt;0,"OK","-")))</f>
        <v>-</v>
      </c>
      <c r="N156" s="118"/>
      <c r="O156" s="119" t="s">
        <v>230</v>
      </c>
      <c r="P156" s="15">
        <f>IF(A156="",0,COUNTIF(Detalhamento!A9:A329,A156))</f>
        <v>0</v>
      </c>
      <c r="Q156" s="15">
        <f>IF(A156="",0,COUNTIFS(Detalhamento!A9:A329,A156,Detalhamento!H9:H329,"Concluído"))</f>
        <v>0</v>
      </c>
      <c r="R156" s="120" t="str">
        <f t="shared" si="2"/>
        <v/>
      </c>
    </row>
    <row r="157">
      <c r="A157" s="111" t="s">
        <v>379</v>
      </c>
      <c r="B157" s="112" t="s">
        <v>318</v>
      </c>
      <c r="C157" s="113" t="s">
        <v>198</v>
      </c>
      <c r="D157" s="114">
        <v>46334.0</v>
      </c>
      <c r="E157" s="114">
        <v>46366.0</v>
      </c>
      <c r="F157" s="115" t="str">
        <f t="shared" si="1"/>
        <v>A iniciar</v>
      </c>
      <c r="G157" s="115"/>
      <c r="H157" s="116"/>
      <c r="I157" s="117" t="str">
        <f>IF(COUNTIF(Detalhamento!A9:A329,A157)=0,"-",IF(COUNTIFS(Detalhamento!A9:A329,A157,Detalhamento!J9:J329,"Pendente")&gt;0,"Pendente",IF(COUNTIFS(Detalhamento!A9:A329,A157,Detalhamento!J9:J329,"OK")&gt;0,"OK","-")))</f>
        <v>-</v>
      </c>
      <c r="J157" s="117" t="str">
        <f>IF(COUNTIF(Detalhamento!A9:A329,A157)=0,"-",IF(COUNTIFS(Detalhamento!A9:A329,A157,Detalhamento!K9:K329,"Pendente")&gt;0,"Pendente",IF(COUNTIFS(Detalhamento!A9:A329,A157,Detalhamento!K9:K329,"OK")&gt;0,"OK","-")))</f>
        <v>-</v>
      </c>
      <c r="K157" s="117" t="str">
        <f>IF(COUNTIF(Detalhamento!A9:A329,A157)=0,"-",IF(COUNTIFS(Detalhamento!A9:A329,A157,Detalhamento!L9:L329,"Pendente")&gt;0,"Pendente",IF(COUNTIFS(Detalhamento!A9:A329,A157,Detalhamento!L9:L329,"OK")&gt;0,"OK","-")))</f>
        <v>-</v>
      </c>
      <c r="L157" s="117" t="str">
        <f>IF(COUNTIF(Detalhamento!A9:A329,A157)=0,"-",IF(COUNTIFS(Detalhamento!A9:A329,A157,Detalhamento!M9:M329,"Pendente")&gt;0,"Pendente",IF(COUNTIFS(Detalhamento!A9:A329,A157,Detalhamento!M9:M329,"OK")&gt;0,"OK","-")))</f>
        <v>-</v>
      </c>
      <c r="M157" s="117" t="str">
        <f>IF(COUNTIF(Detalhamento!A9:A329,A157)=0,"-",IF(COUNTIFS(Detalhamento!A9:A329,A157,Detalhamento!N9:N329,"Pendente")&gt;0,"Pendente",IF(COUNTIFS(Detalhamento!A9:A329,A157,Detalhamento!N9:N329,"OK")&gt;0,"OK","-")))</f>
        <v>-</v>
      </c>
      <c r="N157" s="118"/>
      <c r="O157" s="119" t="s">
        <v>230</v>
      </c>
      <c r="P157" s="15">
        <f>IF(A157="",0,COUNTIF(Detalhamento!A9:A329,A157))</f>
        <v>0</v>
      </c>
      <c r="Q157" s="15">
        <f>IF(A157="",0,COUNTIFS(Detalhamento!A9:A329,A157,Detalhamento!H9:H329,"Concluído"))</f>
        <v>0</v>
      </c>
      <c r="R157" s="120" t="str">
        <f t="shared" si="2"/>
        <v/>
      </c>
    </row>
    <row r="158" ht="28.5" customHeight="1">
      <c r="A158" s="111" t="s">
        <v>380</v>
      </c>
      <c r="B158" s="112" t="s">
        <v>381</v>
      </c>
      <c r="C158" s="113" t="s">
        <v>198</v>
      </c>
      <c r="D158" s="114">
        <v>46334.0</v>
      </c>
      <c r="E158" s="114">
        <v>46366.0</v>
      </c>
      <c r="F158" s="115" t="str">
        <f t="shared" si="1"/>
        <v>A iniciar</v>
      </c>
      <c r="G158" s="115"/>
      <c r="H158" s="116"/>
      <c r="I158" s="117" t="str">
        <f>IF(COUNTIF(Detalhamento!A9:A329,A158)=0,"-",IF(COUNTIFS(Detalhamento!A9:A329,A158,Detalhamento!J9:J329,"Pendente")&gt;0,"Pendente",IF(COUNTIFS(Detalhamento!A9:A329,A158,Detalhamento!J9:J329,"OK")&gt;0,"OK","-")))</f>
        <v>-</v>
      </c>
      <c r="J158" s="117" t="str">
        <f>IF(COUNTIF(Detalhamento!A9:A329,A158)=0,"-",IF(COUNTIFS(Detalhamento!A9:A329,A158,Detalhamento!K9:K329,"Pendente")&gt;0,"Pendente",IF(COUNTIFS(Detalhamento!A9:A329,A158,Detalhamento!K9:K329,"OK")&gt;0,"OK","-")))</f>
        <v>-</v>
      </c>
      <c r="K158" s="117" t="str">
        <f>IF(COUNTIF(Detalhamento!A9:A329,A158)=0,"-",IF(COUNTIFS(Detalhamento!A9:A329,A158,Detalhamento!L9:L329,"Pendente")&gt;0,"Pendente",IF(COUNTIFS(Detalhamento!A9:A329,A158,Detalhamento!L9:L329,"OK")&gt;0,"OK","-")))</f>
        <v>-</v>
      </c>
      <c r="L158" s="117" t="str">
        <f>IF(COUNTIF(Detalhamento!A9:A329,A158)=0,"-",IF(COUNTIFS(Detalhamento!A9:A329,A158,Detalhamento!M9:M329,"Pendente")&gt;0,"Pendente",IF(COUNTIFS(Detalhamento!A9:A329,A158,Detalhamento!M9:M329,"OK")&gt;0,"OK","-")))</f>
        <v>-</v>
      </c>
      <c r="M158" s="117" t="str">
        <f>IF(COUNTIF(Detalhamento!A9:A329,A158)=0,"-",IF(COUNTIFS(Detalhamento!A9:A329,A158,Detalhamento!N9:N329,"Pendente")&gt;0,"Pendente",IF(COUNTIFS(Detalhamento!A9:A329,A158,Detalhamento!N9:N329,"OK")&gt;0,"OK","-")))</f>
        <v>-</v>
      </c>
      <c r="N158" s="118"/>
      <c r="O158" s="119" t="s">
        <v>230</v>
      </c>
      <c r="P158" s="15">
        <f>IF(A158="",0,COUNTIF(Detalhamento!A9:A329,A158))</f>
        <v>0</v>
      </c>
      <c r="Q158" s="15">
        <f>IF(A158="",0,COUNTIFS(Detalhamento!A9:A329,A158,Detalhamento!H9:H329,"Concluído"))</f>
        <v>0</v>
      </c>
      <c r="R158" s="120" t="str">
        <f t="shared" si="2"/>
        <v/>
      </c>
    </row>
    <row r="159" ht="109.5" customHeight="1">
      <c r="A159" s="111" t="s">
        <v>382</v>
      </c>
      <c r="B159" s="112" t="s">
        <v>383</v>
      </c>
      <c r="C159" s="113" t="s">
        <v>198</v>
      </c>
      <c r="D159" s="114">
        <v>46334.0</v>
      </c>
      <c r="E159" s="114">
        <v>46394.0</v>
      </c>
      <c r="F159" s="115" t="str">
        <f t="shared" si="1"/>
        <v>A iniciar</v>
      </c>
      <c r="G159" s="115"/>
      <c r="H159" s="116"/>
      <c r="I159" s="117" t="str">
        <f>IF(COUNTIF(Detalhamento!A9:A329,A159)=0,"-",IF(COUNTIFS(Detalhamento!A9:A329,A159,Detalhamento!J9:J329,"Pendente")&gt;0,"Pendente",IF(COUNTIFS(Detalhamento!A9:A329,A159,Detalhamento!J9:J329,"OK")&gt;0,"OK","-")))</f>
        <v>-</v>
      </c>
      <c r="J159" s="117" t="str">
        <f>IF(COUNTIF(Detalhamento!A9:A329,A159)=0,"-",IF(COUNTIFS(Detalhamento!A9:A329,A159,Detalhamento!K9:K329,"Pendente")&gt;0,"Pendente",IF(COUNTIFS(Detalhamento!A9:A329,A159,Detalhamento!K9:K329,"OK")&gt;0,"OK","-")))</f>
        <v>-</v>
      </c>
      <c r="K159" s="117" t="str">
        <f>IF(COUNTIF(Detalhamento!A9:A329,A159)=0,"-",IF(COUNTIFS(Detalhamento!A9:A329,A159,Detalhamento!L9:L329,"Pendente")&gt;0,"Pendente",IF(COUNTIFS(Detalhamento!A9:A329,A159,Detalhamento!L9:L329,"OK")&gt;0,"OK","-")))</f>
        <v>-</v>
      </c>
      <c r="L159" s="117" t="str">
        <f>IF(COUNTIF(Detalhamento!A9:A329,A159)=0,"-",IF(COUNTIFS(Detalhamento!A9:A329,A159,Detalhamento!M9:M329,"Pendente")&gt;0,"Pendente",IF(COUNTIFS(Detalhamento!A9:A329,A159,Detalhamento!M9:M329,"OK")&gt;0,"OK","-")))</f>
        <v>-</v>
      </c>
      <c r="M159" s="117" t="str">
        <f>IF(COUNTIF(Detalhamento!A9:A329,A159)=0,"-",IF(COUNTIFS(Detalhamento!A9:A329,A159,Detalhamento!N9:N329,"Pendente")&gt;0,"Pendente",IF(COUNTIFS(Detalhamento!A9:A329,A159,Detalhamento!N9:N329,"OK")&gt;0,"OK","-")))</f>
        <v>-</v>
      </c>
      <c r="N159" s="118"/>
      <c r="O159" s="119" t="s">
        <v>230</v>
      </c>
      <c r="P159" s="15">
        <f>IF(A159="",0,COUNTIF(Detalhamento!A9:A329,A159))</f>
        <v>0</v>
      </c>
      <c r="Q159" s="15">
        <f>IF(A159="",0,COUNTIFS(Detalhamento!A9:A329,A159,Detalhamento!H9:H329,"Concluído"))</f>
        <v>0</v>
      </c>
      <c r="R159" s="120" t="str">
        <f t="shared" si="2"/>
        <v/>
      </c>
    </row>
    <row r="160" ht="28.5" customHeight="1">
      <c r="A160" s="111" t="s">
        <v>384</v>
      </c>
      <c r="B160" s="112" t="s">
        <v>385</v>
      </c>
      <c r="C160" s="113" t="s">
        <v>199</v>
      </c>
      <c r="D160" s="114">
        <v>46173.0</v>
      </c>
      <c r="E160" s="114">
        <v>46184.0</v>
      </c>
      <c r="F160" s="115" t="str">
        <f t="shared" si="1"/>
        <v>Atrasado</v>
      </c>
      <c r="G160" s="115"/>
      <c r="H160" s="116"/>
      <c r="I160" s="117" t="str">
        <f>IF(COUNTIF(Detalhamento!A9:A329,A160)=0,"-",IF(COUNTIFS(Detalhamento!A9:A329,A160,Detalhamento!J9:J329,"Pendente")&gt;0,"Pendente",IF(COUNTIFS(Detalhamento!A9:A329,A160,Detalhamento!J9:J329,"OK")&gt;0,"OK","-")))</f>
        <v>-</v>
      </c>
      <c r="J160" s="117" t="str">
        <f>IF(COUNTIF(Detalhamento!A9:A329,A160)=0,"-",IF(COUNTIFS(Detalhamento!A9:A329,A160,Detalhamento!K9:K329,"Pendente")&gt;0,"Pendente",IF(COUNTIFS(Detalhamento!A9:A329,A160,Detalhamento!K9:K329,"OK")&gt;0,"OK","-")))</f>
        <v>-</v>
      </c>
      <c r="K160" s="117" t="str">
        <f>IF(COUNTIF(Detalhamento!A9:A329,A160)=0,"-",IF(COUNTIFS(Detalhamento!A9:A329,A160,Detalhamento!L9:L329,"Pendente")&gt;0,"Pendente",IF(COUNTIFS(Detalhamento!A9:A329,A160,Detalhamento!L9:L329,"OK")&gt;0,"OK","-")))</f>
        <v>-</v>
      </c>
      <c r="L160" s="117" t="str">
        <f>IF(COUNTIF(Detalhamento!A9:A329,A160)=0,"-",IF(COUNTIFS(Detalhamento!A9:A329,A160,Detalhamento!M9:M329,"Pendente")&gt;0,"Pendente",IF(COUNTIFS(Detalhamento!A9:A329,A160,Detalhamento!M9:M329,"OK")&gt;0,"OK","-")))</f>
        <v>-</v>
      </c>
      <c r="M160" s="117" t="str">
        <f>IF(COUNTIF(Detalhamento!A9:A329,A160)=0,"-",IF(COUNTIFS(Detalhamento!A9:A329,A160,Detalhamento!N9:N329,"Pendente")&gt;0,"Pendente",IF(COUNTIFS(Detalhamento!A9:A329,A160,Detalhamento!N9:N329,"OK")&gt;0,"OK","-")))</f>
        <v>-</v>
      </c>
      <c r="N160" s="118"/>
      <c r="O160" s="119" t="s">
        <v>230</v>
      </c>
      <c r="P160" s="15">
        <f>IF(A160="",0,COUNTIF(Detalhamento!A9:A329,A160))</f>
        <v>0</v>
      </c>
      <c r="Q160" s="15">
        <f>IF(A160="",0,COUNTIFS(Detalhamento!A9:A329,A160,Detalhamento!H9:H329,"Concluído"))</f>
        <v>0</v>
      </c>
      <c r="R160" s="120" t="str">
        <f t="shared" si="2"/>
        <v/>
      </c>
    </row>
    <row r="161">
      <c r="A161" s="111" t="s">
        <v>386</v>
      </c>
      <c r="B161" s="112" t="s">
        <v>387</v>
      </c>
      <c r="C161" s="113" t="s">
        <v>199</v>
      </c>
      <c r="D161" s="114">
        <v>46173.0</v>
      </c>
      <c r="E161" s="114">
        <v>46184.0</v>
      </c>
      <c r="F161" s="115" t="str">
        <f t="shared" si="1"/>
        <v>Atrasado</v>
      </c>
      <c r="G161" s="115"/>
      <c r="H161" s="116"/>
      <c r="I161" s="117" t="str">
        <f>IF(COUNTIF(Detalhamento!A9:A329,A161)=0,"-",IF(COUNTIFS(Detalhamento!A9:A329,A161,Detalhamento!J9:J329,"Pendente")&gt;0,"Pendente",IF(COUNTIFS(Detalhamento!A9:A329,A161,Detalhamento!J9:J329,"OK")&gt;0,"OK","-")))</f>
        <v>-</v>
      </c>
      <c r="J161" s="117" t="str">
        <f>IF(COUNTIF(Detalhamento!A9:A329,A161)=0,"-",IF(COUNTIFS(Detalhamento!A9:A329,A161,Detalhamento!K9:K329,"Pendente")&gt;0,"Pendente",IF(COUNTIFS(Detalhamento!A9:A329,A161,Detalhamento!K9:K329,"OK")&gt;0,"OK","-")))</f>
        <v>-</v>
      </c>
      <c r="K161" s="117" t="str">
        <f>IF(COUNTIF(Detalhamento!A9:A329,A161)=0,"-",IF(COUNTIFS(Detalhamento!A9:A329,A161,Detalhamento!L9:L329,"Pendente")&gt;0,"Pendente",IF(COUNTIFS(Detalhamento!A9:A329,A161,Detalhamento!L9:L329,"OK")&gt;0,"OK","-")))</f>
        <v>-</v>
      </c>
      <c r="L161" s="117" t="str">
        <f>IF(COUNTIF(Detalhamento!A9:A329,A161)=0,"-",IF(COUNTIFS(Detalhamento!A9:A329,A161,Detalhamento!M9:M329,"Pendente")&gt;0,"Pendente",IF(COUNTIFS(Detalhamento!A9:A329,A161,Detalhamento!M9:M329,"OK")&gt;0,"OK","-")))</f>
        <v>-</v>
      </c>
      <c r="M161" s="117" t="str">
        <f>IF(COUNTIF(Detalhamento!A9:A329,A161)=0,"-",IF(COUNTIFS(Detalhamento!A9:A329,A161,Detalhamento!N9:N329,"Pendente")&gt;0,"Pendente",IF(COUNTIFS(Detalhamento!A9:A329,A161,Detalhamento!N9:N329,"OK")&gt;0,"OK","-")))</f>
        <v>-</v>
      </c>
      <c r="N161" s="118"/>
      <c r="O161" s="119" t="s">
        <v>230</v>
      </c>
      <c r="P161" s="15">
        <f>IF(A161="",0,COUNTIF(Detalhamento!A9:A329,A161))</f>
        <v>0</v>
      </c>
      <c r="Q161" s="15">
        <f>IF(A161="",0,COUNTIFS(Detalhamento!A9:A329,A161,Detalhamento!H9:H329,"Concluído"))</f>
        <v>0</v>
      </c>
      <c r="R161" s="120" t="str">
        <f t="shared" si="2"/>
        <v/>
      </c>
    </row>
    <row r="162" ht="28.5" customHeight="1">
      <c r="A162" s="111" t="s">
        <v>388</v>
      </c>
      <c r="B162" s="112" t="s">
        <v>389</v>
      </c>
      <c r="C162" s="113" t="s">
        <v>199</v>
      </c>
      <c r="D162" s="114">
        <v>46264.0</v>
      </c>
      <c r="E162" s="114">
        <v>46275.0</v>
      </c>
      <c r="F162" s="115" t="str">
        <f t="shared" si="1"/>
        <v>A iniciar</v>
      </c>
      <c r="G162" s="115"/>
      <c r="H162" s="116"/>
      <c r="I162" s="117" t="str">
        <f>IF(COUNTIF(Detalhamento!A9:A329,A162)=0,"-",IF(COUNTIFS(Detalhamento!A9:A329,A162,Detalhamento!J9:J329,"Pendente")&gt;0,"Pendente",IF(COUNTIFS(Detalhamento!A9:A329,A162,Detalhamento!J9:J329,"OK")&gt;0,"OK","-")))</f>
        <v>-</v>
      </c>
      <c r="J162" s="117" t="str">
        <f>IF(COUNTIF(Detalhamento!A9:A329,A162)=0,"-",IF(COUNTIFS(Detalhamento!A9:A329,A162,Detalhamento!K9:K329,"Pendente")&gt;0,"Pendente",IF(COUNTIFS(Detalhamento!A9:A329,A162,Detalhamento!K9:K329,"OK")&gt;0,"OK","-")))</f>
        <v>-</v>
      </c>
      <c r="K162" s="117" t="str">
        <f>IF(COUNTIF(Detalhamento!A9:A329,A162)=0,"-",IF(COUNTIFS(Detalhamento!A9:A329,A162,Detalhamento!L9:L329,"Pendente")&gt;0,"Pendente",IF(COUNTIFS(Detalhamento!A9:A329,A162,Detalhamento!L9:L329,"OK")&gt;0,"OK","-")))</f>
        <v>-</v>
      </c>
      <c r="L162" s="117" t="str">
        <f>IF(COUNTIF(Detalhamento!A9:A329,A162)=0,"-",IF(COUNTIFS(Detalhamento!A9:A329,A162,Detalhamento!M9:M329,"Pendente")&gt;0,"Pendente",IF(COUNTIFS(Detalhamento!A9:A329,A162,Detalhamento!M9:M329,"OK")&gt;0,"OK","-")))</f>
        <v>-</v>
      </c>
      <c r="M162" s="117" t="str">
        <f>IF(COUNTIF(Detalhamento!A9:A329,A162)=0,"-",IF(COUNTIFS(Detalhamento!A9:A329,A162,Detalhamento!N9:N329,"Pendente")&gt;0,"Pendente",IF(COUNTIFS(Detalhamento!A9:A329,A162,Detalhamento!N9:N329,"OK")&gt;0,"OK","-")))</f>
        <v>-</v>
      </c>
      <c r="N162" s="118"/>
      <c r="O162" s="119" t="s">
        <v>230</v>
      </c>
      <c r="P162" s="15">
        <f>IF(A162="",0,COUNTIF(Detalhamento!A9:A329,A162))</f>
        <v>0</v>
      </c>
      <c r="Q162" s="15">
        <f>IF(A162="",0,COUNTIFS(Detalhamento!A9:A329,A162,Detalhamento!H9:H329,"Concluído"))</f>
        <v>0</v>
      </c>
      <c r="R162" s="120" t="str">
        <f t="shared" si="2"/>
        <v/>
      </c>
    </row>
    <row r="163" ht="109.5" customHeight="1">
      <c r="A163" s="111" t="s">
        <v>390</v>
      </c>
      <c r="B163" s="112" t="s">
        <v>391</v>
      </c>
      <c r="C163" s="113" t="s">
        <v>199</v>
      </c>
      <c r="D163" s="114">
        <v>46187.0</v>
      </c>
      <c r="E163" s="114">
        <v>46198.0</v>
      </c>
      <c r="F163" s="115" t="str">
        <f t="shared" si="1"/>
        <v>Atrasado</v>
      </c>
      <c r="G163" s="115"/>
      <c r="H163" s="116"/>
      <c r="I163" s="117" t="str">
        <f>IF(COUNTIF(Detalhamento!A9:A329,A163)=0,"-",IF(COUNTIFS(Detalhamento!A9:A329,A163,Detalhamento!J9:J329,"Pendente")&gt;0,"Pendente",IF(COUNTIFS(Detalhamento!A9:A329,A163,Detalhamento!J9:J329,"OK")&gt;0,"OK","-")))</f>
        <v>-</v>
      </c>
      <c r="J163" s="117" t="str">
        <f>IF(COUNTIF(Detalhamento!A9:A329,A163)=0,"-",IF(COUNTIFS(Detalhamento!A9:A329,A163,Detalhamento!K9:K329,"Pendente")&gt;0,"Pendente",IF(COUNTIFS(Detalhamento!A9:A329,A163,Detalhamento!K9:K329,"OK")&gt;0,"OK","-")))</f>
        <v>-</v>
      </c>
      <c r="K163" s="117" t="str">
        <f>IF(COUNTIF(Detalhamento!A9:A329,A163)=0,"-",IF(COUNTIFS(Detalhamento!A9:A329,A163,Detalhamento!L9:L329,"Pendente")&gt;0,"Pendente",IF(COUNTIFS(Detalhamento!A9:A329,A163,Detalhamento!L9:L329,"OK")&gt;0,"OK","-")))</f>
        <v>-</v>
      </c>
      <c r="L163" s="117" t="str">
        <f>IF(COUNTIF(Detalhamento!A9:A329,A163)=0,"-",IF(COUNTIFS(Detalhamento!A9:A329,A163,Detalhamento!M9:M329,"Pendente")&gt;0,"Pendente",IF(COUNTIFS(Detalhamento!A9:A329,A163,Detalhamento!M9:M329,"OK")&gt;0,"OK","-")))</f>
        <v>-</v>
      </c>
      <c r="M163" s="117" t="str">
        <f>IF(COUNTIF(Detalhamento!A9:A329,A163)=0,"-",IF(COUNTIFS(Detalhamento!A9:A329,A163,Detalhamento!N9:N329,"Pendente")&gt;0,"Pendente",IF(COUNTIFS(Detalhamento!A9:A329,A163,Detalhamento!N9:N329,"OK")&gt;0,"OK","-")))</f>
        <v>-</v>
      </c>
      <c r="N163" s="118"/>
      <c r="O163" s="119" t="s">
        <v>230</v>
      </c>
      <c r="P163" s="15">
        <f>IF(A163="",0,COUNTIF(Detalhamento!A9:A329,A163))</f>
        <v>0</v>
      </c>
      <c r="Q163" s="15">
        <f>IF(A163="",0,COUNTIFS(Detalhamento!A9:A329,A163,Detalhamento!H9:H329,"Concluído"))</f>
        <v>0</v>
      </c>
      <c r="R163" s="120" t="str">
        <f t="shared" si="2"/>
        <v/>
      </c>
    </row>
    <row r="164" ht="28.5" customHeight="1">
      <c r="A164" s="111" t="s">
        <v>392</v>
      </c>
      <c r="B164" s="112" t="s">
        <v>393</v>
      </c>
      <c r="C164" s="113" t="s">
        <v>199</v>
      </c>
      <c r="D164" s="114">
        <v>46201.0</v>
      </c>
      <c r="E164" s="114">
        <v>46212.0</v>
      </c>
      <c r="F164" s="115" t="str">
        <f t="shared" si="1"/>
        <v>Em andamento</v>
      </c>
      <c r="G164" s="115"/>
      <c r="H164" s="116"/>
      <c r="I164" s="117" t="str">
        <f>IF(COUNTIF(Detalhamento!A9:A329,A164)=0,"-",IF(COUNTIFS(Detalhamento!A9:A329,A164,Detalhamento!J9:J329,"Pendente")&gt;0,"Pendente",IF(COUNTIFS(Detalhamento!A9:A329,A164,Detalhamento!J9:J329,"OK")&gt;0,"OK","-")))</f>
        <v>-</v>
      </c>
      <c r="J164" s="117" t="str">
        <f>IF(COUNTIF(Detalhamento!A9:A329,A164)=0,"-",IF(COUNTIFS(Detalhamento!A9:A329,A164,Detalhamento!K9:K329,"Pendente")&gt;0,"Pendente",IF(COUNTIFS(Detalhamento!A9:A329,A164,Detalhamento!K9:K329,"OK")&gt;0,"OK","-")))</f>
        <v>-</v>
      </c>
      <c r="K164" s="117" t="str">
        <f>IF(COUNTIF(Detalhamento!A9:A329,A164)=0,"-",IF(COUNTIFS(Detalhamento!A9:A329,A164,Detalhamento!L9:L329,"Pendente")&gt;0,"Pendente",IF(COUNTIFS(Detalhamento!A9:A329,A164,Detalhamento!L9:L329,"OK")&gt;0,"OK","-")))</f>
        <v>-</v>
      </c>
      <c r="L164" s="117" t="str">
        <f>IF(COUNTIF(Detalhamento!A9:A329,A164)=0,"-",IF(COUNTIFS(Detalhamento!A9:A329,A164,Detalhamento!M9:M329,"Pendente")&gt;0,"Pendente",IF(COUNTIFS(Detalhamento!A9:A329,A164,Detalhamento!M9:M329,"OK")&gt;0,"OK","-")))</f>
        <v>-</v>
      </c>
      <c r="M164" s="117" t="str">
        <f>IF(COUNTIF(Detalhamento!A9:A329,A164)=0,"-",IF(COUNTIFS(Detalhamento!A9:A329,A164,Detalhamento!N9:N329,"Pendente")&gt;0,"Pendente",IF(COUNTIFS(Detalhamento!A9:A329,A164,Detalhamento!N9:N329,"OK")&gt;0,"OK","-")))</f>
        <v>-</v>
      </c>
      <c r="N164" s="118"/>
      <c r="O164" s="119" t="s">
        <v>230</v>
      </c>
      <c r="P164" s="15">
        <f>IF(A164="",0,COUNTIF(Detalhamento!A9:A329,A164))</f>
        <v>0</v>
      </c>
      <c r="Q164" s="15">
        <f>IF(A164="",0,COUNTIFS(Detalhamento!A9:A329,A164,Detalhamento!H9:H329,"Concluído"))</f>
        <v>0</v>
      </c>
      <c r="R164" s="120" t="str">
        <f t="shared" si="2"/>
        <v/>
      </c>
    </row>
    <row r="165" ht="109.5" customHeight="1">
      <c r="A165" s="111" t="s">
        <v>394</v>
      </c>
      <c r="B165" s="112" t="s">
        <v>337</v>
      </c>
      <c r="C165" s="113" t="s">
        <v>199</v>
      </c>
      <c r="D165" s="114">
        <v>46236.0</v>
      </c>
      <c r="E165" s="114">
        <v>46247.0</v>
      </c>
      <c r="F165" s="115" t="str">
        <f t="shared" si="1"/>
        <v>A iniciar</v>
      </c>
      <c r="G165" s="115"/>
      <c r="H165" s="116"/>
      <c r="I165" s="117" t="str">
        <f>IF(COUNTIF(Detalhamento!A9:A329,A165)=0,"-",IF(COUNTIFS(Detalhamento!A9:A329,A165,Detalhamento!J9:J329,"Pendente")&gt;0,"Pendente",IF(COUNTIFS(Detalhamento!A9:A329,A165,Detalhamento!J9:J329,"OK")&gt;0,"OK","-")))</f>
        <v>-</v>
      </c>
      <c r="J165" s="117" t="str">
        <f>IF(COUNTIF(Detalhamento!A9:A329,A165)=0,"-",IF(COUNTIFS(Detalhamento!A9:A329,A165,Detalhamento!K9:K329,"Pendente")&gt;0,"Pendente",IF(COUNTIFS(Detalhamento!A9:A329,A165,Detalhamento!K9:K329,"OK")&gt;0,"OK","-")))</f>
        <v>-</v>
      </c>
      <c r="K165" s="117" t="str">
        <f>IF(COUNTIF(Detalhamento!A9:A329,A165)=0,"-",IF(COUNTIFS(Detalhamento!A9:A329,A165,Detalhamento!L9:L329,"Pendente")&gt;0,"Pendente",IF(COUNTIFS(Detalhamento!A9:A329,A165,Detalhamento!L9:L329,"OK")&gt;0,"OK","-")))</f>
        <v>-</v>
      </c>
      <c r="L165" s="117" t="str">
        <f>IF(COUNTIF(Detalhamento!A9:A329,A165)=0,"-",IF(COUNTIFS(Detalhamento!A9:A329,A165,Detalhamento!M9:M329,"Pendente")&gt;0,"Pendente",IF(COUNTIFS(Detalhamento!A9:A329,A165,Detalhamento!M9:M329,"OK")&gt;0,"OK","-")))</f>
        <v>-</v>
      </c>
      <c r="M165" s="117" t="str">
        <f>IF(COUNTIF(Detalhamento!A9:A329,A165)=0,"-",IF(COUNTIFS(Detalhamento!A9:A329,A165,Detalhamento!N9:N329,"Pendente")&gt;0,"Pendente",IF(COUNTIFS(Detalhamento!A9:A329,A165,Detalhamento!N9:N329,"OK")&gt;0,"OK","-")))</f>
        <v>-</v>
      </c>
      <c r="N165" s="118"/>
      <c r="O165" s="119" t="s">
        <v>230</v>
      </c>
      <c r="P165" s="15">
        <f>IF(A165="",0,COUNTIF(Detalhamento!A9:A329,A165))</f>
        <v>0</v>
      </c>
      <c r="Q165" s="15">
        <f>IF(A165="",0,COUNTIFS(Detalhamento!A9:A329,A165,Detalhamento!H9:H329,"Concluído"))</f>
        <v>0</v>
      </c>
      <c r="R165" s="120" t="str">
        <f t="shared" si="2"/>
        <v/>
      </c>
    </row>
    <row r="166" ht="54.0" customHeight="1">
      <c r="A166" s="111" t="s">
        <v>395</v>
      </c>
      <c r="B166" s="112" t="s">
        <v>396</v>
      </c>
      <c r="C166" s="113" t="s">
        <v>199</v>
      </c>
      <c r="D166" s="114">
        <v>46327.0</v>
      </c>
      <c r="E166" s="114">
        <v>46378.0</v>
      </c>
      <c r="F166" s="115" t="str">
        <f t="shared" si="1"/>
        <v>A iniciar</v>
      </c>
      <c r="G166" s="115"/>
      <c r="H166" s="116"/>
      <c r="I166" s="117" t="str">
        <f>IF(COUNTIF(Detalhamento!A9:A329,A166)=0,"-",IF(COUNTIFS(Detalhamento!A9:A329,A166,Detalhamento!J9:J329,"Pendente")&gt;0,"Pendente",IF(COUNTIFS(Detalhamento!A9:A329,A166,Detalhamento!J9:J329,"OK")&gt;0,"OK","-")))</f>
        <v>-</v>
      </c>
      <c r="J166" s="117" t="str">
        <f>IF(COUNTIF(Detalhamento!A9:A329,A166)=0,"-",IF(COUNTIFS(Detalhamento!A9:A329,A166,Detalhamento!K9:K329,"Pendente")&gt;0,"Pendente",IF(COUNTIFS(Detalhamento!A9:A329,A166,Detalhamento!K9:K329,"OK")&gt;0,"OK","-")))</f>
        <v>-</v>
      </c>
      <c r="K166" s="117" t="str">
        <f>IF(COUNTIF(Detalhamento!A9:A329,A166)=0,"-",IF(COUNTIFS(Detalhamento!A9:A329,A166,Detalhamento!L9:L329,"Pendente")&gt;0,"Pendente",IF(COUNTIFS(Detalhamento!A9:A329,A166,Detalhamento!L9:L329,"OK")&gt;0,"OK","-")))</f>
        <v>-</v>
      </c>
      <c r="L166" s="117" t="str">
        <f>IF(COUNTIF(Detalhamento!A9:A329,A166)=0,"-",IF(COUNTIFS(Detalhamento!A9:A329,A166,Detalhamento!M9:M329,"Pendente")&gt;0,"Pendente",IF(COUNTIFS(Detalhamento!A9:A329,A166,Detalhamento!M9:M329,"OK")&gt;0,"OK","-")))</f>
        <v>-</v>
      </c>
      <c r="M166" s="117" t="str">
        <f>IF(COUNTIF(Detalhamento!A9:A329,A166)=0,"-",IF(COUNTIFS(Detalhamento!A9:A329,A166,Detalhamento!N9:N329,"Pendente")&gt;0,"Pendente",IF(COUNTIFS(Detalhamento!A9:A329,A166,Detalhamento!N9:N329,"OK")&gt;0,"OK","-")))</f>
        <v>-</v>
      </c>
      <c r="N166" s="118"/>
      <c r="O166" s="119" t="s">
        <v>230</v>
      </c>
      <c r="P166" s="15">
        <f>IF(A166="",0,COUNTIF(Detalhamento!A9:A329,A166))</f>
        <v>0</v>
      </c>
      <c r="Q166" s="15">
        <f>IF(A166="",0,COUNTIFS(Detalhamento!A9:A329,A166,Detalhamento!H9:H329,"Concluído"))</f>
        <v>0</v>
      </c>
      <c r="R166" s="120" t="str">
        <f t="shared" si="2"/>
        <v/>
      </c>
    </row>
    <row r="167" ht="109.5" customHeight="1">
      <c r="A167" s="111" t="s">
        <v>397</v>
      </c>
      <c r="B167" s="112" t="s">
        <v>314</v>
      </c>
      <c r="C167" s="113" t="s">
        <v>199</v>
      </c>
      <c r="D167" s="114">
        <v>46250.0</v>
      </c>
      <c r="E167" s="114">
        <v>46268.0</v>
      </c>
      <c r="F167" s="115" t="str">
        <f t="shared" si="1"/>
        <v>A iniciar</v>
      </c>
      <c r="G167" s="115"/>
      <c r="H167" s="116"/>
      <c r="I167" s="117" t="str">
        <f>IF(COUNTIF(Detalhamento!A9:A329,A167)=0,"-",IF(COUNTIFS(Detalhamento!A9:A329,A167,Detalhamento!J9:J329,"Pendente")&gt;0,"Pendente",IF(COUNTIFS(Detalhamento!A9:A329,A167,Detalhamento!J9:J329,"OK")&gt;0,"OK","-")))</f>
        <v>-</v>
      </c>
      <c r="J167" s="117" t="str">
        <f>IF(COUNTIF(Detalhamento!A9:A329,A167)=0,"-",IF(COUNTIFS(Detalhamento!A9:A329,A167,Detalhamento!K9:K329,"Pendente")&gt;0,"Pendente",IF(COUNTIFS(Detalhamento!A9:A329,A167,Detalhamento!K9:K329,"OK")&gt;0,"OK","-")))</f>
        <v>-</v>
      </c>
      <c r="K167" s="117" t="str">
        <f>IF(COUNTIF(Detalhamento!A9:A329,A167)=0,"-",IF(COUNTIFS(Detalhamento!A9:A329,A167,Detalhamento!L9:L329,"Pendente")&gt;0,"Pendente",IF(COUNTIFS(Detalhamento!A9:A329,A167,Detalhamento!L9:L329,"OK")&gt;0,"OK","-")))</f>
        <v>-</v>
      </c>
      <c r="L167" s="117" t="str">
        <f>IF(COUNTIF(Detalhamento!A9:A329,A167)=0,"-",IF(COUNTIFS(Detalhamento!A9:A329,A167,Detalhamento!M9:M329,"Pendente")&gt;0,"Pendente",IF(COUNTIFS(Detalhamento!A9:A329,A167,Detalhamento!M9:M329,"OK")&gt;0,"OK","-")))</f>
        <v>-</v>
      </c>
      <c r="M167" s="117" t="str">
        <f>IF(COUNTIF(Detalhamento!A9:A329,A167)=0,"-",IF(COUNTIFS(Detalhamento!A9:A329,A167,Detalhamento!N9:N329,"Pendente")&gt;0,"Pendente",IF(COUNTIFS(Detalhamento!A9:A329,A167,Detalhamento!N9:N329,"OK")&gt;0,"OK","-")))</f>
        <v>-</v>
      </c>
      <c r="N167" s="118"/>
      <c r="O167" s="119" t="s">
        <v>230</v>
      </c>
      <c r="P167" s="15">
        <f>IF(A167="",0,COUNTIF(Detalhamento!A9:A329,A167))</f>
        <v>0</v>
      </c>
      <c r="Q167" s="15">
        <f>IF(A167="",0,COUNTIFS(Detalhamento!A9:A329,A167,Detalhamento!H9:H329,"Concluído"))</f>
        <v>0</v>
      </c>
      <c r="R167" s="120" t="str">
        <f t="shared" si="2"/>
        <v/>
      </c>
    </row>
    <row r="168" ht="109.5" customHeight="1">
      <c r="A168" s="111" t="s">
        <v>398</v>
      </c>
      <c r="B168" s="112" t="s">
        <v>315</v>
      </c>
      <c r="C168" s="113" t="s">
        <v>199</v>
      </c>
      <c r="D168" s="114">
        <v>46250.0</v>
      </c>
      <c r="E168" s="114">
        <v>46268.0</v>
      </c>
      <c r="F168" s="115" t="str">
        <f t="shared" si="1"/>
        <v>A iniciar</v>
      </c>
      <c r="G168" s="115"/>
      <c r="H168" s="116"/>
      <c r="I168" s="117" t="str">
        <f>IF(COUNTIF(Detalhamento!A9:A329,A168)=0,"-",IF(COUNTIFS(Detalhamento!A9:A329,A168,Detalhamento!J9:J329,"Pendente")&gt;0,"Pendente",IF(COUNTIFS(Detalhamento!A9:A329,A168,Detalhamento!J9:J329,"OK")&gt;0,"OK","-")))</f>
        <v>-</v>
      </c>
      <c r="J168" s="117" t="str">
        <f>IF(COUNTIF(Detalhamento!A9:A329,A168)=0,"-",IF(COUNTIFS(Detalhamento!A9:A329,A168,Detalhamento!K9:K329,"Pendente")&gt;0,"Pendente",IF(COUNTIFS(Detalhamento!A9:A329,A168,Detalhamento!K9:K329,"OK")&gt;0,"OK","-")))</f>
        <v>-</v>
      </c>
      <c r="K168" s="117" t="str">
        <f>IF(COUNTIF(Detalhamento!A9:A329,A168)=0,"-",IF(COUNTIFS(Detalhamento!A9:A329,A168,Detalhamento!L9:L329,"Pendente")&gt;0,"Pendente",IF(COUNTIFS(Detalhamento!A9:A329,A168,Detalhamento!L9:L329,"OK")&gt;0,"OK","-")))</f>
        <v>-</v>
      </c>
      <c r="L168" s="117" t="str">
        <f>IF(COUNTIF(Detalhamento!A9:A329,A168)=0,"-",IF(COUNTIFS(Detalhamento!A9:A329,A168,Detalhamento!M9:M329,"Pendente")&gt;0,"Pendente",IF(COUNTIFS(Detalhamento!A9:A329,A168,Detalhamento!M9:M329,"OK")&gt;0,"OK","-")))</f>
        <v>-</v>
      </c>
      <c r="M168" s="117" t="str">
        <f>IF(COUNTIF(Detalhamento!A9:A329,A168)=0,"-",IF(COUNTIFS(Detalhamento!A9:A329,A168,Detalhamento!N9:N329,"Pendente")&gt;0,"Pendente",IF(COUNTIFS(Detalhamento!A9:A329,A168,Detalhamento!N9:N329,"OK")&gt;0,"OK","-")))</f>
        <v>-</v>
      </c>
      <c r="N168" s="118"/>
      <c r="O168" s="119" t="s">
        <v>230</v>
      </c>
      <c r="P168" s="15">
        <f>IF(A168="",0,COUNTIF(Detalhamento!A9:A329,A168))</f>
        <v>0</v>
      </c>
      <c r="Q168" s="15">
        <f>IF(A168="",0,COUNTIFS(Detalhamento!A9:A329,A168,Detalhamento!H9:H329,"Concluído"))</f>
        <v>0</v>
      </c>
      <c r="R168" s="120" t="str">
        <f t="shared" si="2"/>
        <v/>
      </c>
    </row>
    <row r="169" ht="28.5" customHeight="1">
      <c r="A169" s="111" t="s">
        <v>399</v>
      </c>
      <c r="B169" s="112" t="s">
        <v>400</v>
      </c>
      <c r="C169" s="113" t="s">
        <v>199</v>
      </c>
      <c r="D169" s="114">
        <v>46355.0</v>
      </c>
      <c r="E169" s="114">
        <v>46373.0</v>
      </c>
      <c r="F169" s="115" t="str">
        <f t="shared" si="1"/>
        <v>A iniciar</v>
      </c>
      <c r="G169" s="115"/>
      <c r="H169" s="116"/>
      <c r="I169" s="117" t="str">
        <f>IF(COUNTIF(Detalhamento!A9:A329,A169)=0,"-",IF(COUNTIFS(Detalhamento!A9:A329,A169,Detalhamento!J9:J329,"Pendente")&gt;0,"Pendente",IF(COUNTIFS(Detalhamento!A9:A329,A169,Detalhamento!J9:J329,"OK")&gt;0,"OK","-")))</f>
        <v>-</v>
      </c>
      <c r="J169" s="117" t="str">
        <f>IF(COUNTIF(Detalhamento!A9:A329,A169)=0,"-",IF(COUNTIFS(Detalhamento!A9:A329,A169,Detalhamento!K9:K329,"Pendente")&gt;0,"Pendente",IF(COUNTIFS(Detalhamento!A9:A329,A169,Detalhamento!K9:K329,"OK")&gt;0,"OK","-")))</f>
        <v>-</v>
      </c>
      <c r="K169" s="117" t="str">
        <f>IF(COUNTIF(Detalhamento!A9:A329,A169)=0,"-",IF(COUNTIFS(Detalhamento!A9:A329,A169,Detalhamento!L9:L329,"Pendente")&gt;0,"Pendente",IF(COUNTIFS(Detalhamento!A9:A329,A169,Detalhamento!L9:L329,"OK")&gt;0,"OK","-")))</f>
        <v>-</v>
      </c>
      <c r="L169" s="117" t="str">
        <f>IF(COUNTIF(Detalhamento!A9:A329,A169)=0,"-",IF(COUNTIFS(Detalhamento!A9:A329,A169,Detalhamento!M9:M329,"Pendente")&gt;0,"Pendente",IF(COUNTIFS(Detalhamento!A9:A329,A169,Detalhamento!M9:M329,"OK")&gt;0,"OK","-")))</f>
        <v>-</v>
      </c>
      <c r="M169" s="117" t="str">
        <f>IF(COUNTIF(Detalhamento!A9:A329,A169)=0,"-",IF(COUNTIFS(Detalhamento!A9:A329,A169,Detalhamento!N9:N329,"Pendente")&gt;0,"Pendente",IF(COUNTIFS(Detalhamento!A9:A329,A169,Detalhamento!N9:N329,"OK")&gt;0,"OK","-")))</f>
        <v>-</v>
      </c>
      <c r="N169" s="118"/>
      <c r="O169" s="119" t="s">
        <v>230</v>
      </c>
      <c r="P169" s="15">
        <f>IF(A169="",0,COUNTIF(Detalhamento!A9:A329,A169))</f>
        <v>0</v>
      </c>
      <c r="Q169" s="15">
        <f>IF(A169="",0,COUNTIFS(Detalhamento!A9:A329,A169,Detalhamento!H9:H329,"Concluído"))</f>
        <v>0</v>
      </c>
      <c r="R169" s="120" t="str">
        <f t="shared" si="2"/>
        <v/>
      </c>
    </row>
    <row r="170" ht="109.5" customHeight="1">
      <c r="A170" s="111" t="s">
        <v>401</v>
      </c>
      <c r="B170" s="112" t="s">
        <v>314</v>
      </c>
      <c r="C170" s="113" t="s">
        <v>200</v>
      </c>
      <c r="D170" s="114">
        <v>46264.0</v>
      </c>
      <c r="E170" s="114">
        <v>46289.0</v>
      </c>
      <c r="F170" s="115" t="str">
        <f t="shared" si="1"/>
        <v>A iniciar</v>
      </c>
      <c r="G170" s="115"/>
      <c r="H170" s="116"/>
      <c r="I170" s="117" t="str">
        <f>IF(COUNTIF(Detalhamento!A9:A329,A170)=0,"-",IF(COUNTIFS(Detalhamento!A9:A329,A170,Detalhamento!J9:J329,"Pendente")&gt;0,"Pendente",IF(COUNTIFS(Detalhamento!A9:A329,A170,Detalhamento!J9:J329,"OK")&gt;0,"OK","-")))</f>
        <v>-</v>
      </c>
      <c r="J170" s="117" t="str">
        <f>IF(COUNTIF(Detalhamento!A9:A329,A170)=0,"-",IF(COUNTIFS(Detalhamento!A9:A329,A170,Detalhamento!K9:K329,"Pendente")&gt;0,"Pendente",IF(COUNTIFS(Detalhamento!A9:A329,A170,Detalhamento!K9:K329,"OK")&gt;0,"OK","-")))</f>
        <v>-</v>
      </c>
      <c r="K170" s="117" t="str">
        <f>IF(COUNTIF(Detalhamento!A9:A329,A170)=0,"-",IF(COUNTIFS(Detalhamento!A9:A329,A170,Detalhamento!L9:L329,"Pendente")&gt;0,"Pendente",IF(COUNTIFS(Detalhamento!A9:A329,A170,Detalhamento!L9:L329,"OK")&gt;0,"OK","-")))</f>
        <v>-</v>
      </c>
      <c r="L170" s="117" t="str">
        <f>IF(COUNTIF(Detalhamento!A9:A329,A170)=0,"-",IF(COUNTIFS(Detalhamento!A9:A329,A170,Detalhamento!M9:M329,"Pendente")&gt;0,"Pendente",IF(COUNTIFS(Detalhamento!A9:A329,A170,Detalhamento!M9:M329,"OK")&gt;0,"OK","-")))</f>
        <v>-</v>
      </c>
      <c r="M170" s="117" t="str">
        <f>IF(COUNTIF(Detalhamento!A9:A329,A170)=0,"-",IF(COUNTIFS(Detalhamento!A9:A329,A170,Detalhamento!N9:N329,"Pendente")&gt;0,"Pendente",IF(COUNTIFS(Detalhamento!A9:A329,A170,Detalhamento!N9:N329,"OK")&gt;0,"OK","-")))</f>
        <v>-</v>
      </c>
      <c r="N170" s="118"/>
      <c r="O170" s="119" t="s">
        <v>230</v>
      </c>
      <c r="P170" s="15">
        <f>IF(A170="",0,COUNTIF(Detalhamento!A9:A329,A170))</f>
        <v>0</v>
      </c>
      <c r="Q170" s="15">
        <f>IF(A170="",0,COUNTIFS(Detalhamento!A9:A329,A170,Detalhamento!H9:H329,"Concluído"))</f>
        <v>0</v>
      </c>
      <c r="R170" s="120" t="str">
        <f t="shared" si="2"/>
        <v/>
      </c>
    </row>
    <row r="171" ht="109.5" customHeight="1">
      <c r="A171" s="111" t="s">
        <v>402</v>
      </c>
      <c r="B171" s="112" t="s">
        <v>315</v>
      </c>
      <c r="C171" s="113" t="s">
        <v>200</v>
      </c>
      <c r="D171" s="114">
        <v>46278.0</v>
      </c>
      <c r="E171" s="114">
        <v>46296.0</v>
      </c>
      <c r="F171" s="115" t="str">
        <f t="shared" si="1"/>
        <v>A iniciar</v>
      </c>
      <c r="G171" s="115"/>
      <c r="H171" s="116"/>
      <c r="I171" s="117" t="str">
        <f>IF(COUNTIF(Detalhamento!A9:A329,A171)=0,"-",IF(COUNTIFS(Detalhamento!A9:A329,A171,Detalhamento!J9:J329,"Pendente")&gt;0,"Pendente",IF(COUNTIFS(Detalhamento!A9:A329,A171,Detalhamento!J9:J329,"OK")&gt;0,"OK","-")))</f>
        <v>-</v>
      </c>
      <c r="J171" s="117" t="str">
        <f>IF(COUNTIF(Detalhamento!A9:A329,A171)=0,"-",IF(COUNTIFS(Detalhamento!A9:A329,A171,Detalhamento!K9:K329,"Pendente")&gt;0,"Pendente",IF(COUNTIFS(Detalhamento!A9:A329,A171,Detalhamento!K9:K329,"OK")&gt;0,"OK","-")))</f>
        <v>-</v>
      </c>
      <c r="K171" s="117" t="str">
        <f>IF(COUNTIF(Detalhamento!A9:A329,A171)=0,"-",IF(COUNTIFS(Detalhamento!A9:A329,A171,Detalhamento!L9:L329,"Pendente")&gt;0,"Pendente",IF(COUNTIFS(Detalhamento!A9:A329,A171,Detalhamento!L9:L329,"OK")&gt;0,"OK","-")))</f>
        <v>-</v>
      </c>
      <c r="L171" s="117" t="str">
        <f>IF(COUNTIF(Detalhamento!A9:A329,A171)=0,"-",IF(COUNTIFS(Detalhamento!A9:A329,A171,Detalhamento!M9:M329,"Pendente")&gt;0,"Pendente",IF(COUNTIFS(Detalhamento!A9:A329,A171,Detalhamento!M9:M329,"OK")&gt;0,"OK","-")))</f>
        <v>-</v>
      </c>
      <c r="M171" s="117" t="str">
        <f>IF(COUNTIF(Detalhamento!A9:A329,A171)=0,"-",IF(COUNTIFS(Detalhamento!A9:A329,A171,Detalhamento!N9:N329,"Pendente")&gt;0,"Pendente",IF(COUNTIFS(Detalhamento!A9:A329,A171,Detalhamento!N9:N329,"OK")&gt;0,"OK","-")))</f>
        <v>-</v>
      </c>
      <c r="N171" s="118"/>
      <c r="O171" s="119" t="s">
        <v>230</v>
      </c>
      <c r="P171" s="15">
        <f>IF(A171="",0,COUNTIF(Detalhamento!A9:A329,A171))</f>
        <v>0</v>
      </c>
      <c r="Q171" s="15">
        <f>IF(A171="",0,COUNTIFS(Detalhamento!A9:A329,A171,Detalhamento!H9:H329,"Concluído"))</f>
        <v>0</v>
      </c>
      <c r="R171" s="120" t="str">
        <f t="shared" si="2"/>
        <v/>
      </c>
    </row>
    <row r="172" ht="15.75" customHeight="1">
      <c r="A172" s="122"/>
      <c r="B172" s="112"/>
      <c r="C172" s="113"/>
      <c r="D172" s="114"/>
      <c r="E172" s="114"/>
      <c r="F172" s="115"/>
      <c r="G172" s="115"/>
      <c r="H172" s="123"/>
      <c r="I172" s="117"/>
      <c r="J172" s="117"/>
      <c r="K172" s="117"/>
      <c r="L172" s="117"/>
      <c r="M172" s="117"/>
      <c r="N172" s="112"/>
      <c r="O172" s="113"/>
      <c r="P172" s="15"/>
      <c r="Q172" s="15"/>
      <c r="R172" s="15"/>
    </row>
    <row r="173" ht="15.75" customHeight="1">
      <c r="A173" s="122"/>
      <c r="B173" s="112"/>
      <c r="C173" s="113"/>
      <c r="D173" s="114"/>
      <c r="E173" s="114"/>
      <c r="F173" s="115"/>
      <c r="G173" s="115"/>
      <c r="H173" s="123"/>
      <c r="I173" s="117"/>
      <c r="J173" s="117"/>
      <c r="K173" s="117"/>
      <c r="L173" s="117"/>
      <c r="M173" s="117"/>
      <c r="N173" s="112"/>
      <c r="O173" s="113"/>
      <c r="P173" s="15"/>
      <c r="Q173" s="15"/>
      <c r="R173" s="15"/>
    </row>
    <row r="174" ht="27.75" customHeight="1">
      <c r="A174" s="124"/>
      <c r="B174" s="125"/>
      <c r="C174" s="126"/>
      <c r="D174" s="127"/>
      <c r="E174" s="127"/>
      <c r="F174" s="115"/>
      <c r="G174" s="115"/>
      <c r="H174" s="128"/>
      <c r="I174" s="129"/>
      <c r="J174" s="129"/>
      <c r="K174" s="129"/>
      <c r="L174" s="129"/>
      <c r="M174" s="129"/>
      <c r="N174" s="130"/>
      <c r="O174" s="131"/>
      <c r="P174" s="15"/>
      <c r="Q174" s="15"/>
      <c r="R174" s="15"/>
    </row>
    <row r="175">
      <c r="A175" s="15"/>
      <c r="B175" s="13"/>
      <c r="C175" s="15"/>
      <c r="D175" s="132"/>
      <c r="E175" s="132"/>
      <c r="F175" s="15"/>
      <c r="G175" s="15"/>
      <c r="H175" s="15"/>
      <c r="I175" s="15"/>
      <c r="J175" s="15"/>
      <c r="K175" s="15"/>
      <c r="L175" s="15"/>
      <c r="M175" s="15"/>
      <c r="N175" s="13"/>
      <c r="O175" s="15"/>
      <c r="P175" s="15"/>
      <c r="Q175" s="15"/>
      <c r="R175" s="15"/>
    </row>
    <row r="176" ht="27.75" customHeight="1">
      <c r="A176" s="124"/>
      <c r="B176" s="125"/>
      <c r="C176" s="126"/>
      <c r="D176" s="127"/>
      <c r="E176" s="127"/>
      <c r="F176" s="115"/>
      <c r="G176" s="115"/>
      <c r="H176" s="128"/>
      <c r="I176" s="129"/>
      <c r="J176" s="129"/>
      <c r="K176" s="129"/>
      <c r="L176" s="129"/>
      <c r="M176" s="129"/>
      <c r="N176" s="130"/>
      <c r="O176" s="131"/>
      <c r="P176" s="15"/>
      <c r="Q176" s="15"/>
      <c r="R176" s="15"/>
    </row>
    <row r="177" ht="15.75" customHeight="1">
      <c r="A177" s="122"/>
      <c r="B177" s="112"/>
      <c r="C177" s="113"/>
      <c r="D177" s="114"/>
      <c r="E177" s="114"/>
      <c r="F177" s="115"/>
      <c r="G177" s="115"/>
      <c r="H177" s="123"/>
      <c r="I177" s="117"/>
      <c r="J177" s="117"/>
      <c r="K177" s="117"/>
      <c r="L177" s="117"/>
      <c r="M177" s="117"/>
      <c r="N177" s="112"/>
      <c r="O177" s="113"/>
      <c r="P177" s="15"/>
      <c r="Q177" s="15"/>
      <c r="R177" s="15"/>
    </row>
    <row r="178" ht="15.75" customHeight="1">
      <c r="A178" s="122"/>
      <c r="B178" s="112"/>
      <c r="C178" s="113"/>
      <c r="D178" s="114"/>
      <c r="E178" s="114"/>
      <c r="F178" s="115"/>
      <c r="G178" s="115"/>
      <c r="H178" s="123"/>
      <c r="I178" s="117"/>
      <c r="J178" s="117"/>
      <c r="K178" s="117"/>
      <c r="L178" s="117"/>
      <c r="M178" s="117"/>
      <c r="N178" s="112"/>
      <c r="O178" s="113"/>
      <c r="P178" s="15"/>
      <c r="Q178" s="15"/>
      <c r="R178" s="15"/>
    </row>
    <row r="179" ht="15.75" customHeight="1">
      <c r="A179" s="122"/>
      <c r="B179" s="112"/>
      <c r="C179" s="113"/>
      <c r="D179" s="114"/>
      <c r="E179" s="114"/>
      <c r="F179" s="115"/>
      <c r="G179" s="115"/>
      <c r="H179" s="123"/>
      <c r="I179" s="117"/>
      <c r="J179" s="117"/>
      <c r="K179" s="117"/>
      <c r="L179" s="117"/>
      <c r="M179" s="117"/>
      <c r="N179" s="112"/>
      <c r="O179" s="113"/>
      <c r="P179" s="15"/>
      <c r="Q179" s="15"/>
      <c r="R179" s="15"/>
    </row>
    <row r="180" ht="15.75" customHeight="1">
      <c r="A180" s="122"/>
      <c r="B180" s="112"/>
      <c r="C180" s="113"/>
      <c r="D180" s="114"/>
      <c r="E180" s="114"/>
      <c r="F180" s="115"/>
      <c r="G180" s="115"/>
      <c r="H180" s="123"/>
      <c r="I180" s="117"/>
      <c r="J180" s="117"/>
      <c r="K180" s="117"/>
      <c r="L180" s="117"/>
      <c r="M180" s="117"/>
      <c r="N180" s="112"/>
      <c r="O180" s="113"/>
      <c r="P180" s="15"/>
      <c r="Q180" s="15"/>
      <c r="R180" s="15"/>
    </row>
    <row r="181" ht="15.75" customHeight="1">
      <c r="A181" s="122"/>
      <c r="B181" s="112"/>
      <c r="C181" s="113"/>
      <c r="D181" s="114"/>
      <c r="E181" s="114"/>
      <c r="F181" s="115"/>
      <c r="G181" s="115"/>
      <c r="H181" s="123"/>
      <c r="I181" s="117"/>
      <c r="J181" s="117"/>
      <c r="K181" s="117"/>
      <c r="L181" s="117"/>
      <c r="M181" s="117"/>
      <c r="N181" s="112"/>
      <c r="O181" s="113"/>
      <c r="P181" s="15"/>
      <c r="Q181" s="15"/>
      <c r="R181" s="15"/>
    </row>
    <row r="182" ht="15.75" customHeight="1">
      <c r="A182" s="122"/>
      <c r="B182" s="112"/>
      <c r="C182" s="113"/>
      <c r="D182" s="114"/>
      <c r="E182" s="114"/>
      <c r="F182" s="115"/>
      <c r="G182" s="115"/>
      <c r="H182" s="123"/>
      <c r="I182" s="117"/>
      <c r="J182" s="117"/>
      <c r="K182" s="117"/>
      <c r="L182" s="117"/>
      <c r="M182" s="117"/>
      <c r="N182" s="112"/>
      <c r="O182" s="113"/>
      <c r="P182" s="15"/>
      <c r="Q182" s="15"/>
      <c r="R182" s="15"/>
    </row>
    <row r="183" ht="15.75" customHeight="1">
      <c r="A183" s="122"/>
      <c r="B183" s="112"/>
      <c r="C183" s="113"/>
      <c r="D183" s="114"/>
      <c r="E183" s="114"/>
      <c r="F183" s="115"/>
      <c r="G183" s="115"/>
      <c r="H183" s="123"/>
      <c r="I183" s="117"/>
      <c r="J183" s="117"/>
      <c r="K183" s="117"/>
      <c r="L183" s="117"/>
      <c r="M183" s="117"/>
      <c r="N183" s="112"/>
      <c r="O183" s="113"/>
      <c r="P183" s="15"/>
      <c r="Q183" s="15"/>
      <c r="R183" s="15"/>
    </row>
    <row r="184" ht="15.75" customHeight="1">
      <c r="A184" s="122"/>
      <c r="B184" s="112"/>
      <c r="C184" s="113"/>
      <c r="D184" s="114"/>
      <c r="E184" s="114"/>
      <c r="F184" s="115"/>
      <c r="G184" s="115"/>
      <c r="H184" s="123"/>
      <c r="I184" s="117"/>
      <c r="J184" s="117"/>
      <c r="K184" s="117"/>
      <c r="L184" s="117"/>
      <c r="M184" s="117"/>
      <c r="N184" s="112"/>
      <c r="O184" s="113"/>
      <c r="P184" s="15"/>
      <c r="Q184" s="15"/>
      <c r="R184" s="15"/>
    </row>
    <row r="185" ht="15.75" customHeight="1">
      <c r="A185" s="122"/>
      <c r="B185" s="112"/>
      <c r="C185" s="113"/>
      <c r="D185" s="114"/>
      <c r="E185" s="114"/>
      <c r="F185" s="115"/>
      <c r="G185" s="115"/>
      <c r="H185" s="123"/>
      <c r="I185" s="117"/>
      <c r="J185" s="117"/>
      <c r="K185" s="117"/>
      <c r="L185" s="117"/>
      <c r="M185" s="117"/>
      <c r="N185" s="112"/>
      <c r="O185" s="113"/>
      <c r="P185" s="15"/>
      <c r="Q185" s="15"/>
      <c r="R185" s="15"/>
    </row>
    <row r="186" ht="15.75" customHeight="1">
      <c r="A186" s="122"/>
      <c r="B186" s="112"/>
      <c r="C186" s="113"/>
      <c r="D186" s="114"/>
      <c r="E186" s="114"/>
      <c r="F186" s="115"/>
      <c r="G186" s="115"/>
      <c r="H186" s="123"/>
      <c r="I186" s="117"/>
      <c r="J186" s="117"/>
      <c r="K186" s="117"/>
      <c r="L186" s="117"/>
      <c r="M186" s="117"/>
      <c r="N186" s="112"/>
      <c r="O186" s="113"/>
      <c r="P186" s="15"/>
      <c r="Q186" s="15"/>
      <c r="R186" s="15"/>
    </row>
    <row r="187" ht="15.75" customHeight="1">
      <c r="A187" s="122"/>
      <c r="B187" s="112"/>
      <c r="C187" s="113"/>
      <c r="D187" s="114"/>
      <c r="E187" s="114"/>
      <c r="F187" s="115"/>
      <c r="G187" s="115"/>
      <c r="H187" s="123"/>
      <c r="I187" s="117"/>
      <c r="J187" s="117"/>
      <c r="K187" s="117"/>
      <c r="L187" s="117"/>
      <c r="M187" s="117"/>
      <c r="N187" s="112"/>
      <c r="O187" s="113"/>
      <c r="P187" s="15"/>
      <c r="Q187" s="15"/>
      <c r="R187" s="15"/>
    </row>
    <row r="188" ht="15.75" customHeight="1">
      <c r="A188" s="122"/>
      <c r="B188" s="112"/>
      <c r="C188" s="113"/>
      <c r="D188" s="114"/>
      <c r="E188" s="114"/>
      <c r="F188" s="115"/>
      <c r="G188" s="115"/>
      <c r="H188" s="123"/>
      <c r="I188" s="117"/>
      <c r="J188" s="117"/>
      <c r="K188" s="117"/>
      <c r="L188" s="117"/>
      <c r="M188" s="117"/>
      <c r="N188" s="112"/>
      <c r="O188" s="113"/>
      <c r="P188" s="15"/>
      <c r="Q188" s="15"/>
      <c r="R188" s="15"/>
    </row>
    <row r="189" ht="15.75" customHeight="1">
      <c r="A189" s="122"/>
      <c r="B189" s="112"/>
      <c r="C189" s="113"/>
      <c r="D189" s="114"/>
      <c r="E189" s="114"/>
      <c r="F189" s="115"/>
      <c r="G189" s="115"/>
      <c r="H189" s="123"/>
      <c r="I189" s="117"/>
      <c r="J189" s="117"/>
      <c r="K189" s="117"/>
      <c r="L189" s="117"/>
      <c r="M189" s="117"/>
      <c r="N189" s="112"/>
      <c r="O189" s="113"/>
      <c r="P189" s="15"/>
      <c r="Q189" s="15"/>
      <c r="R189" s="15"/>
    </row>
    <row r="190" ht="15.75" customHeight="1">
      <c r="A190" s="122"/>
      <c r="B190" s="112"/>
      <c r="C190" s="113"/>
      <c r="D190" s="114"/>
      <c r="E190" s="114"/>
      <c r="F190" s="115"/>
      <c r="G190" s="115"/>
      <c r="H190" s="123"/>
      <c r="I190" s="117"/>
      <c r="J190" s="117"/>
      <c r="K190" s="117"/>
      <c r="L190" s="117"/>
      <c r="M190" s="117"/>
      <c r="N190" s="112"/>
      <c r="O190" s="113"/>
      <c r="P190" s="15"/>
      <c r="Q190" s="15"/>
      <c r="R190" s="15"/>
    </row>
    <row r="191" ht="15.75" customHeight="1">
      <c r="A191" s="122"/>
      <c r="B191" s="112"/>
      <c r="C191" s="113"/>
      <c r="D191" s="114"/>
      <c r="E191" s="114"/>
      <c r="F191" s="115"/>
      <c r="G191" s="115"/>
      <c r="H191" s="123"/>
      <c r="I191" s="117"/>
      <c r="J191" s="117"/>
      <c r="K191" s="117"/>
      <c r="L191" s="117"/>
      <c r="M191" s="117"/>
      <c r="N191" s="112"/>
      <c r="O191" s="113"/>
      <c r="P191" s="15"/>
      <c r="Q191" s="15"/>
      <c r="R191" s="15"/>
    </row>
    <row r="192" ht="15.75" customHeight="1">
      <c r="A192" s="122"/>
      <c r="B192" s="112"/>
      <c r="C192" s="113"/>
      <c r="D192" s="114"/>
      <c r="E192" s="114"/>
      <c r="F192" s="115"/>
      <c r="G192" s="115"/>
      <c r="H192" s="123"/>
      <c r="I192" s="117"/>
      <c r="J192" s="117"/>
      <c r="K192" s="117"/>
      <c r="L192" s="117"/>
      <c r="M192" s="117"/>
      <c r="N192" s="112"/>
      <c r="O192" s="113"/>
      <c r="P192" s="15"/>
      <c r="Q192" s="15"/>
      <c r="R192" s="15"/>
    </row>
    <row r="193" ht="15.75" customHeight="1">
      <c r="A193" s="122"/>
      <c r="B193" s="112"/>
      <c r="C193" s="113"/>
      <c r="D193" s="114"/>
      <c r="E193" s="114"/>
      <c r="F193" s="115"/>
      <c r="G193" s="115"/>
      <c r="H193" s="123"/>
      <c r="I193" s="117"/>
      <c r="J193" s="117"/>
      <c r="K193" s="117"/>
      <c r="L193" s="117"/>
      <c r="M193" s="117"/>
      <c r="N193" s="112"/>
      <c r="O193" s="113"/>
      <c r="P193" s="15"/>
      <c r="Q193" s="15"/>
      <c r="R193" s="15"/>
    </row>
    <row r="194" ht="15.75" customHeight="1">
      <c r="A194" s="122"/>
      <c r="B194" s="112"/>
      <c r="C194" s="113"/>
      <c r="D194" s="114"/>
      <c r="E194" s="114"/>
      <c r="F194" s="115"/>
      <c r="G194" s="115"/>
      <c r="H194" s="123"/>
      <c r="I194" s="117"/>
      <c r="J194" s="117"/>
      <c r="K194" s="117"/>
      <c r="L194" s="117"/>
      <c r="M194" s="117"/>
      <c r="N194" s="112"/>
      <c r="O194" s="113"/>
      <c r="P194" s="15"/>
      <c r="Q194" s="15"/>
      <c r="R194" s="15"/>
    </row>
    <row r="195" ht="15.75" customHeight="1">
      <c r="A195" s="122"/>
      <c r="B195" s="112"/>
      <c r="C195" s="113"/>
      <c r="D195" s="114"/>
      <c r="E195" s="114"/>
      <c r="F195" s="115"/>
      <c r="G195" s="115"/>
      <c r="H195" s="123"/>
      <c r="I195" s="117"/>
      <c r="J195" s="117"/>
      <c r="K195" s="117"/>
      <c r="L195" s="117"/>
      <c r="M195" s="117"/>
      <c r="N195" s="112"/>
      <c r="O195" s="113"/>
      <c r="P195" s="15"/>
      <c r="Q195" s="15"/>
      <c r="R195" s="15"/>
    </row>
    <row r="196" ht="15.75" customHeight="1">
      <c r="A196" s="122"/>
      <c r="B196" s="112"/>
      <c r="C196" s="113"/>
      <c r="D196" s="114"/>
      <c r="E196" s="114"/>
      <c r="F196" s="115"/>
      <c r="G196" s="115"/>
      <c r="H196" s="123"/>
      <c r="I196" s="117"/>
      <c r="J196" s="117"/>
      <c r="K196" s="117"/>
      <c r="L196" s="117"/>
      <c r="M196" s="117"/>
      <c r="N196" s="112"/>
      <c r="O196" s="113"/>
      <c r="P196" s="15"/>
      <c r="Q196" s="15"/>
      <c r="R196" s="15"/>
    </row>
    <row r="197" ht="15.75" customHeight="1">
      <c r="A197" s="122"/>
      <c r="B197" s="112"/>
      <c r="C197" s="113"/>
      <c r="D197" s="114"/>
      <c r="E197" s="114"/>
      <c r="F197" s="115"/>
      <c r="G197" s="115"/>
      <c r="H197" s="123"/>
      <c r="I197" s="117"/>
      <c r="J197" s="117"/>
      <c r="K197" s="117"/>
      <c r="L197" s="117"/>
      <c r="M197" s="117"/>
      <c r="N197" s="112"/>
      <c r="O197" s="113"/>
      <c r="P197" s="15"/>
      <c r="Q197" s="15"/>
      <c r="R197" s="15"/>
    </row>
    <row r="198" ht="15.75" customHeight="1">
      <c r="A198" s="122"/>
      <c r="B198" s="112"/>
      <c r="C198" s="113"/>
      <c r="D198" s="114"/>
      <c r="E198" s="114"/>
      <c r="F198" s="115"/>
      <c r="G198" s="115"/>
      <c r="H198" s="123"/>
      <c r="I198" s="117"/>
      <c r="J198" s="117"/>
      <c r="K198" s="117"/>
      <c r="L198" s="117"/>
      <c r="M198" s="117"/>
      <c r="N198" s="112"/>
      <c r="O198" s="113"/>
      <c r="P198" s="15"/>
      <c r="Q198" s="15"/>
      <c r="R198" s="15"/>
    </row>
    <row r="199" ht="15.75" customHeight="1">
      <c r="A199" s="122"/>
      <c r="B199" s="112"/>
      <c r="C199" s="113"/>
      <c r="D199" s="114"/>
      <c r="E199" s="114"/>
      <c r="F199" s="115"/>
      <c r="G199" s="115"/>
      <c r="H199" s="123"/>
      <c r="I199" s="117"/>
      <c r="J199" s="117"/>
      <c r="K199" s="117"/>
      <c r="L199" s="117"/>
      <c r="M199" s="117"/>
      <c r="N199" s="112"/>
      <c r="O199" s="113"/>
      <c r="P199" s="15"/>
      <c r="Q199" s="15"/>
      <c r="R199" s="15"/>
    </row>
    <row r="200" ht="15.75" customHeight="1">
      <c r="A200" s="122"/>
      <c r="B200" s="112"/>
      <c r="C200" s="113"/>
      <c r="D200" s="114"/>
      <c r="E200" s="114"/>
      <c r="F200" s="115"/>
      <c r="G200" s="115"/>
      <c r="H200" s="123"/>
      <c r="I200" s="117"/>
      <c r="J200" s="117"/>
      <c r="K200" s="117"/>
      <c r="L200" s="117"/>
      <c r="M200" s="117"/>
      <c r="N200" s="112"/>
      <c r="O200" s="113"/>
      <c r="P200" s="15"/>
      <c r="Q200" s="15"/>
      <c r="R200" s="15"/>
    </row>
    <row r="201" ht="15.75" customHeight="1">
      <c r="A201" s="122"/>
      <c r="B201" s="112"/>
      <c r="C201" s="113"/>
      <c r="D201" s="114"/>
      <c r="E201" s="114"/>
      <c r="F201" s="115"/>
      <c r="G201" s="115"/>
      <c r="H201" s="123"/>
      <c r="I201" s="117"/>
      <c r="J201" s="117"/>
      <c r="K201" s="117"/>
      <c r="L201" s="117"/>
      <c r="M201" s="117"/>
      <c r="N201" s="112"/>
      <c r="O201" s="113"/>
      <c r="P201" s="15"/>
      <c r="Q201" s="15"/>
      <c r="R201" s="15"/>
    </row>
    <row r="202" ht="15.75" customHeight="1">
      <c r="A202" s="15"/>
      <c r="B202" s="13"/>
      <c r="C202" s="15"/>
      <c r="D202" s="132"/>
      <c r="E202" s="132"/>
      <c r="F202" s="15"/>
      <c r="G202" s="15"/>
      <c r="H202" s="15"/>
      <c r="I202" s="15"/>
      <c r="J202" s="15"/>
      <c r="K202" s="15"/>
      <c r="L202" s="15"/>
      <c r="M202" s="15"/>
      <c r="N202" s="13"/>
      <c r="O202" s="15"/>
      <c r="P202" s="15"/>
      <c r="Q202" s="15"/>
      <c r="R202" s="15"/>
    </row>
    <row r="203" ht="15.75" customHeight="1">
      <c r="A203" s="15"/>
      <c r="B203" s="13"/>
      <c r="C203" s="15"/>
      <c r="D203" s="132"/>
      <c r="E203" s="132"/>
      <c r="F203" s="15"/>
      <c r="G203" s="15"/>
      <c r="H203" s="15"/>
      <c r="I203" s="15"/>
      <c r="J203" s="15"/>
      <c r="K203" s="15"/>
      <c r="L203" s="15"/>
      <c r="M203" s="15"/>
      <c r="N203" s="13"/>
      <c r="O203" s="15"/>
      <c r="P203" s="15"/>
      <c r="Q203" s="15"/>
      <c r="R203" s="15"/>
    </row>
    <row r="204" ht="27.75" customHeight="1">
      <c r="A204" s="133" t="s">
        <v>403</v>
      </c>
      <c r="B204" s="97"/>
      <c r="C204" s="97"/>
      <c r="D204" s="97"/>
      <c r="E204" s="97"/>
      <c r="F204" s="97"/>
      <c r="G204" s="97"/>
      <c r="H204" s="97"/>
      <c r="I204" s="97"/>
      <c r="J204" s="97"/>
      <c r="K204" s="97"/>
      <c r="L204" s="97"/>
      <c r="M204" s="97"/>
      <c r="N204" s="97"/>
      <c r="O204" s="98"/>
      <c r="P204" s="15"/>
      <c r="Q204" s="15"/>
      <c r="R204" s="15"/>
    </row>
    <row r="205" ht="15.75" customHeight="1">
      <c r="A205" s="134" t="s">
        <v>404</v>
      </c>
      <c r="B205" s="134" t="s">
        <v>405</v>
      </c>
      <c r="C205" s="134" t="s">
        <v>406</v>
      </c>
      <c r="D205" s="135" t="s">
        <v>407</v>
      </c>
      <c r="E205" s="135" t="s">
        <v>408</v>
      </c>
      <c r="F205" s="134" t="s">
        <v>409</v>
      </c>
      <c r="G205" s="134"/>
      <c r="H205" s="134" t="s">
        <v>221</v>
      </c>
      <c r="I205" s="134" t="s">
        <v>409</v>
      </c>
      <c r="J205" s="134" t="s">
        <v>409</v>
      </c>
      <c r="K205" s="134" t="s">
        <v>409</v>
      </c>
      <c r="L205" s="134" t="s">
        <v>409</v>
      </c>
      <c r="M205" s="134" t="s">
        <v>409</v>
      </c>
      <c r="N205" s="134" t="s">
        <v>410</v>
      </c>
      <c r="O205" s="134" t="s">
        <v>411</v>
      </c>
      <c r="P205" s="15"/>
      <c r="Q205" s="15"/>
      <c r="R205" s="15"/>
    </row>
    <row r="206" ht="27.75" customHeight="1">
      <c r="A206" s="124" t="s">
        <v>412</v>
      </c>
      <c r="B206" s="125" t="s">
        <v>413</v>
      </c>
      <c r="C206" s="126" t="s">
        <v>77</v>
      </c>
      <c r="D206" s="127">
        <v>46167.0</v>
      </c>
      <c r="E206" s="127">
        <v>46176.0</v>
      </c>
      <c r="F206" s="115" t="str">
        <f>IF(OR($D206="",$E206=""),"",IF($E206&lt;TODAY(),"Atrasado",IF($D206&gt;TODAY(),"A iniciar","Em andamento")))</f>
        <v>Atrasado</v>
      </c>
      <c r="G206" s="115"/>
      <c r="H206" s="128">
        <v>0.35</v>
      </c>
      <c r="I206" s="129"/>
      <c r="J206" s="129"/>
      <c r="K206" s="129"/>
      <c r="L206" s="129"/>
      <c r="M206" s="129"/>
      <c r="N206" s="130"/>
      <c r="O206" s="131" t="s">
        <v>414</v>
      </c>
      <c r="P206" s="15"/>
      <c r="Q206" s="15"/>
      <c r="R206" s="15"/>
    </row>
    <row r="207" ht="27.75" customHeight="1">
      <c r="A207" s="124"/>
      <c r="B207" s="125"/>
      <c r="C207" s="126" t="s">
        <v>77</v>
      </c>
      <c r="D207" s="127"/>
      <c r="E207" s="127"/>
      <c r="F207" s="115"/>
      <c r="G207" s="115"/>
      <c r="H207" s="128"/>
      <c r="I207" s="129"/>
      <c r="J207" s="129"/>
      <c r="K207" s="129"/>
      <c r="L207" s="129"/>
      <c r="M207" s="129"/>
      <c r="N207" s="130"/>
      <c r="O207" s="131"/>
      <c r="P207" s="15"/>
      <c r="Q207" s="15"/>
      <c r="R207" s="15"/>
    </row>
    <row r="208" ht="27.75" customHeight="1">
      <c r="A208" s="124"/>
      <c r="B208" s="125"/>
      <c r="C208" s="126" t="s">
        <v>77</v>
      </c>
      <c r="D208" s="127"/>
      <c r="E208" s="127"/>
      <c r="F208" s="115" t="str">
        <f t="shared" ref="F208:F209" si="3">IF(OR($D208="",$E208=""),"",IF($E208&lt;TODAY(),"Atrasado",IF($D208&gt;TODAY(),"A iniciar","Em andamento")))</f>
        <v/>
      </c>
      <c r="G208" s="115"/>
      <c r="H208" s="128">
        <v>0.35</v>
      </c>
      <c r="I208" s="129"/>
      <c r="J208" s="129"/>
      <c r="K208" s="129"/>
      <c r="L208" s="129"/>
      <c r="M208" s="129"/>
      <c r="N208" s="130"/>
      <c r="O208" s="131" t="s">
        <v>414</v>
      </c>
      <c r="P208" s="15"/>
      <c r="Q208" s="15"/>
      <c r="R208" s="15"/>
    </row>
    <row r="209" ht="27.75" customHeight="1">
      <c r="A209" s="124"/>
      <c r="B209" s="125"/>
      <c r="C209" s="126" t="s">
        <v>77</v>
      </c>
      <c r="D209" s="127"/>
      <c r="E209" s="127"/>
      <c r="F209" s="115" t="str">
        <f t="shared" si="3"/>
        <v/>
      </c>
      <c r="G209" s="115"/>
      <c r="H209" s="128">
        <v>0.35</v>
      </c>
      <c r="I209" s="129"/>
      <c r="J209" s="129"/>
      <c r="K209" s="129"/>
      <c r="L209" s="129"/>
      <c r="M209" s="129"/>
      <c r="N209" s="130"/>
      <c r="O209" s="131" t="s">
        <v>414</v>
      </c>
      <c r="P209" s="15"/>
      <c r="Q209" s="15"/>
      <c r="R209" s="15"/>
    </row>
    <row r="210" ht="36.0" customHeight="1">
      <c r="A210" s="136" t="s">
        <v>415</v>
      </c>
      <c r="P210" s="15"/>
      <c r="Q210" s="15"/>
      <c r="R210" s="15"/>
    </row>
    <row r="211" ht="15.75" customHeight="1">
      <c r="G211" s="44"/>
    </row>
    <row r="212" ht="15.75" customHeight="1">
      <c r="G212" s="44"/>
    </row>
    <row r="213" ht="15.75" customHeight="1">
      <c r="G213" s="44"/>
    </row>
    <row r="214" ht="15.75" customHeight="1">
      <c r="G214" s="44"/>
    </row>
    <row r="215" ht="15.75" customHeight="1">
      <c r="G215" s="44"/>
    </row>
    <row r="216" ht="15.75" customHeight="1">
      <c r="G216" s="44"/>
    </row>
    <row r="217" ht="15.75" customHeight="1">
      <c r="G217" s="44"/>
    </row>
    <row r="218" ht="15.75" customHeight="1">
      <c r="G218" s="44"/>
    </row>
    <row r="219" ht="15.75" customHeight="1">
      <c r="G219" s="44"/>
    </row>
    <row r="220" ht="15.75" customHeight="1">
      <c r="G220" s="44"/>
    </row>
    <row r="221" ht="15.75" customHeight="1">
      <c r="G221" s="44"/>
    </row>
    <row r="222" ht="15.75" customHeight="1">
      <c r="G222" s="44"/>
    </row>
    <row r="223" ht="15.75" customHeight="1">
      <c r="G223" s="44"/>
    </row>
    <row r="224" ht="15.75" customHeight="1">
      <c r="G224" s="44"/>
    </row>
    <row r="225" ht="15.75" customHeight="1">
      <c r="G225" s="44"/>
    </row>
    <row r="226" ht="15.75" customHeight="1">
      <c r="G226" s="44"/>
    </row>
    <row r="227" ht="15.75" customHeight="1">
      <c r="G227" s="44"/>
    </row>
    <row r="228" ht="15.75" customHeight="1">
      <c r="G228" s="44"/>
    </row>
    <row r="229" ht="15.75" customHeight="1">
      <c r="G229" s="44"/>
    </row>
    <row r="230" ht="15.75" customHeight="1">
      <c r="G230" s="44"/>
    </row>
    <row r="231" ht="15.75" customHeight="1">
      <c r="G231" s="44"/>
    </row>
    <row r="232" ht="15.75" customHeight="1">
      <c r="G232" s="44"/>
    </row>
    <row r="233" ht="15.75" customHeight="1">
      <c r="G233" s="44"/>
    </row>
    <row r="234" ht="15.75" customHeight="1">
      <c r="G234" s="44"/>
    </row>
    <row r="235" ht="15.75" customHeight="1">
      <c r="G235" s="44"/>
    </row>
    <row r="236" ht="15.75" customHeight="1">
      <c r="G236" s="44"/>
    </row>
    <row r="237" ht="15.75" customHeight="1">
      <c r="G237" s="44"/>
    </row>
    <row r="238" ht="15.75" customHeight="1">
      <c r="G238" s="44"/>
    </row>
    <row r="239" ht="15.75" customHeight="1">
      <c r="G239" s="44"/>
    </row>
    <row r="240" ht="15.75" customHeight="1">
      <c r="G240" s="44"/>
    </row>
    <row r="241" ht="15.75" customHeight="1">
      <c r="G241" s="44"/>
    </row>
    <row r="242" ht="15.75" customHeight="1">
      <c r="G242" s="44"/>
    </row>
    <row r="243" ht="15.75" customHeight="1">
      <c r="G243" s="44"/>
    </row>
    <row r="244" ht="15.75" customHeight="1">
      <c r="G244" s="44"/>
    </row>
    <row r="245" ht="15.75" customHeight="1">
      <c r="G245" s="44"/>
    </row>
    <row r="246" ht="15.75" customHeight="1">
      <c r="G246" s="44"/>
    </row>
    <row r="247" ht="15.75" customHeight="1">
      <c r="G247" s="44"/>
    </row>
    <row r="248" ht="15.75" customHeight="1">
      <c r="G248" s="44"/>
    </row>
    <row r="249" ht="15.75" customHeight="1">
      <c r="G249" s="44"/>
    </row>
    <row r="250" ht="15.75" customHeight="1">
      <c r="G250" s="44"/>
    </row>
    <row r="251" ht="15.75" customHeight="1">
      <c r="G251" s="44"/>
    </row>
    <row r="252" ht="15.75" customHeight="1">
      <c r="G252" s="44"/>
    </row>
    <row r="253" ht="15.75" customHeight="1">
      <c r="G253" s="44"/>
    </row>
    <row r="254" ht="15.75" customHeight="1">
      <c r="G254" s="44"/>
    </row>
    <row r="255" ht="15.75" customHeight="1">
      <c r="G255" s="44"/>
    </row>
    <row r="256" ht="15.75" customHeight="1">
      <c r="G256" s="44"/>
    </row>
    <row r="257" ht="15.75" customHeight="1">
      <c r="G257" s="44"/>
    </row>
    <row r="258" ht="15.75" customHeight="1">
      <c r="G258" s="44"/>
    </row>
    <row r="259" ht="15.75" customHeight="1">
      <c r="G259" s="44"/>
    </row>
    <row r="260" ht="15.75" customHeight="1">
      <c r="G260" s="44"/>
    </row>
    <row r="261" ht="15.75" customHeight="1">
      <c r="G261" s="44"/>
    </row>
    <row r="262" ht="15.75" customHeight="1">
      <c r="G262" s="44"/>
    </row>
    <row r="263" ht="15.75" customHeight="1">
      <c r="G263" s="44"/>
    </row>
    <row r="264" ht="15.75" customHeight="1">
      <c r="G264" s="44"/>
    </row>
    <row r="265" ht="15.75" customHeight="1">
      <c r="G265" s="44"/>
    </row>
    <row r="266" ht="15.75" customHeight="1">
      <c r="G266" s="44"/>
    </row>
    <row r="267" ht="15.75" customHeight="1">
      <c r="G267" s="44"/>
    </row>
    <row r="268" ht="15.75" customHeight="1">
      <c r="G268" s="44"/>
    </row>
    <row r="269" ht="15.75" customHeight="1">
      <c r="G269" s="44"/>
    </row>
    <row r="270" ht="15.75" customHeight="1">
      <c r="G270" s="44"/>
    </row>
    <row r="271" ht="15.75" customHeight="1">
      <c r="G271" s="44"/>
    </row>
    <row r="272" ht="15.75" customHeight="1">
      <c r="G272" s="44"/>
    </row>
    <row r="273" ht="15.75" customHeight="1">
      <c r="G273" s="44"/>
    </row>
    <row r="274" ht="15.75" customHeight="1">
      <c r="G274" s="44"/>
    </row>
    <row r="275" ht="15.75" customHeight="1">
      <c r="G275" s="44"/>
    </row>
    <row r="276" ht="15.75" customHeight="1">
      <c r="G276" s="44"/>
    </row>
    <row r="277" ht="15.75" customHeight="1">
      <c r="G277" s="44"/>
    </row>
    <row r="278" ht="15.75" customHeight="1">
      <c r="G278" s="44"/>
    </row>
    <row r="279" ht="15.75" customHeight="1">
      <c r="G279" s="44"/>
    </row>
    <row r="280" ht="15.75" customHeight="1">
      <c r="G280" s="44"/>
    </row>
    <row r="281" ht="15.75" customHeight="1">
      <c r="G281" s="44"/>
    </row>
    <row r="282" ht="15.75" customHeight="1">
      <c r="G282" s="44"/>
    </row>
    <row r="283" ht="15.75" customHeight="1">
      <c r="G283" s="44"/>
    </row>
    <row r="284" ht="15.75" customHeight="1">
      <c r="G284" s="44"/>
    </row>
    <row r="285" ht="15.75" customHeight="1">
      <c r="G285" s="44"/>
    </row>
    <row r="286" ht="15.75" customHeight="1">
      <c r="G286" s="44"/>
    </row>
    <row r="287" ht="15.75" customHeight="1">
      <c r="G287" s="44"/>
    </row>
    <row r="288" ht="15.75" customHeight="1">
      <c r="G288" s="44"/>
    </row>
    <row r="289" ht="15.75" customHeight="1">
      <c r="G289" s="44"/>
    </row>
    <row r="290" ht="15.75" customHeight="1">
      <c r="G290" s="44"/>
    </row>
    <row r="291" ht="15.75" customHeight="1">
      <c r="G291" s="44"/>
    </row>
    <row r="292" ht="15.75" customHeight="1">
      <c r="G292" s="44"/>
    </row>
    <row r="293" ht="15.75" customHeight="1">
      <c r="G293" s="44"/>
    </row>
    <row r="294" ht="15.75" customHeight="1">
      <c r="G294" s="44"/>
    </row>
    <row r="295" ht="15.75" customHeight="1">
      <c r="G295" s="44"/>
    </row>
    <row r="296" ht="15.75" customHeight="1">
      <c r="G296" s="44"/>
    </row>
    <row r="297" ht="15.75" customHeight="1">
      <c r="G297" s="44"/>
    </row>
    <row r="298" ht="15.75" customHeight="1">
      <c r="G298" s="44"/>
    </row>
    <row r="299" ht="15.75" customHeight="1">
      <c r="G299" s="44"/>
    </row>
    <row r="300" ht="15.75" customHeight="1">
      <c r="G300" s="44"/>
    </row>
    <row r="301" ht="15.75" customHeight="1">
      <c r="G301" s="44"/>
    </row>
    <row r="302" ht="15.75" customHeight="1">
      <c r="G302" s="44"/>
    </row>
    <row r="303" ht="15.75" customHeight="1">
      <c r="G303" s="44"/>
    </row>
    <row r="304" ht="15.75" customHeight="1">
      <c r="G304" s="44"/>
    </row>
    <row r="305" ht="15.75" customHeight="1">
      <c r="G305" s="44"/>
    </row>
    <row r="306" ht="15.75" customHeight="1">
      <c r="G306" s="44"/>
    </row>
    <row r="307" ht="15.75" customHeight="1">
      <c r="G307" s="44"/>
    </row>
    <row r="308" ht="15.75" customHeight="1">
      <c r="G308" s="44"/>
    </row>
    <row r="309" ht="15.75" customHeight="1">
      <c r="G309" s="44"/>
    </row>
    <row r="310" ht="15.75" customHeight="1">
      <c r="G310" s="44"/>
    </row>
    <row r="311" ht="15.75" customHeight="1">
      <c r="G311" s="44"/>
    </row>
    <row r="312" ht="15.75" customHeight="1">
      <c r="G312" s="44"/>
    </row>
    <row r="313" ht="15.75" customHeight="1">
      <c r="G313" s="44"/>
    </row>
    <row r="314" ht="15.75" customHeight="1">
      <c r="G314" s="44"/>
    </row>
    <row r="315" ht="15.75" customHeight="1">
      <c r="G315" s="44"/>
    </row>
    <row r="316" ht="15.75" customHeight="1">
      <c r="G316" s="44"/>
    </row>
    <row r="317" ht="15.75" customHeight="1">
      <c r="G317" s="44"/>
    </row>
    <row r="318" ht="15.75" customHeight="1">
      <c r="G318" s="44"/>
    </row>
    <row r="319" ht="15.75" customHeight="1">
      <c r="G319" s="44"/>
    </row>
    <row r="320" ht="15.75" customHeight="1">
      <c r="G320" s="44"/>
    </row>
    <row r="321" ht="15.75" customHeight="1">
      <c r="G321" s="44"/>
    </row>
    <row r="322" ht="15.75" customHeight="1">
      <c r="G322" s="44"/>
    </row>
    <row r="323" ht="15.75" customHeight="1">
      <c r="G323" s="44"/>
    </row>
    <row r="324" ht="15.75" customHeight="1">
      <c r="G324" s="44"/>
    </row>
    <row r="325" ht="15.75" customHeight="1">
      <c r="G325" s="44"/>
    </row>
    <row r="326" ht="15.75" customHeight="1">
      <c r="G326" s="44"/>
    </row>
    <row r="327" ht="15.75" customHeight="1">
      <c r="G327" s="44"/>
    </row>
    <row r="328" ht="15.75" customHeight="1">
      <c r="G328" s="44"/>
    </row>
    <row r="329" ht="15.75" customHeight="1">
      <c r="G329" s="44"/>
    </row>
    <row r="330" ht="15.75" customHeight="1">
      <c r="G330" s="44"/>
    </row>
    <row r="331" ht="15.75" customHeight="1">
      <c r="G331" s="44"/>
    </row>
    <row r="332" ht="15.75" customHeight="1">
      <c r="G332" s="44"/>
    </row>
    <row r="333" ht="15.75" customHeight="1">
      <c r="G333" s="44"/>
    </row>
    <row r="334" ht="15.75" customHeight="1">
      <c r="G334" s="44"/>
    </row>
    <row r="335" ht="15.75" customHeight="1">
      <c r="G335" s="44"/>
    </row>
    <row r="336" ht="15.75" customHeight="1">
      <c r="G336" s="44"/>
    </row>
    <row r="337" ht="15.75" customHeight="1">
      <c r="G337" s="44"/>
    </row>
    <row r="338" ht="15.75" customHeight="1">
      <c r="G338" s="44"/>
    </row>
    <row r="339" ht="15.75" customHeight="1">
      <c r="G339" s="44"/>
    </row>
    <row r="340" ht="15.75" customHeight="1">
      <c r="G340" s="44"/>
    </row>
    <row r="341" ht="15.75" customHeight="1">
      <c r="G341" s="44"/>
    </row>
    <row r="342" ht="15.75" customHeight="1">
      <c r="G342" s="44"/>
    </row>
    <row r="343" ht="15.75" customHeight="1">
      <c r="G343" s="44"/>
    </row>
    <row r="344" ht="15.75" customHeight="1">
      <c r="G344" s="44"/>
    </row>
    <row r="345" ht="15.75" customHeight="1">
      <c r="G345" s="44"/>
    </row>
    <row r="346" ht="15.75" customHeight="1">
      <c r="G346" s="44"/>
    </row>
    <row r="347" ht="15.75" customHeight="1">
      <c r="G347" s="44"/>
    </row>
    <row r="348" ht="15.75" customHeight="1">
      <c r="G348" s="44"/>
    </row>
    <row r="349" ht="15.75" customHeight="1">
      <c r="G349" s="44"/>
    </row>
    <row r="350" ht="15.75" customHeight="1">
      <c r="G350" s="44"/>
    </row>
    <row r="351" ht="15.75" customHeight="1">
      <c r="G351" s="44"/>
    </row>
    <row r="352" ht="15.75" customHeight="1">
      <c r="G352" s="44"/>
    </row>
    <row r="353" ht="15.75" customHeight="1">
      <c r="G353" s="44"/>
    </row>
    <row r="354" ht="15.75" customHeight="1">
      <c r="G354" s="44"/>
    </row>
    <row r="355" ht="15.75" customHeight="1">
      <c r="G355" s="44"/>
    </row>
    <row r="356" ht="15.75" customHeight="1">
      <c r="G356" s="44"/>
    </row>
    <row r="357" ht="15.75" customHeight="1">
      <c r="G357" s="44"/>
    </row>
    <row r="358" ht="15.75" customHeight="1">
      <c r="G358" s="44"/>
    </row>
    <row r="359" ht="15.75" customHeight="1">
      <c r="G359" s="44"/>
    </row>
    <row r="360" ht="15.75" customHeight="1">
      <c r="G360" s="44"/>
    </row>
    <row r="361" ht="15.75" customHeight="1">
      <c r="G361" s="44"/>
    </row>
    <row r="362" ht="15.75" customHeight="1">
      <c r="G362" s="44"/>
    </row>
    <row r="363" ht="15.75" customHeight="1">
      <c r="G363" s="44"/>
    </row>
    <row r="364" ht="15.75" customHeight="1">
      <c r="G364" s="44"/>
    </row>
    <row r="365" ht="15.75" customHeight="1">
      <c r="G365" s="44"/>
    </row>
    <row r="366" ht="15.75" customHeight="1">
      <c r="G366" s="44"/>
    </row>
    <row r="367" ht="15.75" customHeight="1">
      <c r="G367" s="44"/>
    </row>
    <row r="368" ht="15.75" customHeight="1">
      <c r="G368" s="44"/>
    </row>
    <row r="369" ht="15.75" customHeight="1">
      <c r="G369" s="44"/>
    </row>
    <row r="370" ht="15.75" customHeight="1">
      <c r="G370" s="44"/>
    </row>
    <row r="371" ht="15.75" customHeight="1">
      <c r="G371" s="44"/>
    </row>
    <row r="372" ht="15.75" customHeight="1">
      <c r="G372" s="44"/>
    </row>
    <row r="373" ht="15.75" customHeight="1">
      <c r="G373" s="44"/>
    </row>
    <row r="374" ht="15.75" customHeight="1">
      <c r="G374" s="44"/>
    </row>
    <row r="375" ht="15.75" customHeight="1">
      <c r="G375" s="44"/>
    </row>
    <row r="376" ht="15.75" customHeight="1">
      <c r="G376" s="44"/>
    </row>
    <row r="377" ht="15.75" customHeight="1">
      <c r="G377" s="44"/>
    </row>
    <row r="378" ht="15.75" customHeight="1">
      <c r="G378" s="44"/>
    </row>
    <row r="379" ht="15.75" customHeight="1">
      <c r="G379" s="44"/>
    </row>
    <row r="380" ht="15.75" customHeight="1">
      <c r="G380" s="44"/>
    </row>
    <row r="381" ht="15.75" customHeight="1">
      <c r="G381" s="44"/>
    </row>
    <row r="382" ht="15.75" customHeight="1">
      <c r="G382" s="44"/>
    </row>
    <row r="383" ht="15.75" customHeight="1">
      <c r="G383" s="44"/>
    </row>
    <row r="384" ht="15.75" customHeight="1">
      <c r="G384" s="44"/>
    </row>
    <row r="385" ht="15.75" customHeight="1">
      <c r="G385" s="44"/>
    </row>
    <row r="386" ht="15.75" customHeight="1">
      <c r="G386" s="44"/>
    </row>
    <row r="387" ht="15.75" customHeight="1">
      <c r="G387" s="44"/>
    </row>
    <row r="388" ht="15.75" customHeight="1">
      <c r="G388" s="44"/>
    </row>
    <row r="389" ht="15.75" customHeight="1">
      <c r="G389" s="44"/>
    </row>
    <row r="390" ht="15.75" customHeight="1">
      <c r="G390" s="44"/>
    </row>
    <row r="391" ht="15.75" customHeight="1">
      <c r="G391" s="44"/>
    </row>
    <row r="392" ht="15.75" customHeight="1">
      <c r="G392" s="44"/>
    </row>
    <row r="393" ht="15.75" customHeight="1">
      <c r="G393" s="44"/>
    </row>
    <row r="394" ht="15.75" customHeight="1">
      <c r="G394" s="44"/>
    </row>
    <row r="395" ht="15.75" customHeight="1">
      <c r="G395" s="44"/>
    </row>
    <row r="396" ht="15.75" customHeight="1">
      <c r="G396" s="44"/>
    </row>
    <row r="397" ht="15.75" customHeight="1">
      <c r="G397" s="44"/>
    </row>
    <row r="398" ht="15.75" customHeight="1">
      <c r="G398" s="44"/>
    </row>
    <row r="399" ht="15.75" customHeight="1">
      <c r="G399" s="44"/>
    </row>
    <row r="400" ht="15.75" customHeight="1">
      <c r="G400" s="44"/>
    </row>
    <row r="401" ht="15.75" customHeight="1">
      <c r="G401" s="44"/>
    </row>
    <row r="402" ht="15.75" customHeight="1">
      <c r="G402" s="44"/>
    </row>
    <row r="403" ht="15.75" customHeight="1">
      <c r="G403" s="44"/>
    </row>
    <row r="404" ht="15.75" customHeight="1">
      <c r="G404" s="44"/>
    </row>
    <row r="405" ht="15.75" customHeight="1">
      <c r="G405" s="44"/>
    </row>
    <row r="406" ht="15.75" customHeight="1">
      <c r="G406" s="44"/>
    </row>
    <row r="407" ht="15.75" customHeight="1">
      <c r="G407" s="44"/>
    </row>
    <row r="408" ht="15.75" customHeight="1">
      <c r="G408" s="44"/>
    </row>
    <row r="409" ht="15.75" customHeight="1">
      <c r="G409" s="44"/>
    </row>
    <row r="410" ht="15.75" customHeight="1">
      <c r="G410" s="44"/>
    </row>
    <row r="411" ht="15.75" customHeight="1">
      <c r="G411" s="44"/>
    </row>
    <row r="412" ht="15.75" customHeight="1">
      <c r="G412" s="44"/>
    </row>
    <row r="413" ht="15.75" customHeight="1">
      <c r="G413" s="44"/>
    </row>
    <row r="414" ht="15.75" customHeight="1">
      <c r="G414" s="44"/>
    </row>
    <row r="415" ht="15.75" customHeight="1">
      <c r="G415" s="44"/>
    </row>
    <row r="416" ht="15.75" customHeight="1">
      <c r="G416" s="44"/>
    </row>
    <row r="417" ht="15.75" customHeight="1">
      <c r="G417" s="44"/>
    </row>
    <row r="418" ht="15.75" customHeight="1">
      <c r="G418" s="44"/>
    </row>
    <row r="419" ht="15.75" customHeight="1">
      <c r="G419" s="44"/>
    </row>
    <row r="420" ht="15.75" customHeight="1">
      <c r="G420" s="44"/>
    </row>
    <row r="421" ht="15.75" customHeight="1">
      <c r="G421" s="44"/>
    </row>
    <row r="422" ht="15.75" customHeight="1">
      <c r="G422" s="44"/>
    </row>
    <row r="423" ht="15.75" customHeight="1">
      <c r="G423" s="44"/>
    </row>
    <row r="424" ht="15.75" customHeight="1">
      <c r="G424" s="44"/>
    </row>
    <row r="425" ht="15.75" customHeight="1">
      <c r="G425" s="44"/>
    </row>
    <row r="426" ht="15.75" customHeight="1">
      <c r="G426" s="44"/>
    </row>
    <row r="427" ht="15.75" customHeight="1">
      <c r="G427" s="44"/>
    </row>
    <row r="428" ht="15.75" customHeight="1">
      <c r="G428" s="44"/>
    </row>
    <row r="429" ht="15.75" customHeight="1">
      <c r="G429" s="44"/>
    </row>
    <row r="430" ht="15.75" customHeight="1">
      <c r="G430" s="44"/>
    </row>
    <row r="431" ht="15.75" customHeight="1">
      <c r="G431" s="44"/>
    </row>
    <row r="432" ht="15.75" customHeight="1">
      <c r="G432" s="44"/>
    </row>
    <row r="433" ht="15.75" customHeight="1">
      <c r="G433" s="44"/>
    </row>
    <row r="434" ht="15.75" customHeight="1">
      <c r="G434" s="44"/>
    </row>
    <row r="435" ht="15.75" customHeight="1">
      <c r="G435" s="44"/>
    </row>
    <row r="436" ht="15.75" customHeight="1">
      <c r="G436" s="44"/>
    </row>
    <row r="437" ht="15.75" customHeight="1">
      <c r="G437" s="44"/>
    </row>
    <row r="438" ht="15.75" customHeight="1">
      <c r="G438" s="44"/>
    </row>
    <row r="439" ht="15.75" customHeight="1">
      <c r="G439" s="44"/>
    </row>
    <row r="440" ht="15.75" customHeight="1">
      <c r="G440" s="44"/>
    </row>
    <row r="441" ht="15.75" customHeight="1">
      <c r="G441" s="44"/>
    </row>
    <row r="442" ht="15.75" customHeight="1">
      <c r="G442" s="44"/>
    </row>
    <row r="443" ht="15.75" customHeight="1">
      <c r="G443" s="44"/>
    </row>
    <row r="444" ht="15.75" customHeight="1">
      <c r="G444" s="44"/>
    </row>
    <row r="445" ht="15.75" customHeight="1">
      <c r="G445" s="44"/>
    </row>
    <row r="446" ht="15.75" customHeight="1">
      <c r="G446" s="44"/>
    </row>
    <row r="447" ht="15.75" customHeight="1">
      <c r="G447" s="44"/>
    </row>
    <row r="448" ht="15.75" customHeight="1">
      <c r="G448" s="44"/>
    </row>
    <row r="449" ht="15.75" customHeight="1">
      <c r="G449" s="44"/>
    </row>
    <row r="450" ht="15.75" customHeight="1">
      <c r="G450" s="44"/>
    </row>
    <row r="451" ht="15.75" customHeight="1">
      <c r="G451" s="44"/>
    </row>
    <row r="452" ht="15.75" customHeight="1">
      <c r="G452" s="44"/>
    </row>
    <row r="453" ht="15.75" customHeight="1">
      <c r="G453" s="44"/>
    </row>
    <row r="454" ht="15.75" customHeight="1">
      <c r="G454" s="44"/>
    </row>
    <row r="455" ht="15.75" customHeight="1">
      <c r="G455" s="44"/>
    </row>
    <row r="456" ht="15.75" customHeight="1">
      <c r="G456" s="44"/>
    </row>
    <row r="457" ht="15.75" customHeight="1">
      <c r="G457" s="44"/>
    </row>
    <row r="458" ht="15.75" customHeight="1">
      <c r="G458" s="44"/>
    </row>
    <row r="459" ht="15.75" customHeight="1">
      <c r="G459" s="44"/>
    </row>
    <row r="460" ht="15.75" customHeight="1">
      <c r="G460" s="44"/>
    </row>
    <row r="461" ht="15.75" customHeight="1">
      <c r="G461" s="44"/>
    </row>
    <row r="462" ht="15.75" customHeight="1">
      <c r="G462" s="44"/>
    </row>
    <row r="463" ht="15.75" customHeight="1">
      <c r="G463" s="44"/>
    </row>
    <row r="464" ht="15.75" customHeight="1">
      <c r="G464" s="44"/>
    </row>
    <row r="465" ht="15.75" customHeight="1">
      <c r="G465" s="44"/>
    </row>
    <row r="466" ht="15.75" customHeight="1">
      <c r="G466" s="44"/>
    </row>
    <row r="467" ht="15.75" customHeight="1">
      <c r="G467" s="44"/>
    </row>
    <row r="468" ht="15.75" customHeight="1">
      <c r="G468" s="44"/>
    </row>
    <row r="469" ht="15.75" customHeight="1">
      <c r="G469" s="44"/>
    </row>
    <row r="470" ht="15.75" customHeight="1">
      <c r="G470" s="44"/>
    </row>
    <row r="471" ht="15.75" customHeight="1">
      <c r="G471" s="44"/>
    </row>
    <row r="472" ht="15.75" customHeight="1">
      <c r="G472" s="44"/>
    </row>
    <row r="473" ht="15.75" customHeight="1">
      <c r="G473" s="44"/>
    </row>
    <row r="474" ht="15.75" customHeight="1">
      <c r="G474" s="44"/>
    </row>
    <row r="475" ht="15.75" customHeight="1">
      <c r="G475" s="44"/>
    </row>
    <row r="476" ht="15.75" customHeight="1">
      <c r="G476" s="44"/>
    </row>
    <row r="477" ht="15.75" customHeight="1">
      <c r="G477" s="44"/>
    </row>
    <row r="478" ht="15.75" customHeight="1">
      <c r="G478" s="44"/>
    </row>
    <row r="479" ht="15.75" customHeight="1">
      <c r="G479" s="44"/>
    </row>
    <row r="480" ht="15.75" customHeight="1">
      <c r="G480" s="44"/>
    </row>
    <row r="481" ht="15.75" customHeight="1">
      <c r="G481" s="44"/>
    </row>
    <row r="482" ht="15.75" customHeight="1">
      <c r="G482" s="44"/>
    </row>
    <row r="483" ht="15.75" customHeight="1">
      <c r="G483" s="44"/>
    </row>
    <row r="484" ht="15.75" customHeight="1">
      <c r="G484" s="44"/>
    </row>
    <row r="485" ht="15.75" customHeight="1">
      <c r="G485" s="44"/>
    </row>
    <row r="486" ht="15.75" customHeight="1">
      <c r="G486" s="44"/>
    </row>
    <row r="487" ht="15.75" customHeight="1">
      <c r="G487" s="44"/>
    </row>
    <row r="488" ht="15.75" customHeight="1">
      <c r="G488" s="44"/>
    </row>
    <row r="489" ht="15.75" customHeight="1">
      <c r="G489" s="44"/>
    </row>
    <row r="490" ht="15.75" customHeight="1">
      <c r="G490" s="44"/>
    </row>
    <row r="491" ht="15.75" customHeight="1">
      <c r="G491" s="44"/>
    </row>
    <row r="492" ht="15.75" customHeight="1">
      <c r="G492" s="44"/>
    </row>
    <row r="493" ht="15.75" customHeight="1">
      <c r="G493" s="44"/>
    </row>
    <row r="494" ht="15.75" customHeight="1">
      <c r="G494" s="44"/>
    </row>
    <row r="495" ht="15.75" customHeight="1">
      <c r="G495" s="44"/>
    </row>
    <row r="496" ht="15.75" customHeight="1">
      <c r="G496" s="44"/>
    </row>
    <row r="497" ht="15.75" customHeight="1">
      <c r="G497" s="44"/>
    </row>
    <row r="498" ht="15.75" customHeight="1">
      <c r="G498" s="44"/>
    </row>
    <row r="499" ht="15.75" customHeight="1">
      <c r="G499" s="44"/>
    </row>
    <row r="500" ht="15.75" customHeight="1">
      <c r="G500" s="44"/>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A$7:$O$303"/>
  <mergeCells count="13">
    <mergeCell ref="A5:C5"/>
    <mergeCell ref="D5:F5"/>
    <mergeCell ref="H5:I5"/>
    <mergeCell ref="J5:L5"/>
    <mergeCell ref="A204:O204"/>
    <mergeCell ref="A210:O210"/>
    <mergeCell ref="A1:C2"/>
    <mergeCell ref="D1:O1"/>
    <mergeCell ref="D2:O2"/>
    <mergeCell ref="A4:C4"/>
    <mergeCell ref="D4:F4"/>
    <mergeCell ref="H4:I4"/>
    <mergeCell ref="J4:L4"/>
  </mergeCells>
  <conditionalFormatting sqref="F8:G171">
    <cfRule type="cellIs" dxfId="0" priority="1" stopIfTrue="1" operator="equal">
      <formula>"Atrasado"</formula>
    </cfRule>
  </conditionalFormatting>
  <conditionalFormatting sqref="F8:G171">
    <cfRule type="cellIs" dxfId="1" priority="2" stopIfTrue="1" operator="equal">
      <formula>"Em andamento"</formula>
    </cfRule>
  </conditionalFormatting>
  <conditionalFormatting sqref="F8:G171">
    <cfRule type="cellIs" dxfId="2" priority="3" stopIfTrue="1" operator="equal">
      <formula>"Concluído"</formula>
    </cfRule>
  </conditionalFormatting>
  <conditionalFormatting sqref="F8:G171">
    <cfRule type="cellIs" dxfId="2" priority="4" stopIfTrue="1" operator="equal">
      <formula>"Concluido"</formula>
    </cfRule>
  </conditionalFormatting>
  <conditionalFormatting sqref="F8:G171">
    <cfRule type="cellIs" dxfId="3" priority="5" stopIfTrue="1" operator="equal">
      <formula>"A iniciar"</formula>
    </cfRule>
  </conditionalFormatting>
  <conditionalFormatting sqref="F8:G171">
    <cfRule type="cellIs" dxfId="4" priority="6" stopIfTrue="1" operator="equal">
      <formula>"Parado"</formula>
    </cfRule>
  </conditionalFormatting>
  <conditionalFormatting sqref="F8:G171">
    <cfRule type="cellIs" dxfId="5" priority="7" stopIfTrue="1" operator="equal">
      <formula>"Cancelado"</formula>
    </cfRule>
  </conditionalFormatting>
  <conditionalFormatting sqref="I8:I171">
    <cfRule type="cellIs" dxfId="2" priority="8" stopIfTrue="1" operator="equal">
      <formula>"OK"</formula>
    </cfRule>
  </conditionalFormatting>
  <conditionalFormatting sqref="I8:I171">
    <cfRule type="cellIs" dxfId="0" priority="9" stopIfTrue="1" operator="equal">
      <formula>"Pendente"</formula>
    </cfRule>
  </conditionalFormatting>
  <conditionalFormatting sqref="I8:I171">
    <cfRule type="cellIs" dxfId="1" priority="10" stopIfTrue="1" operator="equal">
      <formula>"Parcial"</formula>
    </cfRule>
  </conditionalFormatting>
  <conditionalFormatting sqref="J8:J171">
    <cfRule type="cellIs" dxfId="2" priority="11" stopIfTrue="1" operator="equal">
      <formula>"OK"</formula>
    </cfRule>
  </conditionalFormatting>
  <conditionalFormatting sqref="J8:J171">
    <cfRule type="cellIs" dxfId="0" priority="12" stopIfTrue="1" operator="equal">
      <formula>"Pendente"</formula>
    </cfRule>
  </conditionalFormatting>
  <conditionalFormatting sqref="J8:J171">
    <cfRule type="cellIs" dxfId="1" priority="13" stopIfTrue="1" operator="equal">
      <formula>"Parcial"</formula>
    </cfRule>
  </conditionalFormatting>
  <conditionalFormatting sqref="K8:K171">
    <cfRule type="cellIs" dxfId="2" priority="14" stopIfTrue="1" operator="equal">
      <formula>"OK"</formula>
    </cfRule>
  </conditionalFormatting>
  <conditionalFormatting sqref="K8:K171">
    <cfRule type="cellIs" dxfId="0" priority="15" stopIfTrue="1" operator="equal">
      <formula>"Pendente"</formula>
    </cfRule>
  </conditionalFormatting>
  <conditionalFormatting sqref="K8:K171">
    <cfRule type="cellIs" dxfId="1" priority="16" stopIfTrue="1" operator="equal">
      <formula>"Parcial"</formula>
    </cfRule>
  </conditionalFormatting>
  <conditionalFormatting sqref="L8:L171">
    <cfRule type="cellIs" dxfId="2" priority="17" stopIfTrue="1" operator="equal">
      <formula>"OK"</formula>
    </cfRule>
  </conditionalFormatting>
  <conditionalFormatting sqref="L8:L171">
    <cfRule type="cellIs" dxfId="0" priority="18" stopIfTrue="1" operator="equal">
      <formula>"Pendente"</formula>
    </cfRule>
  </conditionalFormatting>
  <conditionalFormatting sqref="L8:L171">
    <cfRule type="cellIs" dxfId="1" priority="19" stopIfTrue="1" operator="equal">
      <formula>"Parcial"</formula>
    </cfRule>
  </conditionalFormatting>
  <conditionalFormatting sqref="M8:M171">
    <cfRule type="cellIs" dxfId="2" priority="20" stopIfTrue="1" operator="equal">
      <formula>"OK"</formula>
    </cfRule>
  </conditionalFormatting>
  <conditionalFormatting sqref="M8:M171">
    <cfRule type="cellIs" dxfId="0" priority="21" stopIfTrue="1" operator="equal">
      <formula>"Pendente"</formula>
    </cfRule>
  </conditionalFormatting>
  <conditionalFormatting sqref="M8:M171">
    <cfRule type="cellIs" dxfId="1" priority="22" stopIfTrue="1" operator="equal">
      <formula>"Parcial"</formula>
    </cfRule>
  </conditionalFormatting>
  <conditionalFormatting sqref="H8:H171">
    <cfRule type="colorScale" priority="23">
      <colorScale>
        <cfvo type="min"/>
        <cfvo type="max"/>
        <color rgb="FFFFFFFF"/>
        <color rgb="FF70AD47"/>
      </colorScale>
    </cfRule>
  </conditionalFormatting>
  <conditionalFormatting sqref="R8:R171">
    <cfRule type="colorScale" priority="24">
      <colorScale>
        <cfvo type="min"/>
        <cfvo type="max"/>
        <color rgb="FFFFFFFF"/>
        <color rgb="FF4472C4"/>
      </colorScale>
    </cfRule>
  </conditionalFormatting>
  <conditionalFormatting sqref="G8:G500">
    <cfRule type="cellIs" dxfId="6" priority="25" stopIfTrue="1" operator="equal">
      <formula>"Não iniciado"</formula>
    </cfRule>
  </conditionalFormatting>
  <conditionalFormatting sqref="G8:G500">
    <cfRule type="cellIs" dxfId="7" priority="26" stopIfTrue="1" operator="equal">
      <formula>"Iniciado"</formula>
    </cfRule>
  </conditionalFormatting>
  <conditionalFormatting sqref="G8:G500">
    <cfRule type="cellIs" dxfId="8" priority="27" stopIfTrue="1" operator="equal">
      <formula>"Paralisado"</formula>
    </cfRule>
  </conditionalFormatting>
  <conditionalFormatting sqref="G8:G500">
    <cfRule type="cellIs" dxfId="9" priority="28" stopIfTrue="1" operator="equal">
      <formula>"Finalizado"</formula>
    </cfRule>
  </conditionalFormatting>
  <conditionalFormatting sqref="G8:G500">
    <cfRule type="cellIs" dxfId="10" priority="29" stopIfTrue="1" operator="equal">
      <formula>"Cancelado"</formula>
    </cfRule>
  </conditionalFormatting>
  <dataValidations>
    <dataValidation type="list" allowBlank="1" showErrorMessage="1" sqref="G8:G203 G205:G209 G211:G500">
      <formula1>"Não iniciado,Iniciado,Paralisado,Finalizado,Cancelado"</formula1>
    </dataValidation>
    <dataValidation type="date" operator="greaterThanOrEqual" allowBlank="1" sqref="D8:E174 D176:E201 D206:E209">
      <formula1>1900-1-1</formula1>
    </dataValidation>
    <dataValidation type="list" allowBlank="1" sqref="C8:C174 C176:C201 C206:C209">
      <formula1>"Preliminares,Elevadores,Andar 8,Andar 9,Roof Top,M1 - Novo Arquivo,Halls - M1/Terreo/M2,Halls - Subsolos"</formula1>
    </dataValidation>
    <dataValidation type="list" allowBlank="1" sqref="O8:O174 O176:O201 O206:O209">
      <formula1>"Original,Aditivo"</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7.0" topLeftCell="A8" activePane="bottomLeft" state="frozen"/>
      <selection activeCell="B9" sqref="B9" pane="bottomLeft"/>
    </sheetView>
  </sheetViews>
  <sheetFormatPr customHeight="1" defaultColWidth="14.43" defaultRowHeight="15.0" outlineLevelRow="3"/>
  <cols>
    <col customWidth="1" min="1" max="1" width="12.29"/>
    <col customWidth="1" min="2" max="2" width="13.0"/>
    <col customWidth="1" min="3" max="3" width="59.29"/>
    <col customWidth="1" min="4" max="4" width="45.86"/>
    <col customWidth="1" min="5" max="6" width="14.43"/>
    <col customWidth="1" min="7" max="7" width="17.29"/>
    <col customWidth="1" min="8" max="8" width="17.71"/>
    <col customWidth="1" min="9" max="9" width="23.0"/>
    <col customWidth="1" min="10" max="11" width="11.57"/>
    <col customWidth="1" min="12" max="12" width="13.0"/>
    <col customWidth="1" min="13" max="13" width="14.43"/>
    <col customWidth="1" min="14" max="14" width="16.14"/>
    <col customWidth="1" min="15" max="15" width="10.86"/>
    <col customWidth="1" min="16" max="16" width="28.71"/>
  </cols>
  <sheetData>
    <row r="1" ht="16.5" customHeight="1">
      <c r="A1" s="137" t="s">
        <v>211</v>
      </c>
      <c r="C1" s="138"/>
      <c r="D1" s="138" t="s">
        <v>416</v>
      </c>
    </row>
    <row r="2" ht="16.5" customHeight="1">
      <c r="C2" s="139"/>
      <c r="D2" s="139" t="s">
        <v>417</v>
      </c>
    </row>
    <row r="4" ht="16.5" customHeight="1">
      <c r="A4" s="140" t="s">
        <v>215</v>
      </c>
      <c r="C4" s="140"/>
      <c r="D4" s="140" t="s">
        <v>418</v>
      </c>
      <c r="F4" s="140" t="s">
        <v>419</v>
      </c>
      <c r="I4" s="140"/>
      <c r="J4" s="140" t="s">
        <v>420</v>
      </c>
      <c r="L4" s="140" t="s">
        <v>421</v>
      </c>
      <c r="N4" s="140" t="s">
        <v>422</v>
      </c>
    </row>
    <row r="5" ht="21.0" customHeight="1">
      <c r="A5" s="141">
        <f>SUMPRODUCT((A9:A329&lt;&gt;"")*(F9:F329&lt;&gt;"")*(F9:F329&lt;TODAY())*(H9:H329&lt;&gt;"Concluído")*(H9:H329&lt;&gt;"Cancelado"))</f>
        <v>0</v>
      </c>
      <c r="C5" s="142"/>
      <c r="D5" s="142">
        <f>SUMPRODUCT((A9:A329&lt;&gt;"")*(E9:E329&lt;&gt;"")*(E9:E329&gt;=TODAY())*(E9:E329&lt;=TODAY()+3)*(H9:H329&lt;&gt;"Concluído"))</f>
        <v>0</v>
      </c>
      <c r="F5" s="143">
        <f>SUMPRODUCT((A9:A329&lt;&gt;"")*(E9:E329&lt;&gt;"")*(E9:E329&gt;TODAY()+3)*(E9:E329&lt;=TODAY()+15)*(H9:H329&lt;&gt;"Concluído"))</f>
        <v>0</v>
      </c>
      <c r="I5" s="144"/>
      <c r="J5" s="145">
        <f>COUNTA(A9:A329)</f>
        <v>321</v>
      </c>
      <c r="L5" s="141">
        <f>COUNTIF(J9:J329,"Pendente")+COUNTIF(K9:K329,"Pendente")</f>
        <v>0</v>
      </c>
      <c r="N5" s="141">
        <f>COUNTIF(L9:L329,"Pendente")+COUNTIF(M9:M329,"Pendente")+COUNTIF(N9:N329,"Pendente")</f>
        <v>0</v>
      </c>
    </row>
    <row r="6" ht="6.0" customHeight="1"/>
    <row r="7" ht="27.0" customHeight="1">
      <c r="A7" s="146" t="s">
        <v>36</v>
      </c>
      <c r="B7" s="146" t="s">
        <v>9</v>
      </c>
      <c r="C7" s="146" t="s">
        <v>10</v>
      </c>
      <c r="D7" s="146" t="s">
        <v>423</v>
      </c>
      <c r="E7" s="146" t="s">
        <v>424</v>
      </c>
      <c r="F7" s="146" t="s">
        <v>425</v>
      </c>
      <c r="G7" s="147" t="s">
        <v>181</v>
      </c>
      <c r="H7" s="146" t="s">
        <v>13</v>
      </c>
      <c r="I7" s="146" t="s">
        <v>426</v>
      </c>
      <c r="J7" s="146" t="s">
        <v>427</v>
      </c>
      <c r="K7" s="146" t="s">
        <v>428</v>
      </c>
      <c r="L7" s="146" t="s">
        <v>429</v>
      </c>
      <c r="M7" s="146" t="s">
        <v>430</v>
      </c>
      <c r="N7" s="146" t="s">
        <v>431</v>
      </c>
      <c r="O7" s="146" t="s">
        <v>221</v>
      </c>
      <c r="P7" s="146" t="s">
        <v>432</v>
      </c>
    </row>
    <row r="8">
      <c r="A8" s="148" t="s">
        <v>228</v>
      </c>
      <c r="B8" s="149">
        <v>36892.0</v>
      </c>
      <c r="C8" s="146" t="s">
        <v>229</v>
      </c>
      <c r="D8" s="146" t="s">
        <v>433</v>
      </c>
      <c r="E8" s="146"/>
      <c r="F8" s="146"/>
      <c r="G8" s="147" t="s">
        <v>40</v>
      </c>
      <c r="H8" s="146" t="s">
        <v>187</v>
      </c>
      <c r="I8" s="146"/>
      <c r="J8" s="146"/>
      <c r="K8" s="146"/>
      <c r="L8" s="146"/>
      <c r="M8" s="146"/>
      <c r="N8" s="146"/>
      <c r="O8" s="146"/>
      <c r="P8" s="146"/>
    </row>
    <row r="9">
      <c r="A9" s="150" t="s">
        <v>231</v>
      </c>
      <c r="B9" s="150" t="str">
        <f>IF($A9="","",$A9&amp;"."&amp;COUNTIF($A$9:$A9,$A9))</f>
        <v>1.2.1</v>
      </c>
      <c r="C9" s="151" t="s">
        <v>232</v>
      </c>
      <c r="D9" s="152" t="s">
        <v>434</v>
      </c>
      <c r="E9" s="153"/>
      <c r="F9" s="153"/>
      <c r="G9" s="150" t="s">
        <v>40</v>
      </c>
      <c r="H9" s="151" t="s">
        <v>184</v>
      </c>
      <c r="I9" s="151"/>
      <c r="J9" s="151"/>
      <c r="K9" s="151"/>
      <c r="L9" s="151"/>
      <c r="M9" s="151"/>
      <c r="N9" s="151"/>
      <c r="O9" s="154"/>
      <c r="P9" s="155"/>
    </row>
    <row r="10">
      <c r="A10" s="150" t="s">
        <v>42</v>
      </c>
      <c r="B10" s="150" t="s">
        <v>435</v>
      </c>
      <c r="C10" s="151" t="s">
        <v>43</v>
      </c>
      <c r="D10" s="152" t="s">
        <v>436</v>
      </c>
      <c r="E10" s="153"/>
      <c r="F10" s="153"/>
      <c r="G10" s="150" t="s">
        <v>40</v>
      </c>
      <c r="H10" s="151" t="s">
        <v>187</v>
      </c>
      <c r="I10" s="151"/>
      <c r="J10" s="151"/>
      <c r="K10" s="151"/>
      <c r="L10" s="151"/>
      <c r="M10" s="151"/>
      <c r="N10" s="151"/>
      <c r="O10" s="154"/>
      <c r="P10" s="155"/>
    </row>
    <row r="11">
      <c r="A11" s="150" t="s">
        <v>46</v>
      </c>
      <c r="B11" s="150" t="s">
        <v>437</v>
      </c>
      <c r="C11" s="151" t="s">
        <v>233</v>
      </c>
      <c r="D11" s="152" t="s">
        <v>438</v>
      </c>
      <c r="E11" s="153"/>
      <c r="F11" s="153"/>
      <c r="G11" s="150" t="s">
        <v>40</v>
      </c>
      <c r="H11" s="151" t="s">
        <v>187</v>
      </c>
      <c r="I11" s="151"/>
      <c r="J11" s="151"/>
      <c r="K11" s="151"/>
      <c r="L11" s="151"/>
      <c r="M11" s="151"/>
      <c r="N11" s="151"/>
      <c r="O11" s="154"/>
      <c r="P11" s="155"/>
    </row>
    <row r="12">
      <c r="A12" s="150" t="s">
        <v>49</v>
      </c>
      <c r="B12" s="150" t="str">
        <f t="shared" ref="B12:B83" si="1">IF($A12="","",$A12&amp;"."&amp;COUNTIF($A$9:$A12,$A12))</f>
        <v>1.5.1</v>
      </c>
      <c r="C12" s="151" t="s">
        <v>50</v>
      </c>
      <c r="D12" s="152" t="s">
        <v>439</v>
      </c>
      <c r="E12" s="156"/>
      <c r="F12" s="156"/>
      <c r="G12" s="150" t="s">
        <v>80</v>
      </c>
      <c r="H12" s="151" t="s">
        <v>185</v>
      </c>
      <c r="I12" s="155"/>
      <c r="J12" s="155"/>
      <c r="K12" s="155"/>
      <c r="L12" s="155"/>
      <c r="M12" s="155"/>
      <c r="N12" s="155"/>
      <c r="O12" s="157"/>
      <c r="P12" s="155"/>
    </row>
    <row r="13">
      <c r="A13" s="150" t="s">
        <v>52</v>
      </c>
      <c r="B13" s="150" t="str">
        <f t="shared" si="1"/>
        <v>2.1.1</v>
      </c>
      <c r="C13" s="151" t="s">
        <v>234</v>
      </c>
      <c r="D13" s="152" t="s">
        <v>440</v>
      </c>
      <c r="E13" s="156"/>
      <c r="F13" s="156"/>
      <c r="G13" s="150" t="s">
        <v>41</v>
      </c>
      <c r="H13" s="151" t="s">
        <v>187</v>
      </c>
      <c r="I13" s="155"/>
      <c r="J13" s="155"/>
      <c r="K13" s="155"/>
      <c r="L13" s="155"/>
      <c r="M13" s="155"/>
      <c r="N13" s="155"/>
      <c r="O13" s="157"/>
      <c r="P13" s="155"/>
    </row>
    <row r="14" outlineLevel="1">
      <c r="A14" s="150" t="s">
        <v>52</v>
      </c>
      <c r="B14" s="158" t="str">
        <f t="shared" si="1"/>
        <v>2.1.2</v>
      </c>
      <c r="C14" s="151" t="s">
        <v>234</v>
      </c>
      <c r="D14" s="152" t="s">
        <v>441</v>
      </c>
      <c r="E14" s="156"/>
      <c r="F14" s="156"/>
      <c r="G14" s="150" t="s">
        <v>41</v>
      </c>
      <c r="H14" s="151" t="s">
        <v>187</v>
      </c>
      <c r="I14" s="155"/>
      <c r="J14" s="155"/>
      <c r="K14" s="155"/>
      <c r="L14" s="155"/>
      <c r="M14" s="155"/>
      <c r="N14" s="155"/>
      <c r="O14" s="157"/>
      <c r="P14" s="155"/>
    </row>
    <row r="15" outlineLevel="1">
      <c r="A15" s="150" t="s">
        <v>52</v>
      </c>
      <c r="B15" s="158" t="str">
        <f t="shared" si="1"/>
        <v>2.1.3</v>
      </c>
      <c r="C15" s="151" t="s">
        <v>234</v>
      </c>
      <c r="D15" s="152" t="s">
        <v>442</v>
      </c>
      <c r="E15" s="156"/>
      <c r="F15" s="156"/>
      <c r="G15" s="150" t="s">
        <v>41</v>
      </c>
      <c r="H15" s="151" t="s">
        <v>187</v>
      </c>
      <c r="I15" s="155"/>
      <c r="J15" s="155"/>
      <c r="K15" s="155"/>
      <c r="L15" s="155"/>
      <c r="M15" s="155"/>
      <c r="N15" s="155"/>
      <c r="O15" s="157"/>
      <c r="P15" s="155"/>
    </row>
    <row r="16" outlineLevel="1">
      <c r="A16" s="150" t="s">
        <v>52</v>
      </c>
      <c r="B16" s="158" t="str">
        <f t="shared" si="1"/>
        <v>2.1.4</v>
      </c>
      <c r="C16" s="151" t="s">
        <v>234</v>
      </c>
      <c r="D16" s="152" t="s">
        <v>443</v>
      </c>
      <c r="E16" s="156"/>
      <c r="F16" s="156"/>
      <c r="G16" s="150" t="s">
        <v>41</v>
      </c>
      <c r="H16" s="151" t="s">
        <v>187</v>
      </c>
      <c r="I16" s="155"/>
      <c r="J16" s="155"/>
      <c r="K16" s="155"/>
      <c r="L16" s="155"/>
      <c r="M16" s="155"/>
      <c r="N16" s="155"/>
      <c r="O16" s="157"/>
      <c r="P16" s="155"/>
    </row>
    <row r="17" outlineLevel="1">
      <c r="A17" s="150" t="s">
        <v>52</v>
      </c>
      <c r="B17" s="158" t="str">
        <f t="shared" si="1"/>
        <v>2.1.5</v>
      </c>
      <c r="C17" s="151" t="s">
        <v>234</v>
      </c>
      <c r="D17" s="152" t="s">
        <v>444</v>
      </c>
      <c r="E17" s="156"/>
      <c r="F17" s="156"/>
      <c r="G17" s="150" t="s">
        <v>41</v>
      </c>
      <c r="H17" s="151" t="s">
        <v>187</v>
      </c>
      <c r="I17" s="155"/>
      <c r="J17" s="155"/>
      <c r="K17" s="155"/>
      <c r="L17" s="155"/>
      <c r="M17" s="155"/>
      <c r="N17" s="155"/>
      <c r="O17" s="157"/>
      <c r="P17" s="155"/>
    </row>
    <row r="18" outlineLevel="1">
      <c r="A18" s="150" t="s">
        <v>52</v>
      </c>
      <c r="B18" s="158" t="str">
        <f t="shared" si="1"/>
        <v>2.1.6</v>
      </c>
      <c r="C18" s="151" t="s">
        <v>234</v>
      </c>
      <c r="D18" s="152" t="s">
        <v>445</v>
      </c>
      <c r="E18" s="156"/>
      <c r="F18" s="156"/>
      <c r="G18" s="150" t="s">
        <v>41</v>
      </c>
      <c r="H18" s="151" t="s">
        <v>187</v>
      </c>
      <c r="I18" s="155"/>
      <c r="J18" s="155"/>
      <c r="K18" s="155"/>
      <c r="L18" s="155"/>
      <c r="M18" s="155"/>
      <c r="N18" s="155"/>
      <c r="O18" s="157"/>
      <c r="P18" s="155"/>
    </row>
    <row r="19" outlineLevel="1">
      <c r="A19" s="150" t="s">
        <v>52</v>
      </c>
      <c r="B19" s="158" t="str">
        <f t="shared" si="1"/>
        <v>2.1.7</v>
      </c>
      <c r="C19" s="151" t="s">
        <v>234</v>
      </c>
      <c r="D19" s="152" t="s">
        <v>446</v>
      </c>
      <c r="E19" s="156"/>
      <c r="F19" s="156"/>
      <c r="G19" s="150" t="s">
        <v>41</v>
      </c>
      <c r="H19" s="151" t="s">
        <v>187</v>
      </c>
      <c r="I19" s="155"/>
      <c r="J19" s="155"/>
      <c r="K19" s="155"/>
      <c r="L19" s="155"/>
      <c r="M19" s="155"/>
      <c r="N19" s="155"/>
      <c r="O19" s="157"/>
      <c r="P19" s="155"/>
    </row>
    <row r="20">
      <c r="A20" s="150" t="s">
        <v>55</v>
      </c>
      <c r="B20" s="158" t="str">
        <f t="shared" si="1"/>
        <v>2.2.1</v>
      </c>
      <c r="C20" s="151" t="s">
        <v>235</v>
      </c>
      <c r="D20" s="152" t="s">
        <v>447</v>
      </c>
      <c r="E20" s="156"/>
      <c r="F20" s="156"/>
      <c r="G20" s="150" t="s">
        <v>41</v>
      </c>
      <c r="H20" s="151" t="s">
        <v>187</v>
      </c>
      <c r="I20" s="155"/>
      <c r="J20" s="155"/>
      <c r="K20" s="155"/>
      <c r="L20" s="155"/>
      <c r="M20" s="155"/>
      <c r="N20" s="155"/>
      <c r="O20" s="157"/>
      <c r="P20" s="155"/>
    </row>
    <row r="21" outlineLevel="1">
      <c r="A21" s="150" t="s">
        <v>55</v>
      </c>
      <c r="B21" s="158" t="str">
        <f t="shared" si="1"/>
        <v>2.2.2</v>
      </c>
      <c r="C21" s="151" t="s">
        <v>235</v>
      </c>
      <c r="D21" s="152" t="s">
        <v>448</v>
      </c>
      <c r="E21" s="156"/>
      <c r="F21" s="156"/>
      <c r="G21" s="150" t="s">
        <v>41</v>
      </c>
      <c r="H21" s="151" t="s">
        <v>187</v>
      </c>
      <c r="I21" s="155"/>
      <c r="J21" s="155"/>
      <c r="K21" s="155"/>
      <c r="L21" s="155"/>
      <c r="M21" s="155"/>
      <c r="N21" s="155"/>
      <c r="O21" s="157"/>
      <c r="P21" s="155"/>
    </row>
    <row r="22" outlineLevel="1">
      <c r="A22" s="150" t="s">
        <v>55</v>
      </c>
      <c r="B22" s="158" t="str">
        <f t="shared" si="1"/>
        <v>2.2.3</v>
      </c>
      <c r="C22" s="151" t="s">
        <v>235</v>
      </c>
      <c r="D22" s="152" t="s">
        <v>449</v>
      </c>
      <c r="E22" s="156"/>
      <c r="F22" s="156"/>
      <c r="G22" s="150" t="s">
        <v>41</v>
      </c>
      <c r="H22" s="151" t="s">
        <v>187</v>
      </c>
      <c r="I22" s="155"/>
      <c r="J22" s="155"/>
      <c r="K22" s="155"/>
      <c r="L22" s="155"/>
      <c r="M22" s="155"/>
      <c r="N22" s="155"/>
      <c r="O22" s="157"/>
      <c r="P22" s="155"/>
    </row>
    <row r="23" outlineLevel="1">
      <c r="A23" s="150" t="s">
        <v>55</v>
      </c>
      <c r="B23" s="158" t="str">
        <f t="shared" si="1"/>
        <v>2.2.4</v>
      </c>
      <c r="C23" s="151" t="s">
        <v>235</v>
      </c>
      <c r="D23" s="152" t="s">
        <v>450</v>
      </c>
      <c r="E23" s="156"/>
      <c r="F23" s="156"/>
      <c r="G23" s="150" t="s">
        <v>41</v>
      </c>
      <c r="H23" s="151" t="s">
        <v>187</v>
      </c>
      <c r="I23" s="155"/>
      <c r="J23" s="155"/>
      <c r="K23" s="155"/>
      <c r="L23" s="155"/>
      <c r="M23" s="155"/>
      <c r="N23" s="155"/>
      <c r="O23" s="157"/>
      <c r="P23" s="155"/>
    </row>
    <row r="24" outlineLevel="1">
      <c r="A24" s="150" t="s">
        <v>55</v>
      </c>
      <c r="B24" s="158" t="str">
        <f t="shared" si="1"/>
        <v>2.2.5</v>
      </c>
      <c r="C24" s="151" t="s">
        <v>235</v>
      </c>
      <c r="D24" s="152" t="s">
        <v>451</v>
      </c>
      <c r="E24" s="156"/>
      <c r="F24" s="156"/>
      <c r="G24" s="150" t="s">
        <v>41</v>
      </c>
      <c r="H24" s="151" t="s">
        <v>187</v>
      </c>
      <c r="I24" s="155"/>
      <c r="J24" s="155"/>
      <c r="K24" s="155"/>
      <c r="L24" s="155"/>
      <c r="M24" s="155"/>
      <c r="N24" s="155"/>
      <c r="O24" s="157"/>
      <c r="P24" s="155"/>
    </row>
    <row r="25" outlineLevel="1">
      <c r="A25" s="150" t="s">
        <v>55</v>
      </c>
      <c r="B25" s="158" t="str">
        <f t="shared" si="1"/>
        <v>2.2.6</v>
      </c>
      <c r="C25" s="151" t="s">
        <v>235</v>
      </c>
      <c r="D25" s="152" t="s">
        <v>452</v>
      </c>
      <c r="E25" s="156"/>
      <c r="F25" s="156"/>
      <c r="G25" s="150" t="s">
        <v>41</v>
      </c>
      <c r="H25" s="151" t="s">
        <v>187</v>
      </c>
      <c r="I25" s="155"/>
      <c r="J25" s="155"/>
      <c r="K25" s="155"/>
      <c r="L25" s="155"/>
      <c r="M25" s="155"/>
      <c r="N25" s="155"/>
      <c r="O25" s="157"/>
      <c r="P25" s="155"/>
    </row>
    <row r="26" outlineLevel="1">
      <c r="A26" s="150" t="s">
        <v>55</v>
      </c>
      <c r="B26" s="158" t="str">
        <f t="shared" si="1"/>
        <v>2.2.7</v>
      </c>
      <c r="C26" s="151" t="s">
        <v>235</v>
      </c>
      <c r="D26" s="152" t="s">
        <v>453</v>
      </c>
      <c r="E26" s="156"/>
      <c r="F26" s="156"/>
      <c r="G26" s="150" t="s">
        <v>41</v>
      </c>
      <c r="H26" s="151" t="s">
        <v>187</v>
      </c>
      <c r="I26" s="155"/>
      <c r="J26" s="155"/>
      <c r="K26" s="155"/>
      <c r="L26" s="155"/>
      <c r="M26" s="155"/>
      <c r="N26" s="155"/>
      <c r="O26" s="157"/>
      <c r="P26" s="155"/>
    </row>
    <row r="27" outlineLevel="1">
      <c r="A27" s="150" t="s">
        <v>55</v>
      </c>
      <c r="B27" s="158" t="str">
        <f t="shared" si="1"/>
        <v>2.2.8</v>
      </c>
      <c r="C27" s="151" t="s">
        <v>235</v>
      </c>
      <c r="D27" s="152" t="s">
        <v>454</v>
      </c>
      <c r="E27" s="156"/>
      <c r="F27" s="156"/>
      <c r="G27" s="150" t="s">
        <v>41</v>
      </c>
      <c r="H27" s="151" t="s">
        <v>187</v>
      </c>
      <c r="I27" s="155"/>
      <c r="J27" s="155"/>
      <c r="K27" s="155"/>
      <c r="L27" s="155"/>
      <c r="M27" s="155"/>
      <c r="N27" s="155"/>
      <c r="O27" s="157"/>
      <c r="P27" s="155"/>
    </row>
    <row r="28">
      <c r="A28" s="150" t="s">
        <v>58</v>
      </c>
      <c r="B28" s="158" t="str">
        <f t="shared" si="1"/>
        <v>2.3.1</v>
      </c>
      <c r="C28" s="151" t="s">
        <v>59</v>
      </c>
      <c r="D28" s="152" t="s">
        <v>455</v>
      </c>
      <c r="E28" s="156"/>
      <c r="F28" s="156"/>
      <c r="G28" s="150" t="s">
        <v>41</v>
      </c>
      <c r="H28" s="151" t="s">
        <v>187</v>
      </c>
      <c r="I28" s="155"/>
      <c r="J28" s="155"/>
      <c r="K28" s="155"/>
      <c r="L28" s="155"/>
      <c r="M28" s="155"/>
      <c r="N28" s="155"/>
      <c r="O28" s="157"/>
      <c r="P28" s="155"/>
    </row>
    <row r="29" outlineLevel="1">
      <c r="A29" s="150" t="s">
        <v>58</v>
      </c>
      <c r="B29" s="158" t="str">
        <f t="shared" si="1"/>
        <v>2.3.2</v>
      </c>
      <c r="C29" s="151" t="s">
        <v>59</v>
      </c>
      <c r="D29" s="152" t="s">
        <v>456</v>
      </c>
      <c r="E29" s="156"/>
      <c r="F29" s="156"/>
      <c r="G29" s="150" t="s">
        <v>41</v>
      </c>
      <c r="H29" s="151" t="s">
        <v>187</v>
      </c>
      <c r="I29" s="155"/>
      <c r="J29" s="155"/>
      <c r="K29" s="155"/>
      <c r="L29" s="155"/>
      <c r="M29" s="155"/>
      <c r="N29" s="155"/>
      <c r="O29" s="157"/>
      <c r="P29" s="155"/>
    </row>
    <row r="30" outlineLevel="1">
      <c r="A30" s="150" t="s">
        <v>58</v>
      </c>
      <c r="B30" s="158" t="str">
        <f t="shared" si="1"/>
        <v>2.3.3</v>
      </c>
      <c r="C30" s="151" t="s">
        <v>59</v>
      </c>
      <c r="D30" s="152" t="s">
        <v>457</v>
      </c>
      <c r="E30" s="156"/>
      <c r="F30" s="156"/>
      <c r="G30" s="150" t="s">
        <v>41</v>
      </c>
      <c r="H30" s="151" t="s">
        <v>187</v>
      </c>
      <c r="I30" s="155"/>
      <c r="J30" s="155"/>
      <c r="K30" s="155"/>
      <c r="L30" s="155"/>
      <c r="M30" s="155"/>
      <c r="N30" s="155"/>
      <c r="O30" s="157"/>
      <c r="P30" s="155"/>
    </row>
    <row r="31" outlineLevel="1">
      <c r="A31" s="150" t="s">
        <v>58</v>
      </c>
      <c r="B31" s="158" t="str">
        <f t="shared" si="1"/>
        <v>2.3.4</v>
      </c>
      <c r="C31" s="151" t="s">
        <v>59</v>
      </c>
      <c r="D31" s="152" t="s">
        <v>458</v>
      </c>
      <c r="E31" s="156"/>
      <c r="F31" s="156"/>
      <c r="G31" s="150" t="s">
        <v>41</v>
      </c>
      <c r="H31" s="151" t="s">
        <v>187</v>
      </c>
      <c r="I31" s="155"/>
      <c r="J31" s="155"/>
      <c r="K31" s="155"/>
      <c r="L31" s="155"/>
      <c r="M31" s="155"/>
      <c r="N31" s="155"/>
      <c r="O31" s="157"/>
      <c r="P31" s="155"/>
    </row>
    <row r="32" outlineLevel="1">
      <c r="A32" s="150" t="s">
        <v>58</v>
      </c>
      <c r="B32" s="158" t="str">
        <f t="shared" si="1"/>
        <v>2.3.5</v>
      </c>
      <c r="C32" s="151" t="s">
        <v>59</v>
      </c>
      <c r="D32" s="152" t="s">
        <v>459</v>
      </c>
      <c r="E32" s="156"/>
      <c r="F32" s="156"/>
      <c r="G32" s="150" t="s">
        <v>41</v>
      </c>
      <c r="H32" s="151" t="s">
        <v>187</v>
      </c>
      <c r="I32" s="155"/>
      <c r="J32" s="155"/>
      <c r="K32" s="155"/>
      <c r="L32" s="155"/>
      <c r="M32" s="155"/>
      <c r="N32" s="155"/>
      <c r="O32" s="157"/>
      <c r="P32" s="155"/>
    </row>
    <row r="33">
      <c r="A33" s="150" t="s">
        <v>61</v>
      </c>
      <c r="B33" s="158" t="str">
        <f t="shared" si="1"/>
        <v>2.4.1</v>
      </c>
      <c r="C33" s="151" t="s">
        <v>62</v>
      </c>
      <c r="D33" s="152" t="s">
        <v>460</v>
      </c>
      <c r="E33" s="156"/>
      <c r="F33" s="156"/>
      <c r="G33" s="150" t="s">
        <v>41</v>
      </c>
      <c r="H33" s="151" t="s">
        <v>187</v>
      </c>
      <c r="I33" s="155"/>
      <c r="J33" s="155"/>
      <c r="K33" s="155"/>
      <c r="L33" s="155"/>
      <c r="M33" s="155"/>
      <c r="N33" s="155"/>
      <c r="O33" s="157"/>
      <c r="P33" s="155"/>
    </row>
    <row r="34" outlineLevel="1">
      <c r="A34" s="150" t="s">
        <v>61</v>
      </c>
      <c r="B34" s="158" t="str">
        <f t="shared" si="1"/>
        <v>2.4.2</v>
      </c>
      <c r="C34" s="151" t="s">
        <v>62</v>
      </c>
      <c r="D34" s="152" t="s">
        <v>461</v>
      </c>
      <c r="E34" s="156"/>
      <c r="F34" s="156"/>
      <c r="G34" s="150" t="s">
        <v>41</v>
      </c>
      <c r="H34" s="151" t="s">
        <v>187</v>
      </c>
      <c r="I34" s="155"/>
      <c r="J34" s="155"/>
      <c r="K34" s="155"/>
      <c r="L34" s="155"/>
      <c r="M34" s="155"/>
      <c r="N34" s="155"/>
      <c r="O34" s="157"/>
      <c r="P34" s="155"/>
    </row>
    <row r="35" outlineLevel="1">
      <c r="A35" s="150" t="s">
        <v>61</v>
      </c>
      <c r="B35" s="158" t="str">
        <f t="shared" si="1"/>
        <v>2.4.3</v>
      </c>
      <c r="C35" s="151" t="s">
        <v>62</v>
      </c>
      <c r="D35" s="152" t="s">
        <v>462</v>
      </c>
      <c r="E35" s="156"/>
      <c r="F35" s="156"/>
      <c r="G35" s="150" t="s">
        <v>41</v>
      </c>
      <c r="H35" s="151" t="s">
        <v>187</v>
      </c>
      <c r="I35" s="155"/>
      <c r="J35" s="155"/>
      <c r="K35" s="155"/>
      <c r="L35" s="155"/>
      <c r="M35" s="155"/>
      <c r="N35" s="155"/>
      <c r="O35" s="157"/>
      <c r="P35" s="155"/>
      <c r="Q35" s="35"/>
      <c r="R35" s="35"/>
      <c r="S35" s="35"/>
      <c r="T35" s="35"/>
      <c r="U35" s="35"/>
      <c r="V35" s="35"/>
      <c r="W35" s="35"/>
      <c r="X35" s="35"/>
    </row>
    <row r="36" outlineLevel="1">
      <c r="A36" s="150" t="s">
        <v>61</v>
      </c>
      <c r="B36" s="158" t="str">
        <f t="shared" si="1"/>
        <v>2.4.4</v>
      </c>
      <c r="C36" s="151" t="s">
        <v>62</v>
      </c>
      <c r="D36" s="152" t="s">
        <v>463</v>
      </c>
      <c r="E36" s="156"/>
      <c r="F36" s="156"/>
      <c r="G36" s="150" t="s">
        <v>41</v>
      </c>
      <c r="H36" s="151" t="s">
        <v>187</v>
      </c>
      <c r="I36" s="155"/>
      <c r="J36" s="155"/>
      <c r="K36" s="155"/>
      <c r="L36" s="155"/>
      <c r="M36" s="155"/>
      <c r="N36" s="155"/>
      <c r="O36" s="157"/>
      <c r="P36" s="155"/>
      <c r="Q36" s="159"/>
      <c r="R36" s="159"/>
      <c r="S36" s="159"/>
      <c r="T36" s="159"/>
      <c r="U36" s="159"/>
      <c r="V36" s="159"/>
      <c r="W36" s="159"/>
      <c r="X36" s="159"/>
    </row>
    <row r="37" outlineLevel="1">
      <c r="A37" s="150" t="s">
        <v>61</v>
      </c>
      <c r="B37" s="158" t="str">
        <f t="shared" si="1"/>
        <v>2.4.5</v>
      </c>
      <c r="C37" s="151" t="s">
        <v>62</v>
      </c>
      <c r="D37" s="152" t="s">
        <v>464</v>
      </c>
      <c r="E37" s="156"/>
      <c r="F37" s="156"/>
      <c r="G37" s="150" t="s">
        <v>41</v>
      </c>
      <c r="H37" s="151" t="s">
        <v>187</v>
      </c>
      <c r="I37" s="155"/>
      <c r="J37" s="155"/>
      <c r="K37" s="155"/>
      <c r="L37" s="155"/>
      <c r="M37" s="155"/>
      <c r="N37" s="155"/>
      <c r="O37" s="157"/>
      <c r="P37" s="155"/>
    </row>
    <row r="38">
      <c r="A38" s="150" t="s">
        <v>64</v>
      </c>
      <c r="B38" s="158" t="str">
        <f t="shared" si="1"/>
        <v>2.5.1</v>
      </c>
      <c r="C38" s="151" t="s">
        <v>59</v>
      </c>
      <c r="D38" s="152" t="s">
        <v>455</v>
      </c>
      <c r="E38" s="156"/>
      <c r="F38" s="156"/>
      <c r="G38" s="150" t="s">
        <v>41</v>
      </c>
      <c r="H38" s="151" t="s">
        <v>187</v>
      </c>
      <c r="I38" s="155"/>
      <c r="J38" s="155"/>
      <c r="K38" s="155"/>
      <c r="L38" s="155"/>
      <c r="M38" s="155"/>
      <c r="N38" s="155"/>
      <c r="O38" s="157"/>
      <c r="P38" s="155"/>
    </row>
    <row r="39" outlineLevel="1">
      <c r="A39" s="150" t="s">
        <v>64</v>
      </c>
      <c r="B39" s="158" t="str">
        <f t="shared" si="1"/>
        <v>2.5.2</v>
      </c>
      <c r="C39" s="151" t="s">
        <v>59</v>
      </c>
      <c r="D39" s="152" t="s">
        <v>456</v>
      </c>
      <c r="E39" s="156"/>
      <c r="F39" s="156"/>
      <c r="G39" s="150" t="s">
        <v>41</v>
      </c>
      <c r="H39" s="151" t="s">
        <v>187</v>
      </c>
      <c r="I39" s="155"/>
      <c r="J39" s="155"/>
      <c r="K39" s="155"/>
      <c r="L39" s="155"/>
      <c r="M39" s="155"/>
      <c r="N39" s="155"/>
      <c r="O39" s="157"/>
      <c r="P39" s="155"/>
    </row>
    <row r="40" outlineLevel="1">
      <c r="A40" s="150" t="s">
        <v>64</v>
      </c>
      <c r="B40" s="158" t="str">
        <f t="shared" si="1"/>
        <v>2.5.3</v>
      </c>
      <c r="C40" s="151" t="s">
        <v>59</v>
      </c>
      <c r="D40" s="152" t="s">
        <v>457</v>
      </c>
      <c r="E40" s="156"/>
      <c r="F40" s="156"/>
      <c r="G40" s="150" t="s">
        <v>41</v>
      </c>
      <c r="H40" s="151" t="s">
        <v>187</v>
      </c>
      <c r="I40" s="155"/>
      <c r="J40" s="155"/>
      <c r="K40" s="155"/>
      <c r="L40" s="155"/>
      <c r="M40" s="155"/>
      <c r="N40" s="155"/>
      <c r="O40" s="157"/>
      <c r="P40" s="155"/>
    </row>
    <row r="41" outlineLevel="1">
      <c r="A41" s="150" t="s">
        <v>64</v>
      </c>
      <c r="B41" s="158" t="str">
        <f t="shared" si="1"/>
        <v>2.5.4</v>
      </c>
      <c r="C41" s="151" t="s">
        <v>59</v>
      </c>
      <c r="D41" s="152" t="s">
        <v>458</v>
      </c>
      <c r="E41" s="156"/>
      <c r="F41" s="156"/>
      <c r="G41" s="150" t="s">
        <v>41</v>
      </c>
      <c r="H41" s="151" t="s">
        <v>187</v>
      </c>
      <c r="I41" s="155"/>
      <c r="J41" s="155"/>
      <c r="K41" s="155"/>
      <c r="L41" s="155"/>
      <c r="M41" s="155"/>
      <c r="N41" s="155"/>
      <c r="O41" s="157"/>
      <c r="P41" s="155"/>
    </row>
    <row r="42" outlineLevel="1">
      <c r="A42" s="150" t="s">
        <v>64</v>
      </c>
      <c r="B42" s="158" t="str">
        <f t="shared" si="1"/>
        <v>2.5.5</v>
      </c>
      <c r="C42" s="151" t="s">
        <v>59</v>
      </c>
      <c r="D42" s="152" t="s">
        <v>459</v>
      </c>
      <c r="E42" s="156"/>
      <c r="F42" s="156"/>
      <c r="G42" s="150" t="s">
        <v>41</v>
      </c>
      <c r="H42" s="151" t="s">
        <v>187</v>
      </c>
      <c r="I42" s="155"/>
      <c r="J42" s="155"/>
      <c r="K42" s="155"/>
      <c r="L42" s="155"/>
      <c r="M42" s="155"/>
      <c r="N42" s="155"/>
      <c r="O42" s="157"/>
      <c r="P42" s="155"/>
    </row>
    <row r="43">
      <c r="A43" s="150" t="s">
        <v>66</v>
      </c>
      <c r="B43" s="158" t="str">
        <f t="shared" si="1"/>
        <v>2.6.1</v>
      </c>
      <c r="C43" s="151" t="s">
        <v>67</v>
      </c>
      <c r="D43" s="152" t="s">
        <v>465</v>
      </c>
      <c r="E43" s="156"/>
      <c r="F43" s="156"/>
      <c r="G43" s="150" t="s">
        <v>41</v>
      </c>
      <c r="H43" s="151" t="s">
        <v>187</v>
      </c>
      <c r="I43" s="155"/>
      <c r="J43" s="155"/>
      <c r="K43" s="155"/>
      <c r="L43" s="155"/>
      <c r="M43" s="155"/>
      <c r="N43" s="155"/>
      <c r="O43" s="157"/>
      <c r="P43" s="155"/>
    </row>
    <row r="44" outlineLevel="1">
      <c r="A44" s="150" t="s">
        <v>66</v>
      </c>
      <c r="B44" s="158" t="str">
        <f t="shared" si="1"/>
        <v>2.6.2</v>
      </c>
      <c r="C44" s="151" t="s">
        <v>67</v>
      </c>
      <c r="D44" s="160" t="s">
        <v>466</v>
      </c>
      <c r="E44" s="156"/>
      <c r="F44" s="156"/>
      <c r="G44" s="150" t="s">
        <v>41</v>
      </c>
      <c r="H44" s="151" t="s">
        <v>187</v>
      </c>
      <c r="I44" s="155"/>
      <c r="J44" s="155"/>
      <c r="K44" s="155"/>
      <c r="L44" s="155"/>
      <c r="M44" s="155"/>
      <c r="N44" s="155"/>
      <c r="O44" s="157"/>
      <c r="P44" s="155"/>
    </row>
    <row r="45" outlineLevel="1">
      <c r="A45" s="150" t="s">
        <v>66</v>
      </c>
      <c r="B45" s="158" t="str">
        <f t="shared" si="1"/>
        <v>2.6.3</v>
      </c>
      <c r="C45" s="151" t="s">
        <v>67</v>
      </c>
      <c r="D45" s="152" t="s">
        <v>467</v>
      </c>
      <c r="E45" s="156"/>
      <c r="F45" s="156"/>
      <c r="G45" s="150" t="s">
        <v>41</v>
      </c>
      <c r="H45" s="151" t="s">
        <v>187</v>
      </c>
      <c r="I45" s="155"/>
      <c r="J45" s="155"/>
      <c r="K45" s="155"/>
      <c r="L45" s="155"/>
      <c r="M45" s="155"/>
      <c r="N45" s="155"/>
      <c r="O45" s="157"/>
      <c r="P45" s="155"/>
    </row>
    <row r="46">
      <c r="A46" s="150" t="s">
        <v>69</v>
      </c>
      <c r="B46" s="158" t="str">
        <f t="shared" si="1"/>
        <v>2.7.1</v>
      </c>
      <c r="C46" s="151" t="s">
        <v>236</v>
      </c>
      <c r="D46" s="152" t="s">
        <v>468</v>
      </c>
      <c r="E46" s="156"/>
      <c r="F46" s="156"/>
      <c r="G46" s="150" t="s">
        <v>41</v>
      </c>
      <c r="H46" s="151" t="s">
        <v>187</v>
      </c>
      <c r="I46" s="155"/>
      <c r="J46" s="155"/>
      <c r="K46" s="155"/>
      <c r="L46" s="155"/>
      <c r="M46" s="155"/>
      <c r="N46" s="155"/>
      <c r="O46" s="157"/>
      <c r="P46" s="155"/>
    </row>
    <row r="47" outlineLevel="1">
      <c r="A47" s="150" t="s">
        <v>69</v>
      </c>
      <c r="B47" s="158" t="str">
        <f t="shared" si="1"/>
        <v>2.7.2</v>
      </c>
      <c r="C47" s="151" t="s">
        <v>236</v>
      </c>
      <c r="D47" s="152" t="s">
        <v>469</v>
      </c>
      <c r="E47" s="156"/>
      <c r="F47" s="156"/>
      <c r="G47" s="150" t="s">
        <v>41</v>
      </c>
      <c r="H47" s="151" t="s">
        <v>187</v>
      </c>
      <c r="I47" s="155"/>
      <c r="J47" s="155"/>
      <c r="K47" s="155"/>
      <c r="L47" s="155"/>
      <c r="M47" s="155"/>
      <c r="N47" s="155"/>
      <c r="O47" s="157"/>
      <c r="P47" s="155"/>
    </row>
    <row r="48" outlineLevel="1">
      <c r="A48" s="150" t="s">
        <v>69</v>
      </c>
      <c r="B48" s="158" t="str">
        <f t="shared" si="1"/>
        <v>2.7.3</v>
      </c>
      <c r="C48" s="151" t="s">
        <v>236</v>
      </c>
      <c r="D48" s="152" t="s">
        <v>470</v>
      </c>
      <c r="E48" s="156"/>
      <c r="F48" s="156"/>
      <c r="G48" s="150" t="s">
        <v>41</v>
      </c>
      <c r="H48" s="151" t="s">
        <v>187</v>
      </c>
      <c r="I48" s="155"/>
      <c r="J48" s="155"/>
      <c r="K48" s="155"/>
      <c r="L48" s="155"/>
      <c r="M48" s="155"/>
      <c r="N48" s="155"/>
      <c r="O48" s="157"/>
      <c r="P48" s="155"/>
    </row>
    <row r="49" outlineLevel="1">
      <c r="A49" s="150" t="s">
        <v>69</v>
      </c>
      <c r="B49" s="158" t="str">
        <f t="shared" si="1"/>
        <v>2.7.4</v>
      </c>
      <c r="C49" s="151" t="s">
        <v>236</v>
      </c>
      <c r="D49" s="152" t="s">
        <v>471</v>
      </c>
      <c r="E49" s="156"/>
      <c r="F49" s="156"/>
      <c r="G49" s="150" t="s">
        <v>41</v>
      </c>
      <c r="H49" s="151" t="s">
        <v>187</v>
      </c>
      <c r="I49" s="155"/>
      <c r="J49" s="155"/>
      <c r="K49" s="155"/>
      <c r="L49" s="155"/>
      <c r="M49" s="155"/>
      <c r="N49" s="155"/>
      <c r="O49" s="157"/>
      <c r="P49" s="155"/>
    </row>
    <row r="50" outlineLevel="1">
      <c r="A50" s="150" t="s">
        <v>69</v>
      </c>
      <c r="B50" s="158" t="str">
        <f t="shared" si="1"/>
        <v>2.7.5</v>
      </c>
      <c r="C50" s="151" t="s">
        <v>236</v>
      </c>
      <c r="D50" s="152" t="s">
        <v>472</v>
      </c>
      <c r="E50" s="156"/>
      <c r="F50" s="156"/>
      <c r="G50" s="150" t="s">
        <v>41</v>
      </c>
      <c r="H50" s="151" t="s">
        <v>187</v>
      </c>
      <c r="I50" s="155"/>
      <c r="J50" s="155"/>
      <c r="K50" s="155"/>
      <c r="L50" s="155"/>
      <c r="M50" s="155"/>
      <c r="N50" s="155"/>
      <c r="O50" s="157"/>
      <c r="P50" s="155"/>
    </row>
    <row r="51" outlineLevel="1">
      <c r="A51" s="150" t="s">
        <v>69</v>
      </c>
      <c r="B51" s="158" t="str">
        <f t="shared" si="1"/>
        <v>2.7.6</v>
      </c>
      <c r="C51" s="151" t="s">
        <v>236</v>
      </c>
      <c r="D51" s="152" t="s">
        <v>473</v>
      </c>
      <c r="E51" s="156"/>
      <c r="F51" s="156"/>
      <c r="G51" s="150" t="s">
        <v>41</v>
      </c>
      <c r="H51" s="151" t="s">
        <v>187</v>
      </c>
      <c r="I51" s="155"/>
      <c r="J51" s="155"/>
      <c r="K51" s="155"/>
      <c r="L51" s="155"/>
      <c r="M51" s="155"/>
      <c r="N51" s="155"/>
      <c r="O51" s="157"/>
      <c r="P51" s="155"/>
    </row>
    <row r="52" outlineLevel="1">
      <c r="A52" s="150" t="s">
        <v>69</v>
      </c>
      <c r="B52" s="158" t="str">
        <f t="shared" si="1"/>
        <v>2.7.7</v>
      </c>
      <c r="C52" s="151" t="s">
        <v>236</v>
      </c>
      <c r="D52" s="152" t="s">
        <v>474</v>
      </c>
      <c r="E52" s="156"/>
      <c r="F52" s="156"/>
      <c r="G52" s="150" t="s">
        <v>41</v>
      </c>
      <c r="H52" s="151" t="s">
        <v>187</v>
      </c>
      <c r="I52" s="155"/>
      <c r="J52" s="155"/>
      <c r="K52" s="155"/>
      <c r="L52" s="155"/>
      <c r="M52" s="155"/>
      <c r="N52" s="155"/>
      <c r="O52" s="157"/>
      <c r="P52" s="155"/>
    </row>
    <row r="53">
      <c r="A53" s="150" t="s">
        <v>72</v>
      </c>
      <c r="B53" s="158" t="str">
        <f t="shared" si="1"/>
        <v>3.1.1</v>
      </c>
      <c r="C53" s="151" t="s">
        <v>73</v>
      </c>
      <c r="D53" s="152" t="s">
        <v>475</v>
      </c>
      <c r="E53" s="156"/>
      <c r="F53" s="156"/>
      <c r="G53" s="150" t="s">
        <v>41</v>
      </c>
      <c r="H53" s="151" t="s">
        <v>187</v>
      </c>
      <c r="I53" s="155"/>
      <c r="J53" s="155"/>
      <c r="K53" s="155"/>
      <c r="L53" s="155"/>
      <c r="M53" s="155"/>
      <c r="N53" s="155"/>
      <c r="O53" s="157"/>
      <c r="P53" s="155"/>
    </row>
    <row r="54" outlineLevel="1">
      <c r="A54" s="150" t="s">
        <v>72</v>
      </c>
      <c r="B54" s="158" t="str">
        <f t="shared" si="1"/>
        <v>3.1.2</v>
      </c>
      <c r="C54" s="151" t="s">
        <v>73</v>
      </c>
      <c r="D54" s="152" t="s">
        <v>476</v>
      </c>
      <c r="E54" s="156"/>
      <c r="F54" s="156"/>
      <c r="G54" s="150" t="s">
        <v>41</v>
      </c>
      <c r="H54" s="151" t="s">
        <v>187</v>
      </c>
      <c r="I54" s="155"/>
      <c r="J54" s="155"/>
      <c r="K54" s="155"/>
      <c r="L54" s="155"/>
      <c r="M54" s="155"/>
      <c r="N54" s="155"/>
      <c r="O54" s="157"/>
      <c r="P54" s="155"/>
    </row>
    <row r="55" outlineLevel="1">
      <c r="A55" s="150" t="s">
        <v>72</v>
      </c>
      <c r="B55" s="158" t="str">
        <f t="shared" si="1"/>
        <v>3.1.3</v>
      </c>
      <c r="C55" s="151" t="s">
        <v>73</v>
      </c>
      <c r="D55" s="152" t="s">
        <v>477</v>
      </c>
      <c r="E55" s="156"/>
      <c r="F55" s="156"/>
      <c r="G55" s="150" t="s">
        <v>41</v>
      </c>
      <c r="H55" s="151" t="s">
        <v>187</v>
      </c>
      <c r="I55" s="155"/>
      <c r="J55" s="155"/>
      <c r="K55" s="155"/>
      <c r="L55" s="155"/>
      <c r="M55" s="155"/>
      <c r="N55" s="155"/>
      <c r="O55" s="157"/>
      <c r="P55" s="155"/>
    </row>
    <row r="56" outlineLevel="1">
      <c r="A56" s="150" t="s">
        <v>72</v>
      </c>
      <c r="B56" s="158" t="str">
        <f t="shared" si="1"/>
        <v>3.1.4</v>
      </c>
      <c r="C56" s="151" t="s">
        <v>73</v>
      </c>
      <c r="D56" s="152" t="s">
        <v>478</v>
      </c>
      <c r="E56" s="156"/>
      <c r="F56" s="156"/>
      <c r="G56" s="150" t="s">
        <v>41</v>
      </c>
      <c r="H56" s="151" t="s">
        <v>187</v>
      </c>
      <c r="I56" s="155"/>
      <c r="J56" s="155"/>
      <c r="K56" s="155"/>
      <c r="L56" s="155"/>
      <c r="M56" s="155"/>
      <c r="N56" s="155"/>
      <c r="O56" s="157"/>
      <c r="P56" s="155"/>
    </row>
    <row r="57" outlineLevel="1">
      <c r="A57" s="150" t="s">
        <v>72</v>
      </c>
      <c r="B57" s="158" t="str">
        <f t="shared" si="1"/>
        <v>3.1.5</v>
      </c>
      <c r="C57" s="151" t="s">
        <v>73</v>
      </c>
      <c r="D57" s="152" t="s">
        <v>479</v>
      </c>
      <c r="E57" s="156"/>
      <c r="F57" s="156"/>
      <c r="G57" s="150" t="s">
        <v>41</v>
      </c>
      <c r="H57" s="151" t="s">
        <v>187</v>
      </c>
      <c r="I57" s="155"/>
      <c r="J57" s="155"/>
      <c r="K57" s="155"/>
      <c r="L57" s="155"/>
      <c r="M57" s="155"/>
      <c r="N57" s="155"/>
      <c r="O57" s="157"/>
      <c r="P57" s="155"/>
    </row>
    <row r="58">
      <c r="A58" s="150" t="s">
        <v>75</v>
      </c>
      <c r="B58" s="158" t="str">
        <f t="shared" si="1"/>
        <v>3.2.1</v>
      </c>
      <c r="C58" s="151" t="s">
        <v>237</v>
      </c>
      <c r="D58" s="152" t="s">
        <v>480</v>
      </c>
      <c r="E58" s="156"/>
      <c r="F58" s="156"/>
      <c r="G58" s="150" t="s">
        <v>41</v>
      </c>
      <c r="H58" s="151" t="s">
        <v>187</v>
      </c>
      <c r="I58" s="155"/>
      <c r="J58" s="155"/>
      <c r="K58" s="155"/>
      <c r="L58" s="155"/>
      <c r="M58" s="155"/>
      <c r="N58" s="155"/>
      <c r="O58" s="157"/>
      <c r="P58" s="155"/>
    </row>
    <row r="59" outlineLevel="1">
      <c r="A59" s="150" t="s">
        <v>75</v>
      </c>
      <c r="B59" s="158" t="str">
        <f t="shared" si="1"/>
        <v>3.2.2</v>
      </c>
      <c r="C59" s="151" t="s">
        <v>237</v>
      </c>
      <c r="D59" s="152" t="s">
        <v>481</v>
      </c>
      <c r="E59" s="156"/>
      <c r="F59" s="156"/>
      <c r="G59" s="150" t="s">
        <v>41</v>
      </c>
      <c r="H59" s="151" t="s">
        <v>187</v>
      </c>
      <c r="I59" s="155"/>
      <c r="J59" s="155"/>
      <c r="K59" s="155"/>
      <c r="L59" s="155"/>
      <c r="M59" s="155"/>
      <c r="N59" s="155"/>
      <c r="O59" s="157"/>
      <c r="P59" s="155"/>
    </row>
    <row r="60" outlineLevel="1">
      <c r="A60" s="150" t="s">
        <v>75</v>
      </c>
      <c r="B60" s="158" t="str">
        <f t="shared" si="1"/>
        <v>3.2.3</v>
      </c>
      <c r="C60" s="151" t="s">
        <v>237</v>
      </c>
      <c r="D60" s="152" t="s">
        <v>482</v>
      </c>
      <c r="E60" s="156"/>
      <c r="F60" s="156"/>
      <c r="G60" s="150" t="s">
        <v>41</v>
      </c>
      <c r="H60" s="151" t="s">
        <v>187</v>
      </c>
      <c r="I60" s="155"/>
      <c r="J60" s="155"/>
      <c r="K60" s="155"/>
      <c r="L60" s="155"/>
      <c r="M60" s="155"/>
      <c r="N60" s="155"/>
      <c r="O60" s="157"/>
      <c r="P60" s="155"/>
    </row>
    <row r="61" outlineLevel="1">
      <c r="A61" s="150" t="s">
        <v>75</v>
      </c>
      <c r="B61" s="158" t="str">
        <f t="shared" si="1"/>
        <v>3.2.4</v>
      </c>
      <c r="C61" s="151" t="s">
        <v>237</v>
      </c>
      <c r="D61" s="152" t="s">
        <v>483</v>
      </c>
      <c r="E61" s="156"/>
      <c r="F61" s="156"/>
      <c r="G61" s="150" t="s">
        <v>41</v>
      </c>
      <c r="H61" s="151" t="s">
        <v>187</v>
      </c>
      <c r="I61" s="155"/>
      <c r="J61" s="155"/>
      <c r="K61" s="155"/>
      <c r="L61" s="155"/>
      <c r="M61" s="155"/>
      <c r="N61" s="155"/>
      <c r="O61" s="157"/>
      <c r="P61" s="155"/>
    </row>
    <row r="62" outlineLevel="1">
      <c r="A62" s="150" t="s">
        <v>75</v>
      </c>
      <c r="B62" s="158" t="str">
        <f t="shared" si="1"/>
        <v>3.2.5</v>
      </c>
      <c r="C62" s="151" t="s">
        <v>237</v>
      </c>
      <c r="D62" s="152" t="s">
        <v>484</v>
      </c>
      <c r="E62" s="156"/>
      <c r="F62" s="156"/>
      <c r="G62" s="150" t="s">
        <v>41</v>
      </c>
      <c r="H62" s="151" t="s">
        <v>187</v>
      </c>
      <c r="I62" s="155"/>
      <c r="J62" s="155"/>
      <c r="K62" s="155"/>
      <c r="L62" s="155"/>
      <c r="M62" s="155"/>
      <c r="N62" s="155"/>
      <c r="O62" s="157"/>
      <c r="P62" s="155"/>
    </row>
    <row r="63" outlineLevel="1">
      <c r="A63" s="150" t="s">
        <v>75</v>
      </c>
      <c r="B63" s="158" t="str">
        <f t="shared" si="1"/>
        <v>3.2.6</v>
      </c>
      <c r="C63" s="151" t="s">
        <v>237</v>
      </c>
      <c r="D63" s="152" t="s">
        <v>485</v>
      </c>
      <c r="E63" s="156"/>
      <c r="F63" s="156"/>
      <c r="G63" s="150" t="s">
        <v>41</v>
      </c>
      <c r="H63" s="151" t="s">
        <v>187</v>
      </c>
      <c r="I63" s="155"/>
      <c r="J63" s="155"/>
      <c r="K63" s="155"/>
      <c r="L63" s="155"/>
      <c r="M63" s="155"/>
      <c r="N63" s="155"/>
      <c r="O63" s="157"/>
      <c r="P63" s="155"/>
    </row>
    <row r="64">
      <c r="A64" s="150" t="s">
        <v>78</v>
      </c>
      <c r="B64" s="158" t="str">
        <f t="shared" si="1"/>
        <v>3.3.1</v>
      </c>
      <c r="C64" s="151" t="s">
        <v>79</v>
      </c>
      <c r="D64" s="152" t="s">
        <v>486</v>
      </c>
      <c r="E64" s="156"/>
      <c r="F64" s="156"/>
      <c r="G64" s="150" t="s">
        <v>41</v>
      </c>
      <c r="H64" s="151" t="s">
        <v>187</v>
      </c>
      <c r="I64" s="155"/>
      <c r="J64" s="155"/>
      <c r="K64" s="155"/>
      <c r="L64" s="155"/>
      <c r="M64" s="155"/>
      <c r="N64" s="155"/>
      <c r="O64" s="157"/>
      <c r="P64" s="155"/>
    </row>
    <row r="65" outlineLevel="1">
      <c r="A65" s="150" t="s">
        <v>78</v>
      </c>
      <c r="B65" s="158" t="str">
        <f t="shared" si="1"/>
        <v>3.3.2</v>
      </c>
      <c r="C65" s="151" t="s">
        <v>79</v>
      </c>
      <c r="D65" s="152" t="s">
        <v>487</v>
      </c>
      <c r="E65" s="156"/>
      <c r="F65" s="156"/>
      <c r="G65" s="150" t="s">
        <v>41</v>
      </c>
      <c r="H65" s="151" t="s">
        <v>187</v>
      </c>
      <c r="I65" s="155"/>
      <c r="J65" s="155"/>
      <c r="K65" s="155"/>
      <c r="L65" s="155"/>
      <c r="M65" s="155"/>
      <c r="N65" s="155"/>
      <c r="O65" s="157"/>
      <c r="P65" s="155"/>
    </row>
    <row r="66" outlineLevel="1">
      <c r="A66" s="150" t="s">
        <v>78</v>
      </c>
      <c r="B66" s="158" t="str">
        <f t="shared" si="1"/>
        <v>3.3.3</v>
      </c>
      <c r="C66" s="151" t="s">
        <v>79</v>
      </c>
      <c r="D66" s="152" t="s">
        <v>488</v>
      </c>
      <c r="E66" s="156"/>
      <c r="F66" s="156"/>
      <c r="G66" s="150" t="s">
        <v>41</v>
      </c>
      <c r="H66" s="151" t="s">
        <v>187</v>
      </c>
      <c r="I66" s="155"/>
      <c r="J66" s="155"/>
      <c r="K66" s="155"/>
      <c r="L66" s="155"/>
      <c r="M66" s="155"/>
      <c r="N66" s="155"/>
      <c r="O66" s="157"/>
      <c r="P66" s="155"/>
    </row>
    <row r="67" outlineLevel="1">
      <c r="A67" s="150" t="s">
        <v>78</v>
      </c>
      <c r="B67" s="158" t="str">
        <f t="shared" si="1"/>
        <v>3.3.4</v>
      </c>
      <c r="C67" s="151" t="s">
        <v>79</v>
      </c>
      <c r="D67" s="152" t="s">
        <v>489</v>
      </c>
      <c r="E67" s="156"/>
      <c r="F67" s="156"/>
      <c r="G67" s="150" t="s">
        <v>41</v>
      </c>
      <c r="H67" s="151" t="s">
        <v>187</v>
      </c>
      <c r="I67" s="155"/>
      <c r="J67" s="155"/>
      <c r="K67" s="155"/>
      <c r="L67" s="155"/>
      <c r="M67" s="155"/>
      <c r="N67" s="155"/>
      <c r="O67" s="157"/>
      <c r="P67" s="155"/>
    </row>
    <row r="68" outlineLevel="1">
      <c r="A68" s="150" t="s">
        <v>78</v>
      </c>
      <c r="B68" s="158" t="str">
        <f t="shared" si="1"/>
        <v>3.3.5</v>
      </c>
      <c r="C68" s="151" t="s">
        <v>79</v>
      </c>
      <c r="D68" s="152" t="s">
        <v>490</v>
      </c>
      <c r="E68" s="156"/>
      <c r="F68" s="156"/>
      <c r="G68" s="150" t="s">
        <v>41</v>
      </c>
      <c r="H68" s="151" t="s">
        <v>187</v>
      </c>
      <c r="I68" s="155"/>
      <c r="J68" s="155"/>
      <c r="K68" s="155"/>
      <c r="L68" s="155"/>
      <c r="M68" s="155"/>
      <c r="N68" s="155"/>
      <c r="O68" s="157"/>
      <c r="P68" s="155"/>
    </row>
    <row r="69">
      <c r="A69" s="150" t="s">
        <v>81</v>
      </c>
      <c r="B69" s="158" t="str">
        <f t="shared" si="1"/>
        <v>3.4.1</v>
      </c>
      <c r="C69" s="151" t="s">
        <v>238</v>
      </c>
      <c r="D69" s="152" t="s">
        <v>491</v>
      </c>
      <c r="E69" s="156"/>
      <c r="F69" s="156"/>
      <c r="G69" s="150" t="s">
        <v>41</v>
      </c>
      <c r="H69" s="151" t="s">
        <v>187</v>
      </c>
      <c r="I69" s="155"/>
      <c r="J69" s="155"/>
      <c r="K69" s="155"/>
      <c r="L69" s="155"/>
      <c r="M69" s="155"/>
      <c r="N69" s="155"/>
      <c r="O69" s="157"/>
      <c r="P69" s="155"/>
    </row>
    <row r="70" outlineLevel="1">
      <c r="A70" s="150" t="s">
        <v>81</v>
      </c>
      <c r="B70" s="158" t="str">
        <f t="shared" si="1"/>
        <v>3.4.2</v>
      </c>
      <c r="C70" s="151" t="s">
        <v>238</v>
      </c>
      <c r="D70" s="152" t="s">
        <v>492</v>
      </c>
      <c r="E70" s="156"/>
      <c r="F70" s="156"/>
      <c r="G70" s="150" t="s">
        <v>41</v>
      </c>
      <c r="H70" s="151" t="s">
        <v>187</v>
      </c>
      <c r="I70" s="155"/>
      <c r="J70" s="155"/>
      <c r="K70" s="155"/>
      <c r="L70" s="155"/>
      <c r="M70" s="155"/>
      <c r="N70" s="155"/>
      <c r="O70" s="157"/>
      <c r="P70" s="155"/>
    </row>
    <row r="71" outlineLevel="1">
      <c r="A71" s="150" t="s">
        <v>81</v>
      </c>
      <c r="B71" s="158" t="str">
        <f t="shared" si="1"/>
        <v>3.4.3</v>
      </c>
      <c r="C71" s="151" t="s">
        <v>238</v>
      </c>
      <c r="D71" s="152" t="s">
        <v>493</v>
      </c>
      <c r="E71" s="156"/>
      <c r="F71" s="156"/>
      <c r="G71" s="150" t="s">
        <v>41</v>
      </c>
      <c r="H71" s="151" t="s">
        <v>187</v>
      </c>
      <c r="I71" s="155"/>
      <c r="J71" s="155"/>
      <c r="K71" s="155"/>
      <c r="L71" s="155"/>
      <c r="M71" s="155"/>
      <c r="N71" s="155"/>
      <c r="O71" s="157"/>
      <c r="P71" s="155"/>
    </row>
    <row r="72" outlineLevel="1">
      <c r="A72" s="150" t="s">
        <v>81</v>
      </c>
      <c r="B72" s="158" t="str">
        <f t="shared" si="1"/>
        <v>3.4.4</v>
      </c>
      <c r="C72" s="151" t="s">
        <v>238</v>
      </c>
      <c r="D72" s="152" t="s">
        <v>494</v>
      </c>
      <c r="E72" s="156"/>
      <c r="F72" s="156"/>
      <c r="G72" s="150" t="s">
        <v>41</v>
      </c>
      <c r="H72" s="151" t="s">
        <v>187</v>
      </c>
      <c r="I72" s="155"/>
      <c r="J72" s="155"/>
      <c r="K72" s="155"/>
      <c r="L72" s="155"/>
      <c r="M72" s="155"/>
      <c r="N72" s="155"/>
      <c r="O72" s="157"/>
      <c r="P72" s="155"/>
    </row>
    <row r="73">
      <c r="A73" s="150" t="s">
        <v>83</v>
      </c>
      <c r="B73" s="158" t="str">
        <f t="shared" si="1"/>
        <v>3.5.1</v>
      </c>
      <c r="C73" s="151" t="s">
        <v>84</v>
      </c>
      <c r="D73" s="152" t="s">
        <v>495</v>
      </c>
      <c r="E73" s="156"/>
      <c r="F73" s="156"/>
      <c r="G73" s="150" t="s">
        <v>41</v>
      </c>
      <c r="H73" s="151" t="s">
        <v>187</v>
      </c>
      <c r="I73" s="155"/>
      <c r="J73" s="155"/>
      <c r="K73" s="155"/>
      <c r="L73" s="155"/>
      <c r="M73" s="155"/>
      <c r="N73" s="155"/>
      <c r="O73" s="157"/>
      <c r="P73" s="155"/>
    </row>
    <row r="74" outlineLevel="1">
      <c r="A74" s="150" t="s">
        <v>83</v>
      </c>
      <c r="B74" s="158" t="str">
        <f t="shared" si="1"/>
        <v>3.5.2</v>
      </c>
      <c r="C74" s="151" t="s">
        <v>84</v>
      </c>
      <c r="D74" s="152" t="s">
        <v>496</v>
      </c>
      <c r="E74" s="156"/>
      <c r="F74" s="156"/>
      <c r="G74" s="150" t="s">
        <v>41</v>
      </c>
      <c r="H74" s="151" t="s">
        <v>187</v>
      </c>
      <c r="I74" s="155"/>
      <c r="J74" s="155"/>
      <c r="K74" s="155"/>
      <c r="L74" s="155"/>
      <c r="M74" s="155"/>
      <c r="N74" s="155"/>
      <c r="O74" s="157"/>
      <c r="P74" s="155"/>
    </row>
    <row r="75" outlineLevel="1">
      <c r="A75" s="150" t="s">
        <v>83</v>
      </c>
      <c r="B75" s="158" t="str">
        <f t="shared" si="1"/>
        <v>3.5.3</v>
      </c>
      <c r="C75" s="151" t="s">
        <v>84</v>
      </c>
      <c r="D75" s="152" t="s">
        <v>497</v>
      </c>
      <c r="E75" s="156"/>
      <c r="F75" s="156"/>
      <c r="G75" s="150" t="s">
        <v>41</v>
      </c>
      <c r="H75" s="151" t="s">
        <v>187</v>
      </c>
      <c r="I75" s="155"/>
      <c r="J75" s="155"/>
      <c r="K75" s="155"/>
      <c r="L75" s="155"/>
      <c r="M75" s="155"/>
      <c r="N75" s="155"/>
      <c r="O75" s="157"/>
      <c r="P75" s="155"/>
    </row>
    <row r="76" outlineLevel="1">
      <c r="A76" s="150" t="s">
        <v>83</v>
      </c>
      <c r="B76" s="158" t="str">
        <f t="shared" si="1"/>
        <v>3.5.4</v>
      </c>
      <c r="C76" s="151" t="s">
        <v>84</v>
      </c>
      <c r="D76" s="152" t="s">
        <v>498</v>
      </c>
      <c r="E76" s="156"/>
      <c r="F76" s="156"/>
      <c r="G76" s="150" t="s">
        <v>41</v>
      </c>
      <c r="H76" s="151" t="s">
        <v>187</v>
      </c>
      <c r="I76" s="155"/>
      <c r="J76" s="155"/>
      <c r="K76" s="155"/>
      <c r="L76" s="155"/>
      <c r="M76" s="155"/>
      <c r="N76" s="155"/>
      <c r="O76" s="157"/>
      <c r="P76" s="155"/>
    </row>
    <row r="77" outlineLevel="1">
      <c r="A77" s="150" t="s">
        <v>83</v>
      </c>
      <c r="B77" s="158" t="str">
        <f t="shared" si="1"/>
        <v>3.5.5</v>
      </c>
      <c r="C77" s="151" t="s">
        <v>84</v>
      </c>
      <c r="D77" s="152" t="s">
        <v>499</v>
      </c>
      <c r="E77" s="156"/>
      <c r="F77" s="156"/>
      <c r="G77" s="150" t="s">
        <v>41</v>
      </c>
      <c r="H77" s="151" t="s">
        <v>187</v>
      </c>
      <c r="I77" s="155"/>
      <c r="J77" s="155"/>
      <c r="K77" s="155"/>
      <c r="L77" s="155"/>
      <c r="M77" s="155"/>
      <c r="N77" s="155"/>
      <c r="O77" s="157"/>
      <c r="P77" s="155"/>
    </row>
    <row r="78" outlineLevel="1">
      <c r="A78" s="150" t="s">
        <v>83</v>
      </c>
      <c r="B78" s="158" t="str">
        <f t="shared" si="1"/>
        <v>3.5.6</v>
      </c>
      <c r="C78" s="151" t="s">
        <v>84</v>
      </c>
      <c r="D78" s="152" t="s">
        <v>500</v>
      </c>
      <c r="E78" s="156"/>
      <c r="F78" s="156"/>
      <c r="G78" s="150" t="s">
        <v>41</v>
      </c>
      <c r="H78" s="151" t="s">
        <v>187</v>
      </c>
      <c r="I78" s="155"/>
      <c r="J78" s="155"/>
      <c r="K78" s="155"/>
      <c r="L78" s="155"/>
      <c r="M78" s="155"/>
      <c r="N78" s="155"/>
      <c r="O78" s="157"/>
      <c r="P78" s="155"/>
    </row>
    <row r="79">
      <c r="A79" s="150" t="s">
        <v>239</v>
      </c>
      <c r="B79" s="158" t="str">
        <f t="shared" si="1"/>
        <v>3.6.1</v>
      </c>
      <c r="C79" s="151" t="s">
        <v>240</v>
      </c>
      <c r="D79" s="152" t="s">
        <v>501</v>
      </c>
      <c r="E79" s="156"/>
      <c r="F79" s="156"/>
      <c r="G79" s="150" t="s">
        <v>51</v>
      </c>
      <c r="H79" s="151" t="s">
        <v>187</v>
      </c>
      <c r="I79" s="155"/>
      <c r="J79" s="155"/>
      <c r="K79" s="155"/>
      <c r="L79" s="155"/>
      <c r="M79" s="155"/>
      <c r="N79" s="155"/>
      <c r="O79" s="157"/>
      <c r="P79" s="155"/>
    </row>
    <row r="80" outlineLevel="1">
      <c r="A80" s="150" t="s">
        <v>239</v>
      </c>
      <c r="B80" s="158" t="str">
        <f t="shared" si="1"/>
        <v>3.6.2</v>
      </c>
      <c r="C80" s="151" t="s">
        <v>240</v>
      </c>
      <c r="D80" s="152" t="s">
        <v>502</v>
      </c>
      <c r="E80" s="156"/>
      <c r="F80" s="156"/>
      <c r="G80" s="150" t="s">
        <v>51</v>
      </c>
      <c r="H80" s="151" t="s">
        <v>187</v>
      </c>
      <c r="I80" s="155"/>
      <c r="J80" s="155"/>
      <c r="K80" s="155"/>
      <c r="L80" s="155"/>
      <c r="M80" s="155"/>
      <c r="N80" s="155"/>
      <c r="O80" s="157"/>
      <c r="P80" s="155"/>
    </row>
    <row r="81" outlineLevel="1">
      <c r="A81" s="150" t="s">
        <v>239</v>
      </c>
      <c r="B81" s="158" t="str">
        <f t="shared" si="1"/>
        <v>3.6.3</v>
      </c>
      <c r="C81" s="151" t="s">
        <v>240</v>
      </c>
      <c r="D81" s="152" t="s">
        <v>503</v>
      </c>
      <c r="E81" s="156"/>
      <c r="F81" s="156"/>
      <c r="G81" s="150" t="s">
        <v>51</v>
      </c>
      <c r="H81" s="151" t="s">
        <v>187</v>
      </c>
      <c r="I81" s="155"/>
      <c r="J81" s="155"/>
      <c r="K81" s="155"/>
      <c r="L81" s="155"/>
      <c r="M81" s="155"/>
      <c r="N81" s="155"/>
      <c r="O81" s="157"/>
      <c r="P81" s="155"/>
    </row>
    <row r="82" outlineLevel="1">
      <c r="A82" s="150" t="s">
        <v>239</v>
      </c>
      <c r="B82" s="158" t="str">
        <f t="shared" si="1"/>
        <v>3.6.4</v>
      </c>
      <c r="C82" s="151" t="s">
        <v>240</v>
      </c>
      <c r="D82" s="152" t="s">
        <v>504</v>
      </c>
      <c r="E82" s="156"/>
      <c r="F82" s="156"/>
      <c r="G82" s="150" t="s">
        <v>51</v>
      </c>
      <c r="H82" s="151" t="s">
        <v>187</v>
      </c>
      <c r="I82" s="155"/>
      <c r="J82" s="155"/>
      <c r="K82" s="155"/>
      <c r="L82" s="155"/>
      <c r="M82" s="155"/>
      <c r="N82" s="155"/>
      <c r="O82" s="157"/>
      <c r="P82" s="155"/>
    </row>
    <row r="83" outlineLevel="1">
      <c r="A83" s="150" t="s">
        <v>239</v>
      </c>
      <c r="B83" s="158" t="str">
        <f t="shared" si="1"/>
        <v>3.6.5</v>
      </c>
      <c r="C83" s="151" t="s">
        <v>240</v>
      </c>
      <c r="D83" s="152" t="s">
        <v>505</v>
      </c>
      <c r="E83" s="156"/>
      <c r="F83" s="156"/>
      <c r="G83" s="150" t="s">
        <v>51</v>
      </c>
      <c r="H83" s="151" t="s">
        <v>187</v>
      </c>
      <c r="I83" s="155"/>
      <c r="J83" s="155"/>
      <c r="K83" s="155"/>
      <c r="L83" s="155"/>
      <c r="M83" s="155"/>
      <c r="N83" s="155"/>
      <c r="O83" s="157"/>
      <c r="P83" s="155"/>
    </row>
    <row r="84">
      <c r="A84" s="150" t="s">
        <v>241</v>
      </c>
      <c r="B84" s="150" t="s">
        <v>506</v>
      </c>
      <c r="C84" s="151" t="s">
        <v>242</v>
      </c>
      <c r="D84" s="152" t="s">
        <v>507</v>
      </c>
      <c r="E84" s="156"/>
      <c r="F84" s="156"/>
      <c r="G84" s="150" t="s">
        <v>190</v>
      </c>
      <c r="H84" s="151" t="s">
        <v>187</v>
      </c>
      <c r="I84" s="155"/>
      <c r="J84" s="155"/>
      <c r="K84" s="155"/>
      <c r="L84" s="155"/>
      <c r="M84" s="155"/>
      <c r="N84" s="155"/>
      <c r="O84" s="157"/>
      <c r="P84" s="155"/>
    </row>
    <row r="85">
      <c r="A85" s="150" t="s">
        <v>243</v>
      </c>
      <c r="B85" s="150" t="s">
        <v>508</v>
      </c>
      <c r="C85" s="151" t="s">
        <v>244</v>
      </c>
      <c r="D85" s="152" t="s">
        <v>509</v>
      </c>
      <c r="E85" s="156"/>
      <c r="F85" s="156"/>
      <c r="G85" s="150" t="s">
        <v>190</v>
      </c>
      <c r="H85" s="151" t="s">
        <v>187</v>
      </c>
      <c r="I85" s="155"/>
      <c r="J85" s="155"/>
      <c r="K85" s="155"/>
      <c r="L85" s="155"/>
      <c r="M85" s="155"/>
      <c r="N85" s="155"/>
      <c r="O85" s="157"/>
      <c r="P85" s="155"/>
    </row>
    <row r="86">
      <c r="A86" s="150" t="s">
        <v>245</v>
      </c>
      <c r="B86" s="150" t="s">
        <v>510</v>
      </c>
      <c r="C86" s="151" t="s">
        <v>246</v>
      </c>
      <c r="D86" s="152" t="s">
        <v>511</v>
      </c>
      <c r="E86" s="156"/>
      <c r="F86" s="156"/>
      <c r="G86" s="150" t="s">
        <v>190</v>
      </c>
      <c r="H86" s="151" t="s">
        <v>187</v>
      </c>
      <c r="I86" s="155"/>
      <c r="J86" s="155"/>
      <c r="K86" s="155"/>
      <c r="L86" s="155"/>
      <c r="M86" s="155"/>
      <c r="N86" s="155"/>
      <c r="O86" s="157"/>
      <c r="P86" s="155"/>
    </row>
    <row r="87">
      <c r="A87" s="150" t="s">
        <v>247</v>
      </c>
      <c r="B87" s="150" t="s">
        <v>512</v>
      </c>
      <c r="C87" s="151" t="s">
        <v>248</v>
      </c>
      <c r="D87" s="152" t="s">
        <v>513</v>
      </c>
      <c r="E87" s="156"/>
      <c r="F87" s="156"/>
      <c r="G87" s="150" t="s">
        <v>190</v>
      </c>
      <c r="H87" s="151" t="s">
        <v>187</v>
      </c>
      <c r="I87" s="155"/>
      <c r="J87" s="155"/>
      <c r="K87" s="155"/>
      <c r="L87" s="155"/>
      <c r="M87" s="155"/>
      <c r="N87" s="155"/>
      <c r="O87" s="157"/>
      <c r="P87" s="155"/>
    </row>
    <row r="88">
      <c r="A88" s="150" t="s">
        <v>249</v>
      </c>
      <c r="B88" s="150" t="s">
        <v>514</v>
      </c>
      <c r="C88" s="151" t="s">
        <v>250</v>
      </c>
      <c r="D88" s="152" t="s">
        <v>515</v>
      </c>
      <c r="E88" s="156"/>
      <c r="F88" s="156"/>
      <c r="G88" s="150" t="s">
        <v>190</v>
      </c>
      <c r="H88" s="151" t="s">
        <v>187</v>
      </c>
      <c r="I88" s="155"/>
      <c r="J88" s="155"/>
      <c r="K88" s="155"/>
      <c r="L88" s="155"/>
      <c r="M88" s="155"/>
      <c r="N88" s="155"/>
      <c r="O88" s="157"/>
      <c r="P88" s="155"/>
    </row>
    <row r="89">
      <c r="A89" s="150" t="s">
        <v>251</v>
      </c>
      <c r="B89" s="150" t="s">
        <v>516</v>
      </c>
      <c r="C89" s="151" t="s">
        <v>252</v>
      </c>
      <c r="D89" s="152" t="s">
        <v>517</v>
      </c>
      <c r="E89" s="156"/>
      <c r="F89" s="156"/>
      <c r="G89" s="150" t="s">
        <v>190</v>
      </c>
      <c r="H89" s="151" t="s">
        <v>187</v>
      </c>
      <c r="I89" s="155"/>
      <c r="J89" s="155"/>
      <c r="K89" s="155"/>
      <c r="L89" s="155"/>
      <c r="M89" s="155"/>
      <c r="N89" s="155"/>
      <c r="O89" s="157"/>
      <c r="P89" s="155"/>
    </row>
    <row r="90">
      <c r="A90" s="150" t="s">
        <v>253</v>
      </c>
      <c r="B90" s="150" t="s">
        <v>518</v>
      </c>
      <c r="C90" s="151" t="s">
        <v>254</v>
      </c>
      <c r="D90" s="152" t="s">
        <v>519</v>
      </c>
      <c r="E90" s="156"/>
      <c r="F90" s="156"/>
      <c r="G90" s="150" t="s">
        <v>190</v>
      </c>
      <c r="H90" s="151" t="s">
        <v>187</v>
      </c>
      <c r="I90" s="155"/>
      <c r="J90" s="155"/>
      <c r="K90" s="155"/>
      <c r="L90" s="155"/>
      <c r="M90" s="155"/>
      <c r="N90" s="155"/>
      <c r="O90" s="157"/>
      <c r="P90" s="155"/>
    </row>
    <row r="91">
      <c r="A91" s="150" t="s">
        <v>255</v>
      </c>
      <c r="B91" s="150" t="s">
        <v>520</v>
      </c>
      <c r="C91" s="151" t="s">
        <v>256</v>
      </c>
      <c r="D91" s="152" t="s">
        <v>521</v>
      </c>
      <c r="E91" s="156"/>
      <c r="F91" s="156"/>
      <c r="G91" s="150" t="s">
        <v>190</v>
      </c>
      <c r="H91" s="151" t="s">
        <v>187</v>
      </c>
      <c r="I91" s="155"/>
      <c r="J91" s="155"/>
      <c r="K91" s="155"/>
      <c r="L91" s="155"/>
      <c r="M91" s="155"/>
      <c r="N91" s="155"/>
      <c r="O91" s="157"/>
      <c r="P91" s="155"/>
    </row>
    <row r="92">
      <c r="A92" s="150" t="s">
        <v>257</v>
      </c>
      <c r="B92" s="150" t="s">
        <v>522</v>
      </c>
      <c r="C92" s="151" t="s">
        <v>258</v>
      </c>
      <c r="D92" s="152" t="s">
        <v>523</v>
      </c>
      <c r="E92" s="156"/>
      <c r="F92" s="156"/>
      <c r="G92" s="150" t="s">
        <v>190</v>
      </c>
      <c r="H92" s="151" t="s">
        <v>187</v>
      </c>
      <c r="I92" s="155"/>
      <c r="J92" s="155"/>
      <c r="K92" s="155"/>
      <c r="L92" s="155"/>
      <c r="M92" s="155"/>
      <c r="N92" s="155"/>
      <c r="O92" s="157"/>
      <c r="P92" s="155"/>
    </row>
    <row r="93">
      <c r="A93" s="150" t="s">
        <v>259</v>
      </c>
      <c r="B93" s="150" t="s">
        <v>524</v>
      </c>
      <c r="C93" s="151" t="s">
        <v>260</v>
      </c>
      <c r="D93" s="152" t="s">
        <v>525</v>
      </c>
      <c r="E93" s="156"/>
      <c r="F93" s="156"/>
      <c r="G93" s="150" t="s">
        <v>190</v>
      </c>
      <c r="H93" s="151" t="s">
        <v>187</v>
      </c>
      <c r="I93" s="155"/>
      <c r="J93" s="155"/>
      <c r="K93" s="155"/>
      <c r="L93" s="155"/>
      <c r="M93" s="155"/>
      <c r="N93" s="155"/>
      <c r="O93" s="157"/>
      <c r="P93" s="155"/>
    </row>
    <row r="94">
      <c r="A94" s="150" t="s">
        <v>261</v>
      </c>
      <c r="B94" s="150" t="s">
        <v>526</v>
      </c>
      <c r="C94" s="151" t="s">
        <v>262</v>
      </c>
      <c r="D94" s="152" t="s">
        <v>527</v>
      </c>
      <c r="E94" s="156"/>
      <c r="F94" s="156"/>
      <c r="G94" s="150" t="s">
        <v>190</v>
      </c>
      <c r="H94" s="151" t="s">
        <v>187</v>
      </c>
      <c r="I94" s="155"/>
      <c r="J94" s="155"/>
      <c r="K94" s="155"/>
      <c r="L94" s="155"/>
      <c r="M94" s="155"/>
      <c r="N94" s="155"/>
      <c r="O94" s="157"/>
      <c r="P94" s="155"/>
    </row>
    <row r="95">
      <c r="A95" s="150" t="s">
        <v>263</v>
      </c>
      <c r="B95" s="150" t="s">
        <v>528</v>
      </c>
      <c r="C95" s="151" t="s">
        <v>264</v>
      </c>
      <c r="D95" s="152" t="s">
        <v>529</v>
      </c>
      <c r="E95" s="156"/>
      <c r="F95" s="156"/>
      <c r="G95" s="150" t="s">
        <v>190</v>
      </c>
      <c r="H95" s="151" t="s">
        <v>187</v>
      </c>
      <c r="I95" s="155"/>
      <c r="J95" s="155"/>
      <c r="K95" s="155"/>
      <c r="L95" s="155"/>
      <c r="M95" s="155"/>
      <c r="N95" s="155"/>
      <c r="O95" s="157"/>
      <c r="P95" s="155"/>
    </row>
    <row r="96">
      <c r="A96" s="150" t="s">
        <v>104</v>
      </c>
      <c r="B96" s="150" t="s">
        <v>530</v>
      </c>
      <c r="C96" s="151" t="s">
        <v>265</v>
      </c>
      <c r="D96" s="152" t="s">
        <v>531</v>
      </c>
      <c r="E96" s="156"/>
      <c r="F96" s="156"/>
      <c r="G96" s="150" t="s">
        <v>190</v>
      </c>
      <c r="H96" s="151" t="s">
        <v>187</v>
      </c>
      <c r="I96" s="155"/>
      <c r="J96" s="155"/>
      <c r="K96" s="155"/>
      <c r="L96" s="155"/>
      <c r="M96" s="155"/>
      <c r="N96" s="155"/>
      <c r="O96" s="157"/>
      <c r="P96" s="155"/>
    </row>
    <row r="97">
      <c r="A97" s="150" t="s">
        <v>105</v>
      </c>
      <c r="B97" s="150" t="s">
        <v>532</v>
      </c>
      <c r="C97" s="151" t="s">
        <v>266</v>
      </c>
      <c r="D97" s="152" t="s">
        <v>533</v>
      </c>
      <c r="E97" s="156"/>
      <c r="F97" s="156"/>
      <c r="G97" s="150" t="s">
        <v>190</v>
      </c>
      <c r="H97" s="151" t="s">
        <v>187</v>
      </c>
      <c r="I97" s="155"/>
      <c r="J97" s="155"/>
      <c r="K97" s="155"/>
      <c r="L97" s="155"/>
      <c r="M97" s="155"/>
      <c r="N97" s="155"/>
      <c r="O97" s="157"/>
      <c r="P97" s="155"/>
    </row>
    <row r="98">
      <c r="A98" s="150" t="s">
        <v>106</v>
      </c>
      <c r="B98" s="150" t="s">
        <v>534</v>
      </c>
      <c r="C98" s="151" t="s">
        <v>267</v>
      </c>
      <c r="D98" s="152" t="s">
        <v>535</v>
      </c>
      <c r="E98" s="156"/>
      <c r="F98" s="156"/>
      <c r="G98" s="150" t="s">
        <v>190</v>
      </c>
      <c r="H98" s="151" t="s">
        <v>187</v>
      </c>
      <c r="I98" s="155"/>
      <c r="J98" s="155"/>
      <c r="K98" s="155"/>
      <c r="L98" s="155"/>
      <c r="M98" s="155"/>
      <c r="N98" s="155"/>
      <c r="O98" s="157"/>
      <c r="P98" s="155"/>
    </row>
    <row r="99">
      <c r="A99" s="150" t="s">
        <v>107</v>
      </c>
      <c r="B99" s="150" t="s">
        <v>536</v>
      </c>
      <c r="C99" s="151" t="s">
        <v>268</v>
      </c>
      <c r="D99" s="152" t="s">
        <v>537</v>
      </c>
      <c r="E99" s="156"/>
      <c r="F99" s="156"/>
      <c r="G99" s="150" t="s">
        <v>190</v>
      </c>
      <c r="H99" s="151" t="s">
        <v>187</v>
      </c>
      <c r="I99" s="155"/>
      <c r="J99" s="155"/>
      <c r="K99" s="155"/>
      <c r="L99" s="155"/>
      <c r="M99" s="155"/>
      <c r="N99" s="155"/>
      <c r="O99" s="157"/>
      <c r="P99" s="155"/>
    </row>
    <row r="100">
      <c r="A100" s="150" t="s">
        <v>108</v>
      </c>
      <c r="B100" s="150" t="s">
        <v>538</v>
      </c>
      <c r="C100" s="151" t="s">
        <v>269</v>
      </c>
      <c r="D100" s="152" t="s">
        <v>539</v>
      </c>
      <c r="E100" s="156"/>
      <c r="F100" s="156"/>
      <c r="G100" s="150" t="s">
        <v>190</v>
      </c>
      <c r="H100" s="151" t="s">
        <v>187</v>
      </c>
      <c r="I100" s="155"/>
      <c r="J100" s="155"/>
      <c r="K100" s="155"/>
      <c r="L100" s="155"/>
      <c r="M100" s="155"/>
      <c r="N100" s="155"/>
      <c r="O100" s="157"/>
      <c r="P100" s="155"/>
    </row>
    <row r="101">
      <c r="A101" s="150" t="s">
        <v>283</v>
      </c>
      <c r="B101" s="158" t="str">
        <f t="shared" ref="B101:B705" si="2">IF($A101="","",$A101&amp;"."&amp;COUNTIF($A$9:$A101,$A101))</f>
        <v>5.1.1</v>
      </c>
      <c r="C101" s="151" t="s">
        <v>234</v>
      </c>
      <c r="D101" s="152" t="s">
        <v>440</v>
      </c>
      <c r="E101" s="156"/>
      <c r="F101" s="156"/>
      <c r="G101" s="150" t="s">
        <v>41</v>
      </c>
      <c r="H101" s="151" t="s">
        <v>187</v>
      </c>
      <c r="I101" s="155"/>
      <c r="J101" s="155"/>
      <c r="K101" s="155"/>
      <c r="L101" s="155"/>
      <c r="M101" s="155"/>
      <c r="N101" s="155"/>
      <c r="O101" s="157"/>
      <c r="P101" s="155"/>
    </row>
    <row r="102" outlineLevel="1">
      <c r="A102" s="150" t="s">
        <v>283</v>
      </c>
      <c r="B102" s="158" t="str">
        <f t="shared" si="2"/>
        <v>5.1.2</v>
      </c>
      <c r="C102" s="151" t="s">
        <v>234</v>
      </c>
      <c r="D102" s="152" t="s">
        <v>441</v>
      </c>
      <c r="E102" s="156"/>
      <c r="F102" s="156"/>
      <c r="G102" s="150" t="s">
        <v>41</v>
      </c>
      <c r="H102" s="151" t="s">
        <v>187</v>
      </c>
      <c r="I102" s="155"/>
      <c r="J102" s="155"/>
      <c r="K102" s="155"/>
      <c r="L102" s="155"/>
      <c r="M102" s="155"/>
      <c r="N102" s="155"/>
      <c r="O102" s="157"/>
      <c r="P102" s="155"/>
    </row>
    <row r="103" outlineLevel="1">
      <c r="A103" s="150" t="s">
        <v>283</v>
      </c>
      <c r="B103" s="158" t="str">
        <f t="shared" si="2"/>
        <v>5.1.3</v>
      </c>
      <c r="C103" s="151" t="s">
        <v>234</v>
      </c>
      <c r="D103" s="152" t="s">
        <v>442</v>
      </c>
      <c r="E103" s="156"/>
      <c r="F103" s="156"/>
      <c r="G103" s="150" t="s">
        <v>41</v>
      </c>
      <c r="H103" s="151" t="s">
        <v>187</v>
      </c>
      <c r="I103" s="155"/>
      <c r="J103" s="155"/>
      <c r="K103" s="155"/>
      <c r="L103" s="155"/>
      <c r="M103" s="155"/>
      <c r="N103" s="155"/>
      <c r="O103" s="157"/>
      <c r="P103" s="155"/>
    </row>
    <row r="104" outlineLevel="1">
      <c r="A104" s="150" t="s">
        <v>283</v>
      </c>
      <c r="B104" s="158" t="str">
        <f t="shared" si="2"/>
        <v>5.1.4</v>
      </c>
      <c r="C104" s="151" t="s">
        <v>234</v>
      </c>
      <c r="D104" s="152" t="s">
        <v>443</v>
      </c>
      <c r="E104" s="156"/>
      <c r="F104" s="156"/>
      <c r="G104" s="150" t="s">
        <v>41</v>
      </c>
      <c r="H104" s="151" t="s">
        <v>187</v>
      </c>
      <c r="I104" s="155"/>
      <c r="J104" s="155"/>
      <c r="K104" s="155"/>
      <c r="L104" s="155"/>
      <c r="M104" s="155"/>
      <c r="N104" s="155"/>
      <c r="O104" s="157"/>
      <c r="P104" s="155"/>
    </row>
    <row r="105" outlineLevel="1">
      <c r="A105" s="150" t="s">
        <v>283</v>
      </c>
      <c r="B105" s="158" t="str">
        <f t="shared" si="2"/>
        <v>5.1.5</v>
      </c>
      <c r="C105" s="151" t="s">
        <v>234</v>
      </c>
      <c r="D105" s="152" t="s">
        <v>444</v>
      </c>
      <c r="E105" s="156"/>
      <c r="F105" s="156"/>
      <c r="G105" s="150" t="s">
        <v>41</v>
      </c>
      <c r="H105" s="151" t="s">
        <v>187</v>
      </c>
      <c r="I105" s="155"/>
      <c r="J105" s="155"/>
      <c r="K105" s="155"/>
      <c r="L105" s="155"/>
      <c r="M105" s="155"/>
      <c r="N105" s="155"/>
      <c r="O105" s="157"/>
      <c r="P105" s="155"/>
    </row>
    <row r="106" outlineLevel="1">
      <c r="A106" s="150" t="s">
        <v>283</v>
      </c>
      <c r="B106" s="158" t="str">
        <f t="shared" si="2"/>
        <v>5.1.6</v>
      </c>
      <c r="C106" s="151" t="s">
        <v>234</v>
      </c>
      <c r="D106" s="152" t="s">
        <v>540</v>
      </c>
      <c r="E106" s="156"/>
      <c r="F106" s="156"/>
      <c r="G106" s="150" t="s">
        <v>41</v>
      </c>
      <c r="H106" s="151" t="s">
        <v>187</v>
      </c>
      <c r="I106" s="155"/>
      <c r="J106" s="155"/>
      <c r="K106" s="155"/>
      <c r="L106" s="155"/>
      <c r="M106" s="155"/>
      <c r="N106" s="155"/>
      <c r="O106" s="157"/>
      <c r="P106" s="155"/>
    </row>
    <row r="107" outlineLevel="1">
      <c r="A107" s="150" t="s">
        <v>283</v>
      </c>
      <c r="B107" s="158" t="str">
        <f t="shared" si="2"/>
        <v>5.1.7</v>
      </c>
      <c r="C107" s="151" t="s">
        <v>234</v>
      </c>
      <c r="D107" s="152" t="s">
        <v>446</v>
      </c>
      <c r="E107" s="156"/>
      <c r="F107" s="156"/>
      <c r="G107" s="150" t="s">
        <v>41</v>
      </c>
      <c r="H107" s="151" t="s">
        <v>187</v>
      </c>
      <c r="I107" s="155"/>
      <c r="J107" s="155"/>
      <c r="K107" s="155"/>
      <c r="L107" s="155"/>
      <c r="M107" s="155"/>
      <c r="N107" s="155"/>
      <c r="O107" s="157"/>
      <c r="P107" s="155"/>
    </row>
    <row r="108">
      <c r="A108" s="150" t="s">
        <v>284</v>
      </c>
      <c r="B108" s="158" t="str">
        <f t="shared" si="2"/>
        <v>5.2.1</v>
      </c>
      <c r="C108" s="151" t="s">
        <v>285</v>
      </c>
      <c r="D108" s="152" t="s">
        <v>447</v>
      </c>
      <c r="E108" s="156"/>
      <c r="F108" s="156"/>
      <c r="G108" s="150" t="s">
        <v>41</v>
      </c>
      <c r="H108" s="151" t="s">
        <v>187</v>
      </c>
      <c r="I108" s="155"/>
      <c r="J108" s="155"/>
      <c r="K108" s="155"/>
      <c r="L108" s="155"/>
      <c r="M108" s="155"/>
      <c r="N108" s="155"/>
      <c r="O108" s="157"/>
      <c r="P108" s="155"/>
    </row>
    <row r="109" outlineLevel="1">
      <c r="A109" s="150" t="s">
        <v>284</v>
      </c>
      <c r="B109" s="158" t="str">
        <f t="shared" si="2"/>
        <v>5.2.2</v>
      </c>
      <c r="C109" s="151" t="s">
        <v>285</v>
      </c>
      <c r="D109" s="152" t="s">
        <v>448</v>
      </c>
      <c r="E109" s="156"/>
      <c r="F109" s="156"/>
      <c r="G109" s="150" t="s">
        <v>41</v>
      </c>
      <c r="H109" s="151" t="s">
        <v>187</v>
      </c>
      <c r="I109" s="155"/>
      <c r="J109" s="155"/>
      <c r="K109" s="155"/>
      <c r="L109" s="155"/>
      <c r="M109" s="155"/>
      <c r="N109" s="155"/>
      <c r="O109" s="157"/>
      <c r="P109" s="155"/>
    </row>
    <row r="110" outlineLevel="1">
      <c r="A110" s="150" t="s">
        <v>284</v>
      </c>
      <c r="B110" s="158" t="str">
        <f t="shared" si="2"/>
        <v>5.2.3</v>
      </c>
      <c r="C110" s="151" t="s">
        <v>285</v>
      </c>
      <c r="D110" s="152" t="s">
        <v>449</v>
      </c>
      <c r="E110" s="156"/>
      <c r="F110" s="156"/>
      <c r="G110" s="150" t="s">
        <v>41</v>
      </c>
      <c r="H110" s="151" t="s">
        <v>187</v>
      </c>
      <c r="I110" s="155"/>
      <c r="J110" s="155"/>
      <c r="K110" s="155"/>
      <c r="L110" s="155"/>
      <c r="M110" s="155"/>
      <c r="N110" s="155"/>
      <c r="O110" s="157"/>
      <c r="P110" s="155"/>
    </row>
    <row r="111" outlineLevel="1">
      <c r="A111" s="150" t="s">
        <v>284</v>
      </c>
      <c r="B111" s="158" t="str">
        <f t="shared" si="2"/>
        <v>5.2.4</v>
      </c>
      <c r="C111" s="151" t="s">
        <v>285</v>
      </c>
      <c r="D111" s="152" t="s">
        <v>450</v>
      </c>
      <c r="E111" s="156"/>
      <c r="F111" s="156"/>
      <c r="G111" s="150" t="s">
        <v>41</v>
      </c>
      <c r="H111" s="151" t="s">
        <v>187</v>
      </c>
      <c r="I111" s="155"/>
      <c r="J111" s="155"/>
      <c r="K111" s="155"/>
      <c r="L111" s="155"/>
      <c r="M111" s="155"/>
      <c r="N111" s="155"/>
      <c r="O111" s="157"/>
      <c r="P111" s="155"/>
    </row>
    <row r="112" outlineLevel="1">
      <c r="A112" s="150" t="s">
        <v>284</v>
      </c>
      <c r="B112" s="158" t="str">
        <f t="shared" si="2"/>
        <v>5.2.5</v>
      </c>
      <c r="C112" s="151" t="s">
        <v>285</v>
      </c>
      <c r="D112" s="152" t="s">
        <v>451</v>
      </c>
      <c r="E112" s="156"/>
      <c r="F112" s="156"/>
      <c r="G112" s="150" t="s">
        <v>41</v>
      </c>
      <c r="H112" s="151" t="s">
        <v>187</v>
      </c>
      <c r="I112" s="155"/>
      <c r="J112" s="155"/>
      <c r="K112" s="155"/>
      <c r="L112" s="155"/>
      <c r="M112" s="155"/>
      <c r="N112" s="155"/>
      <c r="O112" s="157"/>
      <c r="P112" s="155"/>
    </row>
    <row r="113" outlineLevel="1">
      <c r="A113" s="150" t="s">
        <v>284</v>
      </c>
      <c r="B113" s="158" t="str">
        <f t="shared" si="2"/>
        <v>5.2.6</v>
      </c>
      <c r="C113" s="151" t="s">
        <v>285</v>
      </c>
      <c r="D113" s="152" t="s">
        <v>452</v>
      </c>
      <c r="E113" s="156"/>
      <c r="F113" s="156"/>
      <c r="G113" s="150" t="s">
        <v>41</v>
      </c>
      <c r="H113" s="151" t="s">
        <v>187</v>
      </c>
      <c r="I113" s="155"/>
      <c r="J113" s="155"/>
      <c r="K113" s="155"/>
      <c r="L113" s="155"/>
      <c r="M113" s="155"/>
      <c r="N113" s="155"/>
      <c r="O113" s="157"/>
      <c r="P113" s="155"/>
    </row>
    <row r="114" outlineLevel="1">
      <c r="A114" s="150" t="s">
        <v>284</v>
      </c>
      <c r="B114" s="158" t="str">
        <f t="shared" si="2"/>
        <v>5.2.7</v>
      </c>
      <c r="C114" s="151" t="s">
        <v>285</v>
      </c>
      <c r="D114" s="152" t="s">
        <v>453</v>
      </c>
      <c r="E114" s="156"/>
      <c r="F114" s="156"/>
      <c r="G114" s="150" t="s">
        <v>41</v>
      </c>
      <c r="H114" s="151" t="s">
        <v>187</v>
      </c>
      <c r="I114" s="155"/>
      <c r="J114" s="155"/>
      <c r="K114" s="155"/>
      <c r="L114" s="155"/>
      <c r="M114" s="155"/>
      <c r="N114" s="155"/>
      <c r="O114" s="157"/>
      <c r="P114" s="155"/>
    </row>
    <row r="115" outlineLevel="1">
      <c r="A115" s="150" t="s">
        <v>284</v>
      </c>
      <c r="B115" s="158" t="str">
        <f t="shared" si="2"/>
        <v>5.2.8</v>
      </c>
      <c r="C115" s="151" t="s">
        <v>285</v>
      </c>
      <c r="D115" s="152" t="s">
        <v>454</v>
      </c>
      <c r="E115" s="156"/>
      <c r="F115" s="156"/>
      <c r="G115" s="150" t="s">
        <v>41</v>
      </c>
      <c r="H115" s="151" t="s">
        <v>187</v>
      </c>
      <c r="I115" s="155"/>
      <c r="J115" s="155"/>
      <c r="K115" s="155"/>
      <c r="L115" s="155"/>
      <c r="M115" s="155"/>
      <c r="N115" s="155"/>
      <c r="O115" s="157"/>
      <c r="P115" s="155"/>
    </row>
    <row r="116">
      <c r="A116" s="150" t="s">
        <v>286</v>
      </c>
      <c r="B116" s="158" t="str">
        <f t="shared" si="2"/>
        <v>5.3.1</v>
      </c>
      <c r="C116" s="151" t="s">
        <v>62</v>
      </c>
      <c r="D116" s="152" t="s">
        <v>460</v>
      </c>
      <c r="E116" s="156"/>
      <c r="F116" s="156"/>
      <c r="G116" s="150" t="s">
        <v>41</v>
      </c>
      <c r="H116" s="151" t="s">
        <v>187</v>
      </c>
      <c r="I116" s="155"/>
      <c r="J116" s="155"/>
      <c r="K116" s="155"/>
      <c r="L116" s="155"/>
      <c r="M116" s="155"/>
      <c r="N116" s="155"/>
      <c r="O116" s="157"/>
      <c r="P116" s="155"/>
    </row>
    <row r="117" outlineLevel="1">
      <c r="A117" s="150" t="s">
        <v>286</v>
      </c>
      <c r="B117" s="158" t="str">
        <f t="shared" si="2"/>
        <v>5.3.2</v>
      </c>
      <c r="C117" s="151" t="s">
        <v>62</v>
      </c>
      <c r="D117" s="152" t="s">
        <v>541</v>
      </c>
      <c r="E117" s="156"/>
      <c r="F117" s="156"/>
      <c r="G117" s="150" t="s">
        <v>41</v>
      </c>
      <c r="H117" s="151" t="s">
        <v>187</v>
      </c>
      <c r="I117" s="155"/>
      <c r="J117" s="155"/>
      <c r="K117" s="155"/>
      <c r="L117" s="155"/>
      <c r="M117" s="155"/>
      <c r="N117" s="155"/>
      <c r="O117" s="157"/>
      <c r="P117" s="155"/>
    </row>
    <row r="118" outlineLevel="1">
      <c r="A118" s="150" t="s">
        <v>286</v>
      </c>
      <c r="B118" s="158" t="str">
        <f t="shared" si="2"/>
        <v>5.3.3</v>
      </c>
      <c r="C118" s="151" t="s">
        <v>62</v>
      </c>
      <c r="D118" s="152" t="s">
        <v>462</v>
      </c>
      <c r="E118" s="156"/>
      <c r="F118" s="156"/>
      <c r="G118" s="150" t="s">
        <v>41</v>
      </c>
      <c r="H118" s="151" t="s">
        <v>187</v>
      </c>
      <c r="I118" s="155"/>
      <c r="J118" s="155"/>
      <c r="K118" s="155"/>
      <c r="L118" s="155"/>
      <c r="M118" s="155"/>
      <c r="N118" s="155"/>
      <c r="O118" s="157"/>
      <c r="P118" s="155"/>
    </row>
    <row r="119" outlineLevel="1">
      <c r="A119" s="150" t="s">
        <v>286</v>
      </c>
      <c r="B119" s="158" t="str">
        <f t="shared" si="2"/>
        <v>5.3.4</v>
      </c>
      <c r="C119" s="151" t="s">
        <v>62</v>
      </c>
      <c r="D119" s="152" t="s">
        <v>542</v>
      </c>
      <c r="E119" s="156"/>
      <c r="F119" s="156"/>
      <c r="G119" s="150" t="s">
        <v>41</v>
      </c>
      <c r="H119" s="151" t="s">
        <v>187</v>
      </c>
      <c r="I119" s="155"/>
      <c r="J119" s="155"/>
      <c r="K119" s="155"/>
      <c r="L119" s="155"/>
      <c r="M119" s="155"/>
      <c r="N119" s="155"/>
      <c r="O119" s="157"/>
      <c r="P119" s="155"/>
    </row>
    <row r="120" outlineLevel="1">
      <c r="A120" s="150" t="s">
        <v>286</v>
      </c>
      <c r="B120" s="158" t="str">
        <f t="shared" si="2"/>
        <v>5.3.5</v>
      </c>
      <c r="C120" s="151" t="s">
        <v>62</v>
      </c>
      <c r="D120" s="152" t="s">
        <v>464</v>
      </c>
      <c r="E120" s="156"/>
      <c r="F120" s="156"/>
      <c r="G120" s="150" t="s">
        <v>41</v>
      </c>
      <c r="H120" s="151" t="s">
        <v>187</v>
      </c>
      <c r="I120" s="155"/>
      <c r="J120" s="155"/>
      <c r="K120" s="155"/>
      <c r="L120" s="155"/>
      <c r="M120" s="155"/>
      <c r="N120" s="155"/>
      <c r="O120" s="157"/>
      <c r="P120" s="155"/>
    </row>
    <row r="121">
      <c r="A121" s="150" t="s">
        <v>287</v>
      </c>
      <c r="B121" s="158" t="str">
        <f t="shared" si="2"/>
        <v>5.4.1</v>
      </c>
      <c r="C121" s="151" t="s">
        <v>59</v>
      </c>
      <c r="D121" s="152" t="s">
        <v>455</v>
      </c>
      <c r="E121" s="156"/>
      <c r="F121" s="156"/>
      <c r="G121" s="150" t="s">
        <v>41</v>
      </c>
      <c r="H121" s="151" t="s">
        <v>187</v>
      </c>
      <c r="I121" s="155"/>
      <c r="J121" s="155"/>
      <c r="K121" s="155"/>
      <c r="L121" s="155"/>
      <c r="M121" s="155"/>
      <c r="N121" s="155"/>
      <c r="O121" s="157"/>
      <c r="P121" s="155"/>
    </row>
    <row r="122" outlineLevel="1">
      <c r="A122" s="150" t="s">
        <v>287</v>
      </c>
      <c r="B122" s="158" t="str">
        <f t="shared" si="2"/>
        <v>5.4.2</v>
      </c>
      <c r="C122" s="151" t="s">
        <v>59</v>
      </c>
      <c r="D122" s="152" t="s">
        <v>456</v>
      </c>
      <c r="E122" s="156"/>
      <c r="F122" s="156"/>
      <c r="G122" s="150" t="s">
        <v>41</v>
      </c>
      <c r="H122" s="151" t="s">
        <v>187</v>
      </c>
      <c r="I122" s="155"/>
      <c r="J122" s="155"/>
      <c r="K122" s="155"/>
      <c r="L122" s="155"/>
      <c r="M122" s="155"/>
      <c r="N122" s="155"/>
      <c r="O122" s="157"/>
      <c r="P122" s="155"/>
    </row>
    <row r="123" outlineLevel="1">
      <c r="A123" s="150" t="s">
        <v>287</v>
      </c>
      <c r="B123" s="158" t="str">
        <f t="shared" si="2"/>
        <v>5.4.3</v>
      </c>
      <c r="C123" s="151" t="s">
        <v>59</v>
      </c>
      <c r="D123" s="152" t="s">
        <v>457</v>
      </c>
      <c r="E123" s="156"/>
      <c r="F123" s="156"/>
      <c r="G123" s="150" t="s">
        <v>41</v>
      </c>
      <c r="H123" s="151" t="s">
        <v>187</v>
      </c>
      <c r="I123" s="155"/>
      <c r="J123" s="155"/>
      <c r="K123" s="155"/>
      <c r="L123" s="155"/>
      <c r="M123" s="155"/>
      <c r="N123" s="155"/>
      <c r="O123" s="157"/>
      <c r="P123" s="155"/>
    </row>
    <row r="124" outlineLevel="1">
      <c r="A124" s="150" t="s">
        <v>287</v>
      </c>
      <c r="B124" s="158" t="str">
        <f t="shared" si="2"/>
        <v>5.4.4</v>
      </c>
      <c r="C124" s="151" t="s">
        <v>59</v>
      </c>
      <c r="D124" s="152" t="s">
        <v>458</v>
      </c>
      <c r="E124" s="156"/>
      <c r="F124" s="156"/>
      <c r="G124" s="150" t="s">
        <v>41</v>
      </c>
      <c r="H124" s="151" t="s">
        <v>187</v>
      </c>
      <c r="I124" s="155"/>
      <c r="J124" s="155"/>
      <c r="K124" s="155"/>
      <c r="L124" s="155"/>
      <c r="M124" s="155"/>
      <c r="N124" s="155"/>
      <c r="O124" s="157"/>
      <c r="P124" s="155"/>
    </row>
    <row r="125" outlineLevel="1">
      <c r="A125" s="150" t="s">
        <v>287</v>
      </c>
      <c r="B125" s="158" t="str">
        <f t="shared" si="2"/>
        <v>5.4.5</v>
      </c>
      <c r="C125" s="151" t="s">
        <v>59</v>
      </c>
      <c r="D125" s="152" t="s">
        <v>459</v>
      </c>
      <c r="E125" s="156"/>
      <c r="F125" s="156"/>
      <c r="G125" s="150" t="s">
        <v>41</v>
      </c>
      <c r="H125" s="151" t="s">
        <v>187</v>
      </c>
      <c r="I125" s="155"/>
      <c r="J125" s="155"/>
      <c r="K125" s="155"/>
      <c r="L125" s="155"/>
      <c r="M125" s="155"/>
      <c r="N125" s="155"/>
      <c r="O125" s="157"/>
      <c r="P125" s="155"/>
    </row>
    <row r="126">
      <c r="A126" s="150" t="s">
        <v>288</v>
      </c>
      <c r="B126" s="158" t="str">
        <f t="shared" si="2"/>
        <v>5.5.1</v>
      </c>
      <c r="C126" s="151" t="s">
        <v>67</v>
      </c>
      <c r="D126" s="152" t="s">
        <v>465</v>
      </c>
      <c r="E126" s="156"/>
      <c r="F126" s="156"/>
      <c r="G126" s="150" t="s">
        <v>41</v>
      </c>
      <c r="H126" s="151" t="s">
        <v>187</v>
      </c>
      <c r="I126" s="155"/>
      <c r="J126" s="155"/>
      <c r="K126" s="155"/>
      <c r="L126" s="155"/>
      <c r="M126" s="155"/>
      <c r="N126" s="155"/>
      <c r="O126" s="157"/>
      <c r="P126" s="155"/>
    </row>
    <row r="127" outlineLevel="1">
      <c r="A127" s="150" t="s">
        <v>288</v>
      </c>
      <c r="B127" s="158" t="str">
        <f t="shared" si="2"/>
        <v>5.5.2</v>
      </c>
      <c r="C127" s="151" t="s">
        <v>67</v>
      </c>
      <c r="D127" s="152" t="s">
        <v>541</v>
      </c>
      <c r="E127" s="156"/>
      <c r="F127" s="156"/>
      <c r="G127" s="150" t="s">
        <v>41</v>
      </c>
      <c r="H127" s="151" t="s">
        <v>187</v>
      </c>
      <c r="I127" s="155"/>
      <c r="J127" s="155"/>
      <c r="K127" s="155"/>
      <c r="L127" s="155"/>
      <c r="M127" s="155"/>
      <c r="N127" s="155"/>
      <c r="O127" s="157"/>
      <c r="P127" s="155"/>
    </row>
    <row r="128" outlineLevel="1">
      <c r="A128" s="150" t="s">
        <v>288</v>
      </c>
      <c r="B128" s="158" t="str">
        <f t="shared" si="2"/>
        <v>5.5.3</v>
      </c>
      <c r="C128" s="151" t="s">
        <v>67</v>
      </c>
      <c r="D128" s="152" t="s">
        <v>462</v>
      </c>
      <c r="E128" s="156"/>
      <c r="F128" s="156"/>
      <c r="G128" s="150" t="s">
        <v>41</v>
      </c>
      <c r="H128" s="151" t="s">
        <v>187</v>
      </c>
      <c r="I128" s="155"/>
      <c r="J128" s="155"/>
      <c r="K128" s="155"/>
      <c r="L128" s="155"/>
      <c r="M128" s="155"/>
      <c r="N128" s="155"/>
      <c r="O128" s="157"/>
      <c r="P128" s="155"/>
    </row>
    <row r="129" outlineLevel="1">
      <c r="A129" s="150" t="s">
        <v>288</v>
      </c>
      <c r="B129" s="158" t="str">
        <f t="shared" si="2"/>
        <v>5.5.4</v>
      </c>
      <c r="C129" s="151" t="s">
        <v>67</v>
      </c>
      <c r="D129" s="152" t="s">
        <v>542</v>
      </c>
      <c r="E129" s="156"/>
      <c r="F129" s="156"/>
      <c r="G129" s="150" t="s">
        <v>41</v>
      </c>
      <c r="H129" s="151" t="s">
        <v>187</v>
      </c>
      <c r="I129" s="155"/>
      <c r="J129" s="155"/>
      <c r="K129" s="155"/>
      <c r="L129" s="155"/>
      <c r="M129" s="155"/>
      <c r="N129" s="155"/>
      <c r="O129" s="157"/>
      <c r="P129" s="155"/>
    </row>
    <row r="130" outlineLevel="1">
      <c r="A130" s="150" t="s">
        <v>288</v>
      </c>
      <c r="B130" s="158" t="str">
        <f t="shared" si="2"/>
        <v>5.5.5</v>
      </c>
      <c r="C130" s="151" t="s">
        <v>67</v>
      </c>
      <c r="D130" s="152" t="s">
        <v>466</v>
      </c>
      <c r="E130" s="156"/>
      <c r="F130" s="156"/>
      <c r="G130" s="150" t="s">
        <v>41</v>
      </c>
      <c r="H130" s="151" t="s">
        <v>187</v>
      </c>
      <c r="I130" s="155"/>
      <c r="J130" s="155"/>
      <c r="K130" s="155"/>
      <c r="L130" s="155"/>
      <c r="M130" s="155"/>
      <c r="N130" s="155"/>
      <c r="O130" s="157"/>
      <c r="P130" s="155"/>
    </row>
    <row r="131">
      <c r="A131" s="150" t="s">
        <v>289</v>
      </c>
      <c r="B131" s="158" t="str">
        <f t="shared" si="2"/>
        <v>5.6.1</v>
      </c>
      <c r="C131" s="151" t="s">
        <v>290</v>
      </c>
      <c r="D131" s="152" t="s">
        <v>468</v>
      </c>
      <c r="E131" s="156"/>
      <c r="F131" s="156"/>
      <c r="G131" s="150" t="s">
        <v>41</v>
      </c>
      <c r="H131" s="151" t="s">
        <v>187</v>
      </c>
      <c r="I131" s="155"/>
      <c r="J131" s="155"/>
      <c r="K131" s="155"/>
      <c r="L131" s="155"/>
      <c r="M131" s="155"/>
      <c r="N131" s="155"/>
      <c r="O131" s="157"/>
      <c r="P131" s="155"/>
    </row>
    <row r="132" outlineLevel="1">
      <c r="A132" s="150" t="s">
        <v>289</v>
      </c>
      <c r="B132" s="158" t="str">
        <f t="shared" si="2"/>
        <v>5.6.2</v>
      </c>
      <c r="C132" s="151" t="s">
        <v>290</v>
      </c>
      <c r="D132" s="152" t="s">
        <v>469</v>
      </c>
      <c r="E132" s="156"/>
      <c r="F132" s="156"/>
      <c r="G132" s="150" t="s">
        <v>41</v>
      </c>
      <c r="H132" s="151" t="s">
        <v>187</v>
      </c>
      <c r="I132" s="155"/>
      <c r="J132" s="155"/>
      <c r="K132" s="155"/>
      <c r="L132" s="155"/>
      <c r="M132" s="155"/>
      <c r="N132" s="155"/>
      <c r="O132" s="157"/>
      <c r="P132" s="155"/>
    </row>
    <row r="133" outlineLevel="1">
      <c r="A133" s="150" t="s">
        <v>289</v>
      </c>
      <c r="B133" s="158" t="str">
        <f t="shared" si="2"/>
        <v>5.6.3</v>
      </c>
      <c r="C133" s="151" t="s">
        <v>290</v>
      </c>
      <c r="D133" s="152" t="s">
        <v>470</v>
      </c>
      <c r="E133" s="156"/>
      <c r="F133" s="156"/>
      <c r="G133" s="150" t="s">
        <v>41</v>
      </c>
      <c r="H133" s="151" t="s">
        <v>187</v>
      </c>
      <c r="I133" s="155"/>
      <c r="J133" s="155"/>
      <c r="K133" s="155"/>
      <c r="L133" s="155"/>
      <c r="M133" s="155"/>
      <c r="N133" s="155"/>
      <c r="O133" s="157"/>
      <c r="P133" s="155"/>
    </row>
    <row r="134" outlineLevel="1">
      <c r="A134" s="150" t="s">
        <v>289</v>
      </c>
      <c r="B134" s="158" t="str">
        <f t="shared" si="2"/>
        <v>5.6.4</v>
      </c>
      <c r="C134" s="151" t="s">
        <v>290</v>
      </c>
      <c r="D134" s="152" t="s">
        <v>471</v>
      </c>
      <c r="E134" s="156"/>
      <c r="F134" s="156"/>
      <c r="G134" s="150" t="s">
        <v>41</v>
      </c>
      <c r="H134" s="151" t="s">
        <v>187</v>
      </c>
      <c r="I134" s="155"/>
      <c r="J134" s="155"/>
      <c r="K134" s="155"/>
      <c r="L134" s="155"/>
      <c r="M134" s="155"/>
      <c r="N134" s="155"/>
      <c r="O134" s="157"/>
      <c r="P134" s="155"/>
    </row>
    <row r="135" outlineLevel="1">
      <c r="A135" s="150" t="s">
        <v>289</v>
      </c>
      <c r="B135" s="158" t="str">
        <f t="shared" si="2"/>
        <v>5.6.5</v>
      </c>
      <c r="C135" s="151" t="s">
        <v>290</v>
      </c>
      <c r="D135" s="152" t="s">
        <v>472</v>
      </c>
      <c r="E135" s="156"/>
      <c r="F135" s="156"/>
      <c r="G135" s="150" t="s">
        <v>41</v>
      </c>
      <c r="H135" s="151" t="s">
        <v>187</v>
      </c>
      <c r="I135" s="155"/>
      <c r="J135" s="155"/>
      <c r="K135" s="155"/>
      <c r="L135" s="155"/>
      <c r="M135" s="155"/>
      <c r="N135" s="155"/>
      <c r="O135" s="157"/>
      <c r="P135" s="155"/>
    </row>
    <row r="136" outlineLevel="1">
      <c r="A136" s="150" t="s">
        <v>289</v>
      </c>
      <c r="B136" s="158" t="str">
        <f t="shared" si="2"/>
        <v>5.6.6</v>
      </c>
      <c r="C136" s="151" t="s">
        <v>290</v>
      </c>
      <c r="D136" s="152" t="s">
        <v>473</v>
      </c>
      <c r="E136" s="156"/>
      <c r="F136" s="156"/>
      <c r="G136" s="150" t="s">
        <v>41</v>
      </c>
      <c r="H136" s="151" t="s">
        <v>187</v>
      </c>
      <c r="I136" s="155"/>
      <c r="J136" s="155"/>
      <c r="K136" s="155"/>
      <c r="L136" s="155"/>
      <c r="M136" s="155"/>
      <c r="N136" s="155"/>
      <c r="O136" s="157"/>
      <c r="P136" s="155"/>
    </row>
    <row r="137" outlineLevel="1">
      <c r="A137" s="150" t="s">
        <v>289</v>
      </c>
      <c r="B137" s="158" t="str">
        <f t="shared" si="2"/>
        <v>5.6.7</v>
      </c>
      <c r="C137" s="151" t="s">
        <v>290</v>
      </c>
      <c r="D137" s="152" t="s">
        <v>474</v>
      </c>
      <c r="E137" s="156"/>
      <c r="F137" s="156"/>
      <c r="G137" s="150" t="s">
        <v>41</v>
      </c>
      <c r="H137" s="151" t="s">
        <v>187</v>
      </c>
      <c r="I137" s="155"/>
      <c r="J137" s="155"/>
      <c r="K137" s="155"/>
      <c r="L137" s="155"/>
      <c r="M137" s="155"/>
      <c r="N137" s="155"/>
      <c r="O137" s="157"/>
      <c r="P137" s="155"/>
    </row>
    <row r="138">
      <c r="A138" s="150" t="s">
        <v>291</v>
      </c>
      <c r="B138" s="158" t="str">
        <f t="shared" si="2"/>
        <v>5.7.1</v>
      </c>
      <c r="C138" s="151" t="s">
        <v>292</v>
      </c>
      <c r="D138" s="152" t="s">
        <v>543</v>
      </c>
      <c r="E138" s="156"/>
      <c r="F138" s="156"/>
      <c r="G138" s="150" t="s">
        <v>41</v>
      </c>
      <c r="H138" s="151" t="s">
        <v>187</v>
      </c>
      <c r="I138" s="155"/>
      <c r="J138" s="155"/>
      <c r="K138" s="155"/>
      <c r="L138" s="155"/>
      <c r="M138" s="155"/>
      <c r="N138" s="155"/>
      <c r="O138" s="157"/>
      <c r="P138" s="155"/>
    </row>
    <row r="139" outlineLevel="1">
      <c r="A139" s="150" t="s">
        <v>291</v>
      </c>
      <c r="B139" s="158" t="str">
        <f t="shared" si="2"/>
        <v>5.7.2</v>
      </c>
      <c r="C139" s="151" t="s">
        <v>292</v>
      </c>
      <c r="D139" s="152" t="s">
        <v>544</v>
      </c>
      <c r="E139" s="156"/>
      <c r="F139" s="156"/>
      <c r="G139" s="150" t="s">
        <v>41</v>
      </c>
      <c r="H139" s="151" t="s">
        <v>187</v>
      </c>
      <c r="I139" s="155"/>
      <c r="J139" s="155"/>
      <c r="K139" s="155"/>
      <c r="L139" s="155"/>
      <c r="M139" s="155"/>
      <c r="N139" s="155"/>
      <c r="O139" s="157"/>
      <c r="P139" s="155"/>
    </row>
    <row r="140" outlineLevel="1">
      <c r="A140" s="150" t="s">
        <v>291</v>
      </c>
      <c r="B140" s="158" t="str">
        <f t="shared" si="2"/>
        <v>5.7.3</v>
      </c>
      <c r="C140" s="151" t="s">
        <v>292</v>
      </c>
      <c r="D140" s="152" t="s">
        <v>545</v>
      </c>
      <c r="E140" s="156"/>
      <c r="F140" s="156"/>
      <c r="G140" s="150" t="s">
        <v>41</v>
      </c>
      <c r="H140" s="151" t="s">
        <v>187</v>
      </c>
      <c r="I140" s="155"/>
      <c r="J140" s="155"/>
      <c r="K140" s="155"/>
      <c r="L140" s="155"/>
      <c r="M140" s="155"/>
      <c r="N140" s="155"/>
      <c r="O140" s="157"/>
      <c r="P140" s="155"/>
    </row>
    <row r="141" outlineLevel="1">
      <c r="A141" s="150" t="s">
        <v>291</v>
      </c>
      <c r="B141" s="158" t="str">
        <f t="shared" si="2"/>
        <v>5.7.4</v>
      </c>
      <c r="C141" s="151" t="s">
        <v>292</v>
      </c>
      <c r="D141" s="152" t="s">
        <v>546</v>
      </c>
      <c r="E141" s="156"/>
      <c r="F141" s="156"/>
      <c r="G141" s="150" t="s">
        <v>41</v>
      </c>
      <c r="H141" s="151" t="s">
        <v>187</v>
      </c>
      <c r="I141" s="155"/>
      <c r="J141" s="155"/>
      <c r="K141" s="155"/>
      <c r="L141" s="155"/>
      <c r="M141" s="155"/>
      <c r="N141" s="155"/>
      <c r="O141" s="157"/>
      <c r="P141" s="155"/>
    </row>
    <row r="142" outlineLevel="1">
      <c r="A142" s="150" t="s">
        <v>291</v>
      </c>
      <c r="B142" s="158" t="str">
        <f t="shared" si="2"/>
        <v>5.7.5</v>
      </c>
      <c r="C142" s="151" t="s">
        <v>292</v>
      </c>
      <c r="D142" s="152" t="s">
        <v>547</v>
      </c>
      <c r="E142" s="156"/>
      <c r="F142" s="156"/>
      <c r="G142" s="150" t="s">
        <v>41</v>
      </c>
      <c r="H142" s="151" t="s">
        <v>187</v>
      </c>
      <c r="I142" s="155"/>
      <c r="J142" s="155"/>
      <c r="K142" s="155"/>
      <c r="L142" s="155"/>
      <c r="M142" s="155"/>
      <c r="N142" s="155"/>
      <c r="O142" s="157"/>
      <c r="P142" s="155"/>
    </row>
    <row r="143" outlineLevel="1">
      <c r="A143" s="150" t="s">
        <v>291</v>
      </c>
      <c r="B143" s="158" t="str">
        <f t="shared" si="2"/>
        <v>5.7.6</v>
      </c>
      <c r="C143" s="151" t="s">
        <v>292</v>
      </c>
      <c r="D143" s="152" t="s">
        <v>446</v>
      </c>
      <c r="E143" s="156"/>
      <c r="F143" s="156"/>
      <c r="G143" s="150" t="s">
        <v>41</v>
      </c>
      <c r="H143" s="151" t="s">
        <v>187</v>
      </c>
      <c r="I143" s="155"/>
      <c r="J143" s="155"/>
      <c r="K143" s="155"/>
      <c r="L143" s="155"/>
      <c r="M143" s="155"/>
      <c r="N143" s="155"/>
      <c r="O143" s="157"/>
      <c r="P143" s="155"/>
    </row>
    <row r="144">
      <c r="A144" s="150" t="s">
        <v>293</v>
      </c>
      <c r="B144" s="158" t="str">
        <f t="shared" si="2"/>
        <v>5.8.1</v>
      </c>
      <c r="C144" s="151" t="s">
        <v>548</v>
      </c>
      <c r="D144" s="152" t="s">
        <v>549</v>
      </c>
      <c r="E144" s="156"/>
      <c r="F144" s="156"/>
      <c r="G144" s="150" t="s">
        <v>41</v>
      </c>
      <c r="H144" s="151" t="s">
        <v>187</v>
      </c>
      <c r="I144" s="155"/>
      <c r="J144" s="155"/>
      <c r="K144" s="155"/>
      <c r="L144" s="155"/>
      <c r="M144" s="155"/>
      <c r="N144" s="155"/>
      <c r="O144" s="157"/>
      <c r="P144" s="155"/>
    </row>
    <row r="145" outlineLevel="1">
      <c r="A145" s="150" t="s">
        <v>293</v>
      </c>
      <c r="B145" s="158" t="str">
        <f t="shared" si="2"/>
        <v>5.8.2</v>
      </c>
      <c r="C145" s="151" t="s">
        <v>294</v>
      </c>
      <c r="D145" s="152" t="s">
        <v>550</v>
      </c>
      <c r="E145" s="156"/>
      <c r="F145" s="156"/>
      <c r="G145" s="150" t="s">
        <v>41</v>
      </c>
      <c r="H145" s="151" t="s">
        <v>187</v>
      </c>
      <c r="I145" s="155"/>
      <c r="J145" s="155"/>
      <c r="K145" s="155"/>
      <c r="L145" s="155"/>
      <c r="M145" s="155"/>
      <c r="N145" s="155"/>
      <c r="O145" s="157"/>
      <c r="P145" s="155"/>
    </row>
    <row r="146" outlineLevel="1">
      <c r="A146" s="150" t="s">
        <v>293</v>
      </c>
      <c r="B146" s="158" t="str">
        <f t="shared" si="2"/>
        <v>5.8.3</v>
      </c>
      <c r="C146" s="151" t="s">
        <v>294</v>
      </c>
      <c r="D146" s="152" t="s">
        <v>551</v>
      </c>
      <c r="E146" s="156"/>
      <c r="F146" s="156"/>
      <c r="G146" s="150" t="s">
        <v>41</v>
      </c>
      <c r="H146" s="151" t="s">
        <v>187</v>
      </c>
      <c r="I146" s="155"/>
      <c r="J146" s="155"/>
      <c r="K146" s="155"/>
      <c r="L146" s="155"/>
      <c r="M146" s="155"/>
      <c r="N146" s="155"/>
      <c r="O146" s="157"/>
      <c r="P146" s="155"/>
    </row>
    <row r="147" outlineLevel="1">
      <c r="A147" s="150" t="s">
        <v>293</v>
      </c>
      <c r="B147" s="158" t="str">
        <f t="shared" si="2"/>
        <v>5.8.4</v>
      </c>
      <c r="C147" s="151" t="s">
        <v>294</v>
      </c>
      <c r="D147" s="152" t="s">
        <v>552</v>
      </c>
      <c r="E147" s="156"/>
      <c r="F147" s="156"/>
      <c r="G147" s="150" t="s">
        <v>41</v>
      </c>
      <c r="H147" s="151" t="s">
        <v>187</v>
      </c>
      <c r="I147" s="155"/>
      <c r="J147" s="155"/>
      <c r="K147" s="155"/>
      <c r="L147" s="155"/>
      <c r="M147" s="155"/>
      <c r="N147" s="155"/>
      <c r="O147" s="157"/>
      <c r="P147" s="155"/>
    </row>
    <row r="148" outlineLevel="1">
      <c r="A148" s="150" t="s">
        <v>293</v>
      </c>
      <c r="B148" s="158" t="str">
        <f t="shared" si="2"/>
        <v>5.8.5</v>
      </c>
      <c r="C148" s="151" t="s">
        <v>294</v>
      </c>
      <c r="D148" s="152" t="s">
        <v>553</v>
      </c>
      <c r="E148" s="156"/>
      <c r="F148" s="156"/>
      <c r="G148" s="150" t="s">
        <v>41</v>
      </c>
      <c r="H148" s="151" t="s">
        <v>187</v>
      </c>
      <c r="I148" s="155"/>
      <c r="J148" s="155"/>
      <c r="K148" s="155"/>
      <c r="L148" s="155"/>
      <c r="M148" s="155"/>
      <c r="N148" s="155"/>
      <c r="O148" s="157"/>
      <c r="P148" s="155"/>
    </row>
    <row r="149" outlineLevel="1">
      <c r="A149" s="161" t="s">
        <v>293</v>
      </c>
      <c r="B149" s="161" t="str">
        <f t="shared" si="2"/>
        <v>5.8.6</v>
      </c>
      <c r="C149" s="162" t="s">
        <v>294</v>
      </c>
      <c r="D149" s="163" t="s">
        <v>554</v>
      </c>
      <c r="E149" s="164"/>
      <c r="F149" s="164"/>
      <c r="G149" s="165" t="s">
        <v>41</v>
      </c>
      <c r="H149" s="166" t="s">
        <v>187</v>
      </c>
      <c r="I149" s="167"/>
      <c r="J149" s="167"/>
      <c r="K149" s="167"/>
      <c r="L149" s="167"/>
      <c r="M149" s="167"/>
      <c r="N149" s="167"/>
      <c r="O149" s="168"/>
      <c r="P149" s="167"/>
      <c r="Q149" s="169"/>
      <c r="R149" s="169"/>
      <c r="S149" s="169"/>
      <c r="T149" s="169"/>
      <c r="U149" s="169"/>
      <c r="V149" s="169"/>
      <c r="W149" s="169"/>
      <c r="X149" s="169"/>
    </row>
    <row r="150" outlineLevel="1">
      <c r="A150" s="150" t="s">
        <v>293</v>
      </c>
      <c r="B150" s="158" t="str">
        <f t="shared" si="2"/>
        <v>5.8.7</v>
      </c>
      <c r="C150" s="151" t="s">
        <v>294</v>
      </c>
      <c r="D150" s="152" t="s">
        <v>555</v>
      </c>
      <c r="E150" s="156"/>
      <c r="F150" s="156"/>
      <c r="G150" s="150" t="s">
        <v>41</v>
      </c>
      <c r="H150" s="151" t="s">
        <v>187</v>
      </c>
      <c r="I150" s="155"/>
      <c r="J150" s="155"/>
      <c r="K150" s="155"/>
      <c r="L150" s="155"/>
      <c r="M150" s="155"/>
      <c r="N150" s="155"/>
      <c r="O150" s="157"/>
      <c r="P150" s="155"/>
    </row>
    <row r="151">
      <c r="A151" s="150" t="s">
        <v>295</v>
      </c>
      <c r="B151" s="158" t="str">
        <f t="shared" si="2"/>
        <v>5.9.1</v>
      </c>
      <c r="C151" s="151" t="s">
        <v>296</v>
      </c>
      <c r="D151" s="152" t="s">
        <v>556</v>
      </c>
      <c r="E151" s="156"/>
      <c r="F151" s="156"/>
      <c r="G151" s="150" t="s">
        <v>41</v>
      </c>
      <c r="H151" s="151" t="s">
        <v>187</v>
      </c>
      <c r="I151" s="155"/>
      <c r="J151" s="155"/>
      <c r="K151" s="155"/>
      <c r="L151" s="155"/>
      <c r="M151" s="155"/>
      <c r="N151" s="155"/>
      <c r="O151" s="157"/>
      <c r="P151" s="155"/>
    </row>
    <row r="152" outlineLevel="1">
      <c r="A152" s="150" t="s">
        <v>295</v>
      </c>
      <c r="B152" s="158" t="str">
        <f t="shared" si="2"/>
        <v>5.9.2</v>
      </c>
      <c r="C152" s="151" t="s">
        <v>296</v>
      </c>
      <c r="D152" s="152" t="s">
        <v>557</v>
      </c>
      <c r="E152" s="156"/>
      <c r="F152" s="156"/>
      <c r="G152" s="150" t="s">
        <v>41</v>
      </c>
      <c r="H152" s="151" t="s">
        <v>187</v>
      </c>
      <c r="I152" s="155"/>
      <c r="J152" s="155"/>
      <c r="K152" s="155"/>
      <c r="L152" s="155"/>
      <c r="M152" s="155"/>
      <c r="N152" s="155"/>
      <c r="O152" s="157"/>
      <c r="P152" s="155"/>
    </row>
    <row r="153" outlineLevel="1">
      <c r="A153" s="150" t="s">
        <v>295</v>
      </c>
      <c r="B153" s="158" t="str">
        <f t="shared" si="2"/>
        <v>5.9.3</v>
      </c>
      <c r="C153" s="151" t="s">
        <v>296</v>
      </c>
      <c r="D153" s="152" t="s">
        <v>558</v>
      </c>
      <c r="E153" s="156"/>
      <c r="F153" s="156"/>
      <c r="G153" s="150" t="s">
        <v>41</v>
      </c>
      <c r="H153" s="151" t="s">
        <v>187</v>
      </c>
      <c r="I153" s="155"/>
      <c r="J153" s="155"/>
      <c r="K153" s="155"/>
      <c r="L153" s="155"/>
      <c r="M153" s="155"/>
      <c r="N153" s="155"/>
      <c r="O153" s="157"/>
      <c r="P153" s="155"/>
    </row>
    <row r="154" outlineLevel="1">
      <c r="A154" s="150" t="s">
        <v>295</v>
      </c>
      <c r="B154" s="158" t="str">
        <f t="shared" si="2"/>
        <v>5.9.4</v>
      </c>
      <c r="C154" s="151" t="s">
        <v>296</v>
      </c>
      <c r="D154" s="152" t="s">
        <v>559</v>
      </c>
      <c r="E154" s="156"/>
      <c r="F154" s="156"/>
      <c r="G154" s="150" t="s">
        <v>41</v>
      </c>
      <c r="H154" s="151" t="s">
        <v>187</v>
      </c>
      <c r="I154" s="155"/>
      <c r="J154" s="155"/>
      <c r="K154" s="155"/>
      <c r="L154" s="155"/>
      <c r="M154" s="155"/>
      <c r="N154" s="155"/>
      <c r="O154" s="157"/>
      <c r="P154" s="155"/>
    </row>
    <row r="155" outlineLevel="1">
      <c r="A155" s="150" t="s">
        <v>295</v>
      </c>
      <c r="B155" s="158" t="str">
        <f t="shared" si="2"/>
        <v>5.9.5</v>
      </c>
      <c r="C155" s="151" t="s">
        <v>296</v>
      </c>
      <c r="D155" s="152" t="s">
        <v>560</v>
      </c>
      <c r="E155" s="156"/>
      <c r="F155" s="156"/>
      <c r="G155" s="150" t="s">
        <v>41</v>
      </c>
      <c r="H155" s="151" t="s">
        <v>187</v>
      </c>
      <c r="I155" s="155"/>
      <c r="J155" s="155"/>
      <c r="K155" s="155"/>
      <c r="L155" s="155"/>
      <c r="M155" s="155"/>
      <c r="N155" s="155"/>
      <c r="O155" s="157"/>
      <c r="P155" s="155"/>
    </row>
    <row r="156">
      <c r="A156" s="150" t="s">
        <v>297</v>
      </c>
      <c r="B156" s="158" t="str">
        <f t="shared" si="2"/>
        <v>5.10.1</v>
      </c>
      <c r="C156" s="151" t="s">
        <v>298</v>
      </c>
      <c r="D156" s="152" t="s">
        <v>561</v>
      </c>
      <c r="E156" s="156"/>
      <c r="F156" s="156"/>
      <c r="G156" s="150" t="s">
        <v>41</v>
      </c>
      <c r="H156" s="151" t="s">
        <v>187</v>
      </c>
      <c r="I156" s="155"/>
      <c r="J156" s="155"/>
      <c r="K156" s="155"/>
      <c r="L156" s="155"/>
      <c r="M156" s="155"/>
      <c r="N156" s="155"/>
      <c r="O156" s="157"/>
      <c r="P156" s="155"/>
    </row>
    <row r="157" outlineLevel="1">
      <c r="A157" s="150" t="s">
        <v>297</v>
      </c>
      <c r="B157" s="158" t="str">
        <f t="shared" si="2"/>
        <v>5.10.2</v>
      </c>
      <c r="C157" s="151" t="s">
        <v>298</v>
      </c>
      <c r="D157" s="152" t="s">
        <v>562</v>
      </c>
      <c r="E157" s="156"/>
      <c r="F157" s="156"/>
      <c r="G157" s="150" t="s">
        <v>41</v>
      </c>
      <c r="H157" s="151" t="s">
        <v>187</v>
      </c>
      <c r="I157" s="155"/>
      <c r="J157" s="155"/>
      <c r="K157" s="155"/>
      <c r="L157" s="155"/>
      <c r="M157" s="155"/>
      <c r="N157" s="155"/>
      <c r="O157" s="157"/>
      <c r="P157" s="155"/>
    </row>
    <row r="158" outlineLevel="1">
      <c r="A158" s="150" t="s">
        <v>297</v>
      </c>
      <c r="B158" s="158" t="str">
        <f t="shared" si="2"/>
        <v>5.10.3</v>
      </c>
      <c r="C158" s="151" t="s">
        <v>298</v>
      </c>
      <c r="D158" s="152" t="s">
        <v>563</v>
      </c>
      <c r="E158" s="156"/>
      <c r="F158" s="156"/>
      <c r="G158" s="150" t="s">
        <v>41</v>
      </c>
      <c r="H158" s="151" t="s">
        <v>187</v>
      </c>
      <c r="I158" s="155"/>
      <c r="J158" s="155"/>
      <c r="K158" s="155"/>
      <c r="L158" s="155"/>
      <c r="M158" s="155"/>
      <c r="N158" s="155"/>
      <c r="O158" s="157"/>
      <c r="P158" s="155"/>
    </row>
    <row r="159" outlineLevel="1">
      <c r="A159" s="150" t="s">
        <v>297</v>
      </c>
      <c r="B159" s="158" t="str">
        <f t="shared" si="2"/>
        <v>5.10.4</v>
      </c>
      <c r="C159" s="151" t="s">
        <v>298</v>
      </c>
      <c r="D159" s="152" t="s">
        <v>564</v>
      </c>
      <c r="E159" s="156"/>
      <c r="F159" s="156"/>
      <c r="G159" s="150" t="s">
        <v>41</v>
      </c>
      <c r="H159" s="151" t="s">
        <v>187</v>
      </c>
      <c r="I159" s="155"/>
      <c r="J159" s="155"/>
      <c r="K159" s="155"/>
      <c r="L159" s="155"/>
      <c r="M159" s="155"/>
      <c r="N159" s="155"/>
      <c r="O159" s="157"/>
      <c r="P159" s="155"/>
    </row>
    <row r="160" outlineLevel="1">
      <c r="A160" s="150" t="s">
        <v>297</v>
      </c>
      <c r="B160" s="158" t="str">
        <f t="shared" si="2"/>
        <v>5.10.5</v>
      </c>
      <c r="C160" s="151" t="s">
        <v>298</v>
      </c>
      <c r="D160" s="152" t="s">
        <v>565</v>
      </c>
      <c r="E160" s="156"/>
      <c r="F160" s="156"/>
      <c r="G160" s="150" t="s">
        <v>41</v>
      </c>
      <c r="H160" s="151" t="s">
        <v>187</v>
      </c>
      <c r="I160" s="155"/>
      <c r="J160" s="155"/>
      <c r="K160" s="155"/>
      <c r="L160" s="155"/>
      <c r="M160" s="155"/>
      <c r="N160" s="155"/>
      <c r="O160" s="157"/>
      <c r="P160" s="155"/>
    </row>
    <row r="161" outlineLevel="1">
      <c r="A161" s="150" t="s">
        <v>297</v>
      </c>
      <c r="B161" s="158" t="str">
        <f t="shared" si="2"/>
        <v>5.10.6</v>
      </c>
      <c r="C161" s="151" t="s">
        <v>298</v>
      </c>
      <c r="D161" s="152" t="s">
        <v>566</v>
      </c>
      <c r="E161" s="156"/>
      <c r="F161" s="156"/>
      <c r="G161" s="150" t="s">
        <v>41</v>
      </c>
      <c r="H161" s="151" t="s">
        <v>187</v>
      </c>
      <c r="I161" s="155"/>
      <c r="J161" s="155"/>
      <c r="K161" s="155"/>
      <c r="L161" s="155"/>
      <c r="M161" s="155"/>
      <c r="N161" s="155"/>
      <c r="O161" s="157"/>
      <c r="P161" s="155"/>
    </row>
    <row r="162" outlineLevel="1">
      <c r="A162" s="150" t="s">
        <v>297</v>
      </c>
      <c r="B162" s="158" t="str">
        <f t="shared" si="2"/>
        <v>5.10.7</v>
      </c>
      <c r="C162" s="151" t="s">
        <v>298</v>
      </c>
      <c r="D162" s="152" t="s">
        <v>567</v>
      </c>
      <c r="E162" s="156"/>
      <c r="F162" s="156"/>
      <c r="G162" s="150" t="s">
        <v>41</v>
      </c>
      <c r="H162" s="151" t="s">
        <v>187</v>
      </c>
      <c r="I162" s="155"/>
      <c r="J162" s="155"/>
      <c r="K162" s="155"/>
      <c r="L162" s="155"/>
      <c r="M162" s="155"/>
      <c r="N162" s="155"/>
      <c r="O162" s="157"/>
      <c r="P162" s="155"/>
    </row>
    <row r="163" outlineLevel="1">
      <c r="A163" s="150" t="s">
        <v>297</v>
      </c>
      <c r="B163" s="158" t="str">
        <f t="shared" si="2"/>
        <v>5.10.8</v>
      </c>
      <c r="C163" s="151" t="s">
        <v>298</v>
      </c>
      <c r="D163" s="152" t="s">
        <v>485</v>
      </c>
      <c r="E163" s="156"/>
      <c r="F163" s="156"/>
      <c r="G163" s="150" t="s">
        <v>41</v>
      </c>
      <c r="H163" s="151" t="s">
        <v>187</v>
      </c>
      <c r="I163" s="155"/>
      <c r="J163" s="155"/>
      <c r="K163" s="155"/>
      <c r="L163" s="155"/>
      <c r="M163" s="155"/>
      <c r="N163" s="155"/>
      <c r="O163" s="157"/>
      <c r="P163" s="155"/>
    </row>
    <row r="164">
      <c r="A164" s="150" t="s">
        <v>299</v>
      </c>
      <c r="B164" s="158" t="str">
        <f t="shared" si="2"/>
        <v>5.11.1</v>
      </c>
      <c r="C164" s="151" t="s">
        <v>300</v>
      </c>
      <c r="D164" s="152" t="s">
        <v>568</v>
      </c>
      <c r="E164" s="156"/>
      <c r="F164" s="156"/>
      <c r="G164" s="150" t="s">
        <v>41</v>
      </c>
      <c r="H164" s="151" t="s">
        <v>187</v>
      </c>
      <c r="I164" s="155"/>
      <c r="J164" s="155"/>
      <c r="K164" s="155"/>
      <c r="L164" s="155"/>
      <c r="M164" s="155"/>
      <c r="N164" s="155"/>
      <c r="O164" s="157"/>
      <c r="P164" s="155"/>
    </row>
    <row r="165" outlineLevel="1">
      <c r="A165" s="150" t="s">
        <v>299</v>
      </c>
      <c r="B165" s="158" t="str">
        <f t="shared" si="2"/>
        <v>5.11.2</v>
      </c>
      <c r="C165" s="151" t="s">
        <v>300</v>
      </c>
      <c r="D165" s="152" t="s">
        <v>551</v>
      </c>
      <c r="E165" s="156"/>
      <c r="F165" s="156"/>
      <c r="G165" s="150" t="s">
        <v>41</v>
      </c>
      <c r="H165" s="151" t="s">
        <v>187</v>
      </c>
      <c r="I165" s="155"/>
      <c r="J165" s="155"/>
      <c r="K165" s="155"/>
      <c r="L165" s="155"/>
      <c r="M165" s="155"/>
      <c r="N165" s="155"/>
      <c r="O165" s="157"/>
      <c r="P165" s="155"/>
    </row>
    <row r="166" outlineLevel="1">
      <c r="A166" s="150" t="s">
        <v>299</v>
      </c>
      <c r="B166" s="158" t="str">
        <f t="shared" si="2"/>
        <v>5.11.3</v>
      </c>
      <c r="C166" s="151" t="s">
        <v>300</v>
      </c>
      <c r="D166" s="152" t="s">
        <v>569</v>
      </c>
      <c r="E166" s="156"/>
      <c r="F166" s="156"/>
      <c r="G166" s="150" t="s">
        <v>41</v>
      </c>
      <c r="H166" s="151" t="s">
        <v>187</v>
      </c>
      <c r="I166" s="155"/>
      <c r="J166" s="155"/>
      <c r="K166" s="155"/>
      <c r="L166" s="155"/>
      <c r="M166" s="155"/>
      <c r="N166" s="155"/>
      <c r="O166" s="157"/>
      <c r="P166" s="155"/>
    </row>
    <row r="167" outlineLevel="1">
      <c r="A167" s="150" t="s">
        <v>299</v>
      </c>
      <c r="B167" s="158" t="str">
        <f t="shared" si="2"/>
        <v>5.11.4</v>
      </c>
      <c r="C167" s="151" t="s">
        <v>300</v>
      </c>
      <c r="D167" s="163" t="s">
        <v>554</v>
      </c>
      <c r="E167" s="156"/>
      <c r="F167" s="156"/>
      <c r="G167" s="150" t="s">
        <v>41</v>
      </c>
      <c r="H167" s="151" t="s">
        <v>187</v>
      </c>
      <c r="I167" s="155"/>
      <c r="J167" s="155"/>
      <c r="K167" s="155"/>
      <c r="L167" s="155"/>
      <c r="M167" s="155"/>
      <c r="N167" s="155"/>
      <c r="O167" s="157"/>
      <c r="P167" s="155"/>
    </row>
    <row r="168" outlineLevel="1">
      <c r="A168" s="150" t="s">
        <v>299</v>
      </c>
      <c r="B168" s="158" t="str">
        <f t="shared" si="2"/>
        <v>5.11.5</v>
      </c>
      <c r="C168" s="151" t="s">
        <v>300</v>
      </c>
      <c r="D168" s="152" t="s">
        <v>555</v>
      </c>
      <c r="E168" s="156"/>
      <c r="F168" s="156"/>
      <c r="G168" s="150" t="s">
        <v>41</v>
      </c>
      <c r="H168" s="151" t="s">
        <v>187</v>
      </c>
      <c r="I168" s="155"/>
      <c r="J168" s="155"/>
      <c r="K168" s="155"/>
      <c r="L168" s="155"/>
      <c r="M168" s="155"/>
      <c r="N168" s="155"/>
      <c r="O168" s="157"/>
      <c r="P168" s="155"/>
    </row>
    <row r="169">
      <c r="A169" s="150" t="s">
        <v>301</v>
      </c>
      <c r="B169" s="158" t="str">
        <f t="shared" si="2"/>
        <v>5.12.1</v>
      </c>
      <c r="C169" s="151" t="s">
        <v>302</v>
      </c>
      <c r="D169" s="152" t="s">
        <v>570</v>
      </c>
      <c r="E169" s="156"/>
      <c r="F169" s="156"/>
      <c r="G169" s="150" t="s">
        <v>41</v>
      </c>
      <c r="H169" s="151" t="s">
        <v>187</v>
      </c>
      <c r="I169" s="155"/>
      <c r="J169" s="155"/>
      <c r="K169" s="155"/>
      <c r="L169" s="155"/>
      <c r="M169" s="155"/>
      <c r="N169" s="155"/>
      <c r="O169" s="157"/>
      <c r="P169" s="155"/>
    </row>
    <row r="170" outlineLevel="1">
      <c r="A170" s="150" t="s">
        <v>301</v>
      </c>
      <c r="B170" s="158" t="str">
        <f t="shared" si="2"/>
        <v>5.12.2</v>
      </c>
      <c r="C170" s="151" t="s">
        <v>302</v>
      </c>
      <c r="D170" s="152" t="s">
        <v>571</v>
      </c>
      <c r="E170" s="156"/>
      <c r="F170" s="156"/>
      <c r="G170" s="150" t="s">
        <v>41</v>
      </c>
      <c r="H170" s="151" t="s">
        <v>187</v>
      </c>
      <c r="I170" s="155"/>
      <c r="J170" s="155"/>
      <c r="K170" s="155"/>
      <c r="L170" s="155"/>
      <c r="M170" s="155"/>
      <c r="N170" s="155"/>
      <c r="O170" s="157"/>
      <c r="P170" s="155"/>
    </row>
    <row r="171" outlineLevel="1">
      <c r="A171" s="150" t="s">
        <v>301</v>
      </c>
      <c r="B171" s="158" t="str">
        <f t="shared" si="2"/>
        <v>5.12.3</v>
      </c>
      <c r="C171" s="151" t="s">
        <v>302</v>
      </c>
      <c r="D171" s="152" t="s">
        <v>572</v>
      </c>
      <c r="E171" s="156"/>
      <c r="F171" s="156"/>
      <c r="G171" s="150" t="s">
        <v>41</v>
      </c>
      <c r="H171" s="151" t="s">
        <v>187</v>
      </c>
      <c r="I171" s="155"/>
      <c r="J171" s="155"/>
      <c r="K171" s="155"/>
      <c r="L171" s="155"/>
      <c r="M171" s="155"/>
      <c r="N171" s="155"/>
      <c r="O171" s="157"/>
      <c r="P171" s="155"/>
    </row>
    <row r="172" outlineLevel="1">
      <c r="A172" s="150" t="s">
        <v>301</v>
      </c>
      <c r="B172" s="158" t="str">
        <f t="shared" si="2"/>
        <v>5.12.4</v>
      </c>
      <c r="C172" s="151" t="s">
        <v>302</v>
      </c>
      <c r="D172" s="152" t="s">
        <v>573</v>
      </c>
      <c r="E172" s="156"/>
      <c r="F172" s="156"/>
      <c r="G172" s="150" t="s">
        <v>41</v>
      </c>
      <c r="H172" s="151" t="s">
        <v>187</v>
      </c>
      <c r="I172" s="155"/>
      <c r="J172" s="155"/>
      <c r="K172" s="155"/>
      <c r="L172" s="155"/>
      <c r="M172" s="155"/>
      <c r="N172" s="155"/>
      <c r="O172" s="157"/>
      <c r="P172" s="155"/>
    </row>
    <row r="173" outlineLevel="1">
      <c r="A173" s="150" t="s">
        <v>301</v>
      </c>
      <c r="B173" s="158" t="str">
        <f t="shared" si="2"/>
        <v>5.12.5</v>
      </c>
      <c r="C173" s="151" t="s">
        <v>302</v>
      </c>
      <c r="D173" s="152" t="s">
        <v>574</v>
      </c>
      <c r="E173" s="156"/>
      <c r="F173" s="156"/>
      <c r="G173" s="150" t="s">
        <v>41</v>
      </c>
      <c r="H173" s="151" t="s">
        <v>187</v>
      </c>
      <c r="I173" s="155"/>
      <c r="J173" s="155"/>
      <c r="K173" s="155"/>
      <c r="L173" s="155"/>
      <c r="M173" s="155"/>
      <c r="N173" s="155"/>
      <c r="O173" s="157"/>
      <c r="P173" s="155"/>
    </row>
    <row r="174" outlineLevel="1">
      <c r="A174" s="150" t="s">
        <v>301</v>
      </c>
      <c r="B174" s="158" t="str">
        <f t="shared" si="2"/>
        <v>5.12.6</v>
      </c>
      <c r="C174" s="151" t="s">
        <v>302</v>
      </c>
      <c r="D174" s="152" t="s">
        <v>575</v>
      </c>
      <c r="E174" s="156"/>
      <c r="F174" s="156"/>
      <c r="G174" s="150" t="s">
        <v>41</v>
      </c>
      <c r="H174" s="151" t="s">
        <v>187</v>
      </c>
      <c r="I174" s="155"/>
      <c r="J174" s="155"/>
      <c r="K174" s="155"/>
      <c r="L174" s="155"/>
      <c r="M174" s="155"/>
      <c r="N174" s="155"/>
      <c r="O174" s="157"/>
      <c r="P174" s="155"/>
    </row>
    <row r="175">
      <c r="A175" s="150" t="s">
        <v>301</v>
      </c>
      <c r="B175" s="158" t="str">
        <f t="shared" si="2"/>
        <v>5.12.7</v>
      </c>
      <c r="C175" s="151" t="s">
        <v>302</v>
      </c>
      <c r="D175" s="152" t="s">
        <v>576</v>
      </c>
      <c r="E175" s="156"/>
      <c r="F175" s="156"/>
      <c r="G175" s="150" t="s">
        <v>41</v>
      </c>
      <c r="H175" s="151" t="s">
        <v>187</v>
      </c>
      <c r="I175" s="155"/>
      <c r="J175" s="155"/>
      <c r="K175" s="155"/>
      <c r="L175" s="155"/>
      <c r="M175" s="155"/>
      <c r="N175" s="155"/>
      <c r="O175" s="157"/>
      <c r="P175" s="155"/>
    </row>
    <row r="176">
      <c r="A176" s="150" t="s">
        <v>301</v>
      </c>
      <c r="B176" s="158" t="str">
        <f t="shared" si="2"/>
        <v>5.12.8</v>
      </c>
      <c r="C176" s="151" t="s">
        <v>302</v>
      </c>
      <c r="D176" s="152" t="s">
        <v>577</v>
      </c>
      <c r="E176" s="156"/>
      <c r="F176" s="156"/>
      <c r="G176" s="150" t="s">
        <v>41</v>
      </c>
      <c r="H176" s="151" t="s">
        <v>187</v>
      </c>
      <c r="I176" s="155"/>
      <c r="J176" s="155"/>
      <c r="K176" s="155"/>
      <c r="L176" s="155"/>
      <c r="M176" s="155"/>
      <c r="N176" s="155"/>
      <c r="O176" s="157"/>
      <c r="P176" s="155"/>
    </row>
    <row r="177">
      <c r="A177" s="150" t="s">
        <v>301</v>
      </c>
      <c r="B177" s="158" t="str">
        <f t="shared" si="2"/>
        <v>5.12.9</v>
      </c>
      <c r="C177" s="151" t="s">
        <v>302</v>
      </c>
      <c r="D177" s="152" t="s">
        <v>578</v>
      </c>
      <c r="E177" s="156"/>
      <c r="F177" s="156"/>
      <c r="G177" s="150" t="s">
        <v>41</v>
      </c>
      <c r="H177" s="151" t="s">
        <v>187</v>
      </c>
      <c r="I177" s="155"/>
      <c r="J177" s="155"/>
      <c r="K177" s="155"/>
      <c r="L177" s="155"/>
      <c r="M177" s="155"/>
      <c r="N177" s="155"/>
      <c r="O177" s="157"/>
      <c r="P177" s="155"/>
    </row>
    <row r="178">
      <c r="A178" s="150" t="s">
        <v>301</v>
      </c>
      <c r="B178" s="158" t="str">
        <f t="shared" si="2"/>
        <v>5.12.10</v>
      </c>
      <c r="C178" s="151" t="s">
        <v>302</v>
      </c>
      <c r="D178" s="152" t="s">
        <v>579</v>
      </c>
      <c r="E178" s="156"/>
      <c r="F178" s="156"/>
      <c r="G178" s="150" t="s">
        <v>41</v>
      </c>
      <c r="H178" s="151" t="s">
        <v>187</v>
      </c>
      <c r="I178" s="155"/>
      <c r="J178" s="155"/>
      <c r="K178" s="155"/>
      <c r="L178" s="155"/>
      <c r="M178" s="155"/>
      <c r="N178" s="155"/>
      <c r="O178" s="157"/>
      <c r="P178" s="155"/>
    </row>
    <row r="179">
      <c r="A179" s="150" t="s">
        <v>109</v>
      </c>
      <c r="B179" s="158" t="str">
        <f t="shared" si="2"/>
        <v>5.13.1</v>
      </c>
      <c r="C179" s="151" t="s">
        <v>303</v>
      </c>
      <c r="D179" s="152" t="s">
        <v>580</v>
      </c>
      <c r="E179" s="156"/>
      <c r="F179" s="156"/>
      <c r="G179" s="150" t="s">
        <v>41</v>
      </c>
      <c r="H179" s="151" t="s">
        <v>187</v>
      </c>
      <c r="I179" s="155"/>
      <c r="J179" s="155"/>
      <c r="K179" s="155"/>
      <c r="L179" s="155"/>
      <c r="M179" s="155"/>
      <c r="N179" s="155"/>
      <c r="O179" s="157"/>
      <c r="P179" s="155"/>
    </row>
    <row r="180">
      <c r="A180" s="150" t="s">
        <v>109</v>
      </c>
      <c r="B180" s="158" t="str">
        <f t="shared" si="2"/>
        <v>5.13.2</v>
      </c>
      <c r="C180" s="151" t="s">
        <v>303</v>
      </c>
      <c r="D180" s="152" t="s">
        <v>581</v>
      </c>
      <c r="E180" s="156"/>
      <c r="F180" s="156"/>
      <c r="G180" s="150" t="s">
        <v>41</v>
      </c>
      <c r="H180" s="151" t="s">
        <v>187</v>
      </c>
      <c r="I180" s="155"/>
      <c r="J180" s="155"/>
      <c r="K180" s="155"/>
      <c r="L180" s="155"/>
      <c r="M180" s="155"/>
      <c r="N180" s="155"/>
      <c r="O180" s="157"/>
      <c r="P180" s="155"/>
    </row>
    <row r="181">
      <c r="A181" s="150" t="s">
        <v>109</v>
      </c>
      <c r="B181" s="158" t="str">
        <f t="shared" si="2"/>
        <v>5.13.3</v>
      </c>
      <c r="C181" s="151" t="s">
        <v>303</v>
      </c>
      <c r="D181" s="152" t="s">
        <v>582</v>
      </c>
      <c r="E181" s="156"/>
      <c r="F181" s="156"/>
      <c r="G181" s="150" t="s">
        <v>41</v>
      </c>
      <c r="H181" s="151" t="s">
        <v>187</v>
      </c>
      <c r="I181" s="155"/>
      <c r="J181" s="155"/>
      <c r="K181" s="155"/>
      <c r="L181" s="155"/>
      <c r="M181" s="155"/>
      <c r="N181" s="155"/>
      <c r="O181" s="157"/>
      <c r="P181" s="155"/>
    </row>
    <row r="182">
      <c r="A182" s="150" t="s">
        <v>109</v>
      </c>
      <c r="B182" s="158" t="str">
        <f t="shared" si="2"/>
        <v>5.13.4</v>
      </c>
      <c r="C182" s="151" t="s">
        <v>303</v>
      </c>
      <c r="D182" s="152" t="s">
        <v>583</v>
      </c>
      <c r="E182" s="156"/>
      <c r="F182" s="156"/>
      <c r="G182" s="150" t="s">
        <v>41</v>
      </c>
      <c r="H182" s="151" t="s">
        <v>187</v>
      </c>
      <c r="I182" s="155"/>
      <c r="J182" s="155"/>
      <c r="K182" s="155"/>
      <c r="L182" s="155"/>
      <c r="M182" s="155"/>
      <c r="N182" s="155"/>
      <c r="O182" s="157"/>
      <c r="P182" s="155"/>
    </row>
    <row r="183">
      <c r="A183" s="150" t="s">
        <v>109</v>
      </c>
      <c r="B183" s="158" t="str">
        <f t="shared" si="2"/>
        <v>5.13.5</v>
      </c>
      <c r="C183" s="151" t="s">
        <v>303</v>
      </c>
      <c r="D183" s="152" t="s">
        <v>584</v>
      </c>
      <c r="E183" s="156"/>
      <c r="F183" s="156"/>
      <c r="G183" s="150" t="s">
        <v>41</v>
      </c>
      <c r="H183" s="151" t="s">
        <v>187</v>
      </c>
      <c r="I183" s="155"/>
      <c r="J183" s="155"/>
      <c r="K183" s="155"/>
      <c r="L183" s="155"/>
      <c r="M183" s="155"/>
      <c r="N183" s="155"/>
      <c r="O183" s="157"/>
      <c r="P183" s="155"/>
    </row>
    <row r="184">
      <c r="A184" s="150" t="s">
        <v>109</v>
      </c>
      <c r="B184" s="158" t="str">
        <f t="shared" si="2"/>
        <v>5.13.6</v>
      </c>
      <c r="C184" s="151" t="s">
        <v>303</v>
      </c>
      <c r="D184" s="152" t="s">
        <v>585</v>
      </c>
      <c r="E184" s="156"/>
      <c r="F184" s="156"/>
      <c r="G184" s="150" t="s">
        <v>41</v>
      </c>
      <c r="H184" s="151" t="s">
        <v>187</v>
      </c>
      <c r="I184" s="155"/>
      <c r="J184" s="155"/>
      <c r="K184" s="155"/>
      <c r="L184" s="155"/>
      <c r="M184" s="155"/>
      <c r="N184" s="155"/>
      <c r="O184" s="157"/>
      <c r="P184" s="155"/>
    </row>
    <row r="185">
      <c r="A185" s="150" t="s">
        <v>109</v>
      </c>
      <c r="B185" s="158" t="str">
        <f t="shared" si="2"/>
        <v>5.13.7</v>
      </c>
      <c r="C185" s="151" t="s">
        <v>303</v>
      </c>
      <c r="D185" s="152" t="s">
        <v>586</v>
      </c>
      <c r="E185" s="156"/>
      <c r="F185" s="156"/>
      <c r="G185" s="150" t="s">
        <v>41</v>
      </c>
      <c r="H185" s="151" t="s">
        <v>187</v>
      </c>
      <c r="I185" s="155"/>
      <c r="J185" s="155"/>
      <c r="K185" s="155"/>
      <c r="L185" s="155"/>
      <c r="M185" s="155"/>
      <c r="N185" s="155"/>
      <c r="O185" s="157"/>
      <c r="P185" s="155"/>
    </row>
    <row r="186">
      <c r="A186" s="150" t="s">
        <v>110</v>
      </c>
      <c r="B186" s="158" t="str">
        <f t="shared" si="2"/>
        <v>5.14.1</v>
      </c>
      <c r="C186" s="151" t="s">
        <v>304</v>
      </c>
      <c r="D186" s="152" t="s">
        <v>587</v>
      </c>
      <c r="E186" s="156"/>
      <c r="F186" s="156"/>
      <c r="G186" s="150" t="s">
        <v>60</v>
      </c>
      <c r="H186" s="151" t="s">
        <v>187</v>
      </c>
      <c r="I186" s="155"/>
      <c r="J186" s="155"/>
      <c r="K186" s="155"/>
      <c r="L186" s="155"/>
      <c r="M186" s="155"/>
      <c r="N186" s="155"/>
      <c r="O186" s="157"/>
      <c r="P186" s="155"/>
    </row>
    <row r="187" outlineLevel="1">
      <c r="A187" s="150" t="s">
        <v>110</v>
      </c>
      <c r="B187" s="158" t="str">
        <f t="shared" si="2"/>
        <v>5.14.2</v>
      </c>
      <c r="C187" s="151" t="s">
        <v>304</v>
      </c>
      <c r="D187" s="152" t="s">
        <v>588</v>
      </c>
      <c r="E187" s="156"/>
      <c r="F187" s="156"/>
      <c r="G187" s="150" t="s">
        <v>60</v>
      </c>
      <c r="H187" s="151" t="s">
        <v>187</v>
      </c>
      <c r="I187" s="155"/>
      <c r="J187" s="155"/>
      <c r="K187" s="155"/>
      <c r="L187" s="155"/>
      <c r="M187" s="155"/>
      <c r="N187" s="155"/>
      <c r="O187" s="157"/>
      <c r="P187" s="155"/>
    </row>
    <row r="188" outlineLevel="1">
      <c r="A188" s="150" t="s">
        <v>110</v>
      </c>
      <c r="B188" s="158" t="str">
        <f t="shared" si="2"/>
        <v>5.14.3</v>
      </c>
      <c r="C188" s="151" t="s">
        <v>304</v>
      </c>
      <c r="D188" s="152" t="s">
        <v>589</v>
      </c>
      <c r="E188" s="156"/>
      <c r="F188" s="156"/>
      <c r="G188" s="150" t="s">
        <v>60</v>
      </c>
      <c r="H188" s="151" t="s">
        <v>187</v>
      </c>
      <c r="I188" s="155"/>
      <c r="J188" s="155"/>
      <c r="K188" s="155"/>
      <c r="L188" s="155"/>
      <c r="M188" s="155"/>
      <c r="N188" s="155"/>
      <c r="O188" s="157"/>
      <c r="P188" s="155"/>
    </row>
    <row r="189" outlineLevel="1">
      <c r="A189" s="150" t="s">
        <v>110</v>
      </c>
      <c r="B189" s="158" t="str">
        <f t="shared" si="2"/>
        <v>5.14.4</v>
      </c>
      <c r="C189" s="151" t="s">
        <v>304</v>
      </c>
      <c r="D189" s="152" t="s">
        <v>590</v>
      </c>
      <c r="E189" s="156"/>
      <c r="F189" s="156"/>
      <c r="G189" s="150" t="s">
        <v>60</v>
      </c>
      <c r="H189" s="151" t="s">
        <v>187</v>
      </c>
      <c r="I189" s="155"/>
      <c r="J189" s="155"/>
      <c r="K189" s="155"/>
      <c r="L189" s="155"/>
      <c r="M189" s="155"/>
      <c r="N189" s="155"/>
      <c r="O189" s="157"/>
      <c r="P189" s="155"/>
    </row>
    <row r="190" outlineLevel="1">
      <c r="A190" s="150" t="s">
        <v>110</v>
      </c>
      <c r="B190" s="158" t="str">
        <f t="shared" si="2"/>
        <v>5.14.5</v>
      </c>
      <c r="C190" s="151" t="s">
        <v>304</v>
      </c>
      <c r="D190" s="152" t="s">
        <v>591</v>
      </c>
      <c r="E190" s="156"/>
      <c r="F190" s="156"/>
      <c r="G190" s="150" t="s">
        <v>60</v>
      </c>
      <c r="H190" s="151" t="s">
        <v>187</v>
      </c>
      <c r="I190" s="155"/>
      <c r="J190" s="155"/>
      <c r="K190" s="155"/>
      <c r="L190" s="155"/>
      <c r="M190" s="155"/>
      <c r="N190" s="155"/>
      <c r="O190" s="157"/>
      <c r="P190" s="155"/>
    </row>
    <row r="191" outlineLevel="1">
      <c r="A191" s="150" t="s">
        <v>110</v>
      </c>
      <c r="B191" s="158" t="str">
        <f t="shared" si="2"/>
        <v>5.14.6</v>
      </c>
      <c r="C191" s="151" t="s">
        <v>304</v>
      </c>
      <c r="D191" s="152" t="s">
        <v>592</v>
      </c>
      <c r="E191" s="156"/>
      <c r="F191" s="156"/>
      <c r="G191" s="150" t="s">
        <v>60</v>
      </c>
      <c r="H191" s="151" t="s">
        <v>187</v>
      </c>
      <c r="I191" s="155"/>
      <c r="J191" s="155"/>
      <c r="K191" s="155"/>
      <c r="L191" s="155"/>
      <c r="M191" s="155"/>
      <c r="N191" s="155"/>
      <c r="O191" s="157"/>
      <c r="P191" s="155"/>
    </row>
    <row r="192" outlineLevel="1">
      <c r="A192" s="150" t="s">
        <v>110</v>
      </c>
      <c r="B192" s="158" t="str">
        <f t="shared" si="2"/>
        <v>5.14.7</v>
      </c>
      <c r="C192" s="151" t="s">
        <v>304</v>
      </c>
      <c r="D192" s="152" t="s">
        <v>593</v>
      </c>
      <c r="E192" s="156"/>
      <c r="F192" s="156"/>
      <c r="G192" s="150" t="s">
        <v>60</v>
      </c>
      <c r="H192" s="151" t="s">
        <v>187</v>
      </c>
      <c r="I192" s="155"/>
      <c r="J192" s="155"/>
      <c r="K192" s="155"/>
      <c r="L192" s="155"/>
      <c r="M192" s="155"/>
      <c r="N192" s="155"/>
      <c r="O192" s="157"/>
      <c r="P192" s="155"/>
    </row>
    <row r="193" outlineLevel="1">
      <c r="A193" s="150" t="s">
        <v>110</v>
      </c>
      <c r="B193" s="158" t="str">
        <f t="shared" si="2"/>
        <v>5.14.8</v>
      </c>
      <c r="C193" s="151" t="s">
        <v>304</v>
      </c>
      <c r="D193" s="152" t="s">
        <v>594</v>
      </c>
      <c r="E193" s="156"/>
      <c r="F193" s="156"/>
      <c r="G193" s="150" t="s">
        <v>60</v>
      </c>
      <c r="H193" s="151" t="s">
        <v>187</v>
      </c>
      <c r="I193" s="155"/>
      <c r="J193" s="155"/>
      <c r="K193" s="155"/>
      <c r="L193" s="155"/>
      <c r="M193" s="155"/>
      <c r="N193" s="155"/>
      <c r="O193" s="157"/>
      <c r="P193" s="155"/>
    </row>
    <row r="194" outlineLevel="1">
      <c r="A194" s="150" t="s">
        <v>110</v>
      </c>
      <c r="B194" s="158" t="str">
        <f t="shared" si="2"/>
        <v>5.14.9</v>
      </c>
      <c r="C194" s="151" t="s">
        <v>304</v>
      </c>
      <c r="D194" s="152" t="s">
        <v>595</v>
      </c>
      <c r="E194" s="156"/>
      <c r="F194" s="156"/>
      <c r="G194" s="150" t="s">
        <v>60</v>
      </c>
      <c r="H194" s="151" t="s">
        <v>187</v>
      </c>
      <c r="I194" s="155"/>
      <c r="J194" s="155"/>
      <c r="K194" s="155"/>
      <c r="L194" s="155"/>
      <c r="M194" s="155"/>
      <c r="N194" s="155"/>
      <c r="O194" s="157"/>
      <c r="P194" s="155"/>
    </row>
    <row r="195" outlineLevel="1">
      <c r="A195" s="150" t="s">
        <v>110</v>
      </c>
      <c r="B195" s="158" t="str">
        <f t="shared" si="2"/>
        <v>5.14.10</v>
      </c>
      <c r="C195" s="151" t="s">
        <v>304</v>
      </c>
      <c r="D195" s="152" t="s">
        <v>596</v>
      </c>
      <c r="E195" s="156"/>
      <c r="F195" s="156"/>
      <c r="G195" s="150" t="s">
        <v>60</v>
      </c>
      <c r="H195" s="151" t="s">
        <v>187</v>
      </c>
      <c r="I195" s="155"/>
      <c r="J195" s="155"/>
      <c r="K195" s="155"/>
      <c r="L195" s="155"/>
      <c r="M195" s="155"/>
      <c r="N195" s="155"/>
      <c r="O195" s="157"/>
      <c r="P195" s="155"/>
    </row>
    <row r="196" outlineLevel="1">
      <c r="A196" s="150" t="s">
        <v>110</v>
      </c>
      <c r="B196" s="158" t="str">
        <f t="shared" si="2"/>
        <v>5.14.11</v>
      </c>
      <c r="C196" s="151" t="s">
        <v>304</v>
      </c>
      <c r="D196" s="152" t="s">
        <v>597</v>
      </c>
      <c r="E196" s="156"/>
      <c r="F196" s="156"/>
      <c r="G196" s="150" t="s">
        <v>60</v>
      </c>
      <c r="H196" s="151" t="s">
        <v>187</v>
      </c>
      <c r="I196" s="155"/>
      <c r="J196" s="155"/>
      <c r="K196" s="155"/>
      <c r="L196" s="155"/>
      <c r="M196" s="155"/>
      <c r="N196" s="155"/>
      <c r="O196" s="157"/>
      <c r="P196" s="155"/>
    </row>
    <row r="197" outlineLevel="1">
      <c r="A197" s="150" t="s">
        <v>110</v>
      </c>
      <c r="B197" s="158" t="str">
        <f t="shared" si="2"/>
        <v>5.14.12</v>
      </c>
      <c r="C197" s="151" t="s">
        <v>304</v>
      </c>
      <c r="D197" s="152" t="s">
        <v>598</v>
      </c>
      <c r="E197" s="156"/>
      <c r="F197" s="156"/>
      <c r="G197" s="150" t="s">
        <v>60</v>
      </c>
      <c r="H197" s="151" t="s">
        <v>187</v>
      </c>
      <c r="I197" s="155"/>
      <c r="J197" s="155"/>
      <c r="K197" s="155"/>
      <c r="L197" s="155"/>
      <c r="M197" s="155"/>
      <c r="N197" s="155"/>
      <c r="O197" s="157"/>
      <c r="P197" s="155"/>
    </row>
    <row r="198">
      <c r="A198" s="150" t="s">
        <v>111</v>
      </c>
      <c r="B198" s="158" t="str">
        <f t="shared" si="2"/>
        <v>5.15.1</v>
      </c>
      <c r="C198" s="151" t="s">
        <v>305</v>
      </c>
      <c r="D198" s="152" t="s">
        <v>599</v>
      </c>
      <c r="E198" s="156"/>
      <c r="F198" s="156"/>
      <c r="G198" s="150" t="s">
        <v>41</v>
      </c>
      <c r="H198" s="151" t="s">
        <v>187</v>
      </c>
      <c r="I198" s="155"/>
      <c r="J198" s="155"/>
      <c r="K198" s="155"/>
      <c r="L198" s="155"/>
      <c r="M198" s="155"/>
      <c r="N198" s="155"/>
      <c r="O198" s="157"/>
      <c r="P198" s="155"/>
    </row>
    <row r="199" outlineLevel="1">
      <c r="A199" s="150" t="s">
        <v>111</v>
      </c>
      <c r="B199" s="158" t="str">
        <f t="shared" si="2"/>
        <v>5.15.2</v>
      </c>
      <c r="C199" s="151" t="s">
        <v>305</v>
      </c>
      <c r="D199" s="152" t="s">
        <v>600</v>
      </c>
      <c r="E199" s="156"/>
      <c r="F199" s="156"/>
      <c r="G199" s="150" t="s">
        <v>41</v>
      </c>
      <c r="H199" s="151" t="s">
        <v>187</v>
      </c>
      <c r="I199" s="155"/>
      <c r="J199" s="155"/>
      <c r="K199" s="155"/>
      <c r="L199" s="155"/>
      <c r="M199" s="155"/>
      <c r="N199" s="155"/>
      <c r="O199" s="157"/>
      <c r="P199" s="155"/>
    </row>
    <row r="200" outlineLevel="1">
      <c r="A200" s="150" t="s">
        <v>111</v>
      </c>
      <c r="B200" s="158" t="str">
        <f t="shared" si="2"/>
        <v>5.15.3</v>
      </c>
      <c r="C200" s="151" t="s">
        <v>305</v>
      </c>
      <c r="D200" s="152" t="s">
        <v>601</v>
      </c>
      <c r="E200" s="156"/>
      <c r="F200" s="156"/>
      <c r="G200" s="150" t="s">
        <v>41</v>
      </c>
      <c r="H200" s="151" t="s">
        <v>187</v>
      </c>
      <c r="I200" s="155"/>
      <c r="J200" s="155"/>
      <c r="K200" s="155"/>
      <c r="L200" s="155"/>
      <c r="M200" s="155"/>
      <c r="N200" s="155"/>
      <c r="O200" s="157"/>
      <c r="P200" s="155"/>
    </row>
    <row r="201" outlineLevel="1">
      <c r="A201" s="150" t="s">
        <v>111</v>
      </c>
      <c r="B201" s="158" t="str">
        <f t="shared" si="2"/>
        <v>5.15.4</v>
      </c>
      <c r="C201" s="151" t="s">
        <v>305</v>
      </c>
      <c r="D201" s="152" t="s">
        <v>563</v>
      </c>
      <c r="E201" s="156"/>
      <c r="F201" s="156"/>
      <c r="G201" s="150" t="s">
        <v>41</v>
      </c>
      <c r="H201" s="151" t="s">
        <v>187</v>
      </c>
      <c r="I201" s="155"/>
      <c r="J201" s="155"/>
      <c r="K201" s="155"/>
      <c r="L201" s="155"/>
      <c r="M201" s="155"/>
      <c r="N201" s="155"/>
      <c r="O201" s="157"/>
      <c r="P201" s="155"/>
    </row>
    <row r="202" outlineLevel="1">
      <c r="A202" s="150" t="s">
        <v>111</v>
      </c>
      <c r="B202" s="158" t="str">
        <f t="shared" si="2"/>
        <v>5.15.5</v>
      </c>
      <c r="C202" s="151" t="s">
        <v>305</v>
      </c>
      <c r="D202" s="152" t="s">
        <v>581</v>
      </c>
      <c r="E202" s="156"/>
      <c r="F202" s="156"/>
      <c r="G202" s="150" t="s">
        <v>41</v>
      </c>
      <c r="H202" s="151" t="s">
        <v>187</v>
      </c>
      <c r="I202" s="155"/>
      <c r="J202" s="155"/>
      <c r="K202" s="155"/>
      <c r="L202" s="155"/>
      <c r="M202" s="155"/>
      <c r="N202" s="155"/>
      <c r="O202" s="157"/>
      <c r="P202" s="155"/>
    </row>
    <row r="203" outlineLevel="1">
      <c r="A203" s="150" t="s">
        <v>111</v>
      </c>
      <c r="B203" s="158" t="str">
        <f t="shared" si="2"/>
        <v>5.15.6</v>
      </c>
      <c r="C203" s="151" t="s">
        <v>305</v>
      </c>
      <c r="D203" s="152" t="s">
        <v>602</v>
      </c>
      <c r="E203" s="156"/>
      <c r="F203" s="156"/>
      <c r="G203" s="150" t="s">
        <v>41</v>
      </c>
      <c r="H203" s="151" t="s">
        <v>187</v>
      </c>
      <c r="I203" s="155"/>
      <c r="J203" s="155"/>
      <c r="K203" s="155"/>
      <c r="L203" s="155"/>
      <c r="M203" s="155"/>
      <c r="N203" s="155"/>
      <c r="O203" s="157"/>
      <c r="P203" s="155"/>
    </row>
    <row r="204" outlineLevel="1">
      <c r="A204" s="150" t="s">
        <v>111</v>
      </c>
      <c r="B204" s="158" t="str">
        <f t="shared" si="2"/>
        <v>5.15.7</v>
      </c>
      <c r="C204" s="151" t="s">
        <v>305</v>
      </c>
      <c r="D204" s="152" t="s">
        <v>584</v>
      </c>
      <c r="E204" s="156"/>
      <c r="F204" s="156"/>
      <c r="G204" s="150" t="s">
        <v>41</v>
      </c>
      <c r="H204" s="151" t="s">
        <v>187</v>
      </c>
      <c r="I204" s="155"/>
      <c r="J204" s="155"/>
      <c r="K204" s="155"/>
      <c r="L204" s="155"/>
      <c r="M204" s="155"/>
      <c r="N204" s="155"/>
      <c r="O204" s="157"/>
      <c r="P204" s="155"/>
    </row>
    <row r="205" outlineLevel="1">
      <c r="A205" s="150" t="s">
        <v>111</v>
      </c>
      <c r="B205" s="158" t="str">
        <f t="shared" si="2"/>
        <v>5.15.8</v>
      </c>
      <c r="C205" s="151" t="s">
        <v>305</v>
      </c>
      <c r="D205" s="152" t="s">
        <v>585</v>
      </c>
      <c r="E205" s="156"/>
      <c r="F205" s="156"/>
      <c r="G205" s="150" t="s">
        <v>41</v>
      </c>
      <c r="H205" s="151" t="s">
        <v>187</v>
      </c>
      <c r="I205" s="155"/>
      <c r="J205" s="155"/>
      <c r="K205" s="155"/>
      <c r="L205" s="155"/>
      <c r="M205" s="155"/>
      <c r="N205" s="155"/>
      <c r="O205" s="157"/>
      <c r="P205" s="155"/>
    </row>
    <row r="206" outlineLevel="1">
      <c r="A206" s="150" t="s">
        <v>111</v>
      </c>
      <c r="B206" s="158" t="str">
        <f t="shared" si="2"/>
        <v>5.15.9</v>
      </c>
      <c r="C206" s="151" t="s">
        <v>305</v>
      </c>
      <c r="D206" s="152" t="s">
        <v>586</v>
      </c>
      <c r="E206" s="156"/>
      <c r="F206" s="156"/>
      <c r="G206" s="150" t="s">
        <v>41</v>
      </c>
      <c r="H206" s="151" t="s">
        <v>187</v>
      </c>
      <c r="I206" s="155"/>
      <c r="J206" s="155"/>
      <c r="K206" s="155"/>
      <c r="L206" s="155"/>
      <c r="M206" s="155"/>
      <c r="N206" s="155"/>
      <c r="O206" s="157"/>
      <c r="P206" s="155"/>
    </row>
    <row r="207">
      <c r="A207" s="150" t="s">
        <v>112</v>
      </c>
      <c r="B207" s="158" t="str">
        <f t="shared" si="2"/>
        <v>5.16.1</v>
      </c>
      <c r="C207" s="151" t="s">
        <v>306</v>
      </c>
      <c r="D207" s="152" t="s">
        <v>603</v>
      </c>
      <c r="E207" s="156"/>
      <c r="F207" s="156"/>
      <c r="G207" s="150" t="s">
        <v>68</v>
      </c>
      <c r="H207" s="151" t="s">
        <v>187</v>
      </c>
      <c r="I207" s="155"/>
      <c r="J207" s="155"/>
      <c r="K207" s="155"/>
      <c r="L207" s="155"/>
      <c r="M207" s="155"/>
      <c r="N207" s="155"/>
      <c r="O207" s="157"/>
      <c r="P207" s="155"/>
    </row>
    <row r="208" outlineLevel="2">
      <c r="A208" s="150" t="s">
        <v>112</v>
      </c>
      <c r="B208" s="158" t="str">
        <f t="shared" si="2"/>
        <v>5.16.2</v>
      </c>
      <c r="C208" s="151" t="s">
        <v>306</v>
      </c>
      <c r="D208" s="152" t="s">
        <v>604</v>
      </c>
      <c r="E208" s="156"/>
      <c r="F208" s="156"/>
      <c r="G208" s="150" t="s">
        <v>68</v>
      </c>
      <c r="H208" s="151" t="s">
        <v>187</v>
      </c>
      <c r="I208" s="155"/>
      <c r="J208" s="155"/>
      <c r="K208" s="155"/>
      <c r="L208" s="155"/>
      <c r="M208" s="155"/>
      <c r="N208" s="155"/>
      <c r="O208" s="157"/>
      <c r="P208" s="155"/>
    </row>
    <row r="209" outlineLevel="2">
      <c r="A209" s="150" t="s">
        <v>112</v>
      </c>
      <c r="B209" s="158" t="str">
        <f t="shared" si="2"/>
        <v>5.16.3</v>
      </c>
      <c r="C209" s="151" t="s">
        <v>306</v>
      </c>
      <c r="D209" s="152" t="s">
        <v>605</v>
      </c>
      <c r="E209" s="156"/>
      <c r="F209" s="156"/>
      <c r="G209" s="150" t="s">
        <v>68</v>
      </c>
      <c r="H209" s="151" t="s">
        <v>187</v>
      </c>
      <c r="I209" s="155"/>
      <c r="J209" s="155"/>
      <c r="K209" s="155"/>
      <c r="L209" s="155"/>
      <c r="M209" s="155"/>
      <c r="N209" s="155"/>
      <c r="O209" s="157"/>
      <c r="P209" s="155"/>
    </row>
    <row r="210" outlineLevel="2">
      <c r="A210" s="150" t="s">
        <v>112</v>
      </c>
      <c r="B210" s="158" t="str">
        <f t="shared" si="2"/>
        <v>5.16.4</v>
      </c>
      <c r="C210" s="151" t="s">
        <v>306</v>
      </c>
      <c r="D210" s="152" t="s">
        <v>606</v>
      </c>
      <c r="E210" s="156"/>
      <c r="F210" s="156"/>
      <c r="G210" s="150" t="s">
        <v>68</v>
      </c>
      <c r="H210" s="151" t="s">
        <v>187</v>
      </c>
      <c r="I210" s="155"/>
      <c r="J210" s="155"/>
      <c r="K210" s="155"/>
      <c r="L210" s="155"/>
      <c r="M210" s="155"/>
      <c r="N210" s="155"/>
      <c r="O210" s="157"/>
      <c r="P210" s="155"/>
    </row>
    <row r="211" outlineLevel="2">
      <c r="A211" s="150" t="s">
        <v>112</v>
      </c>
      <c r="B211" s="158" t="str">
        <f t="shared" si="2"/>
        <v>5.16.5</v>
      </c>
      <c r="C211" s="151" t="s">
        <v>306</v>
      </c>
      <c r="D211" s="152" t="s">
        <v>607</v>
      </c>
      <c r="E211" s="156"/>
      <c r="F211" s="156"/>
      <c r="G211" s="150" t="s">
        <v>68</v>
      </c>
      <c r="H211" s="151" t="s">
        <v>187</v>
      </c>
      <c r="I211" s="155"/>
      <c r="J211" s="155"/>
      <c r="K211" s="155"/>
      <c r="L211" s="155"/>
      <c r="M211" s="155"/>
      <c r="N211" s="155"/>
      <c r="O211" s="157"/>
      <c r="P211" s="155"/>
    </row>
    <row r="212" outlineLevel="2">
      <c r="A212" s="150" t="s">
        <v>112</v>
      </c>
      <c r="B212" s="158" t="str">
        <f t="shared" si="2"/>
        <v>5.16.6</v>
      </c>
      <c r="C212" s="151" t="s">
        <v>306</v>
      </c>
      <c r="D212" s="152" t="s">
        <v>608</v>
      </c>
      <c r="E212" s="156"/>
      <c r="F212" s="156"/>
      <c r="G212" s="150" t="s">
        <v>68</v>
      </c>
      <c r="H212" s="151" t="s">
        <v>187</v>
      </c>
      <c r="I212" s="155"/>
      <c r="J212" s="155"/>
      <c r="K212" s="155"/>
      <c r="L212" s="155"/>
      <c r="M212" s="155"/>
      <c r="N212" s="155"/>
      <c r="O212" s="157"/>
      <c r="P212" s="155"/>
    </row>
    <row r="213" outlineLevel="2">
      <c r="A213" s="150" t="s">
        <v>112</v>
      </c>
      <c r="B213" s="158" t="str">
        <f t="shared" si="2"/>
        <v>5.16.7</v>
      </c>
      <c r="C213" s="151" t="s">
        <v>306</v>
      </c>
      <c r="D213" s="152" t="s">
        <v>609</v>
      </c>
      <c r="E213" s="156"/>
      <c r="F213" s="156"/>
      <c r="G213" s="150" t="s">
        <v>68</v>
      </c>
      <c r="H213" s="151" t="s">
        <v>187</v>
      </c>
      <c r="I213" s="155"/>
      <c r="J213" s="155"/>
      <c r="K213" s="155"/>
      <c r="L213" s="155"/>
      <c r="M213" s="155"/>
      <c r="N213" s="155"/>
      <c r="O213" s="157"/>
      <c r="P213" s="155"/>
    </row>
    <row r="214" outlineLevel="2">
      <c r="A214" s="150" t="s">
        <v>112</v>
      </c>
      <c r="B214" s="158" t="str">
        <f t="shared" si="2"/>
        <v>5.16.8</v>
      </c>
      <c r="C214" s="151" t="s">
        <v>306</v>
      </c>
      <c r="D214" s="152" t="s">
        <v>610</v>
      </c>
      <c r="E214" s="156"/>
      <c r="F214" s="156"/>
      <c r="G214" s="150" t="s">
        <v>68</v>
      </c>
      <c r="H214" s="151" t="s">
        <v>187</v>
      </c>
      <c r="I214" s="155"/>
      <c r="J214" s="155"/>
      <c r="K214" s="155"/>
      <c r="L214" s="155"/>
      <c r="M214" s="155"/>
      <c r="N214" s="155"/>
      <c r="O214" s="157"/>
      <c r="P214" s="155"/>
    </row>
    <row r="215" outlineLevel="2">
      <c r="A215" s="150" t="s">
        <v>112</v>
      </c>
      <c r="B215" s="158" t="str">
        <f t="shared" si="2"/>
        <v>5.16.9</v>
      </c>
      <c r="C215" s="151" t="s">
        <v>306</v>
      </c>
      <c r="D215" s="152" t="s">
        <v>611</v>
      </c>
      <c r="E215" s="156"/>
      <c r="F215" s="156"/>
      <c r="G215" s="150" t="s">
        <v>68</v>
      </c>
      <c r="H215" s="151" t="s">
        <v>187</v>
      </c>
      <c r="I215" s="155"/>
      <c r="J215" s="155"/>
      <c r="K215" s="155"/>
      <c r="L215" s="155"/>
      <c r="M215" s="155"/>
      <c r="N215" s="155"/>
      <c r="O215" s="157"/>
      <c r="P215" s="155"/>
    </row>
    <row r="216" outlineLevel="2">
      <c r="A216" s="150" t="s">
        <v>112</v>
      </c>
      <c r="B216" s="158" t="str">
        <f t="shared" si="2"/>
        <v>5.16.10</v>
      </c>
      <c r="C216" s="151" t="s">
        <v>306</v>
      </c>
      <c r="D216" s="152" t="s">
        <v>586</v>
      </c>
      <c r="E216" s="156"/>
      <c r="F216" s="156"/>
      <c r="G216" s="150" t="s">
        <v>68</v>
      </c>
      <c r="H216" s="151" t="s">
        <v>187</v>
      </c>
      <c r="I216" s="155"/>
      <c r="J216" s="155"/>
      <c r="K216" s="155"/>
      <c r="L216" s="155"/>
      <c r="M216" s="155"/>
      <c r="N216" s="155"/>
      <c r="O216" s="157"/>
      <c r="P216" s="155"/>
    </row>
    <row r="217">
      <c r="A217" s="150" t="s">
        <v>113</v>
      </c>
      <c r="B217" s="158" t="str">
        <f t="shared" si="2"/>
        <v>5.17.1</v>
      </c>
      <c r="C217" s="151" t="s">
        <v>307</v>
      </c>
      <c r="D217" s="152" t="s">
        <v>603</v>
      </c>
      <c r="E217" s="156"/>
      <c r="F217" s="156"/>
      <c r="G217" s="150" t="s">
        <v>68</v>
      </c>
      <c r="H217" s="151" t="s">
        <v>187</v>
      </c>
      <c r="I217" s="155"/>
      <c r="J217" s="155"/>
      <c r="K217" s="155"/>
      <c r="L217" s="155"/>
      <c r="M217" s="155"/>
      <c r="N217" s="155"/>
      <c r="O217" s="157"/>
      <c r="P217" s="155"/>
    </row>
    <row r="218" outlineLevel="2">
      <c r="A218" s="150" t="s">
        <v>113</v>
      </c>
      <c r="B218" s="158" t="str">
        <f t="shared" si="2"/>
        <v>5.17.2</v>
      </c>
      <c r="C218" s="151" t="s">
        <v>307</v>
      </c>
      <c r="D218" s="152" t="s">
        <v>612</v>
      </c>
      <c r="E218" s="156"/>
      <c r="F218" s="156"/>
      <c r="G218" s="150" t="s">
        <v>68</v>
      </c>
      <c r="H218" s="151" t="s">
        <v>187</v>
      </c>
      <c r="I218" s="155"/>
      <c r="J218" s="155"/>
      <c r="K218" s="155"/>
      <c r="L218" s="155"/>
      <c r="M218" s="155"/>
      <c r="N218" s="155"/>
      <c r="O218" s="157"/>
      <c r="P218" s="155"/>
    </row>
    <row r="219" outlineLevel="2">
      <c r="A219" s="150" t="s">
        <v>113</v>
      </c>
      <c r="B219" s="158" t="str">
        <f t="shared" si="2"/>
        <v>5.17.3</v>
      </c>
      <c r="C219" s="151" t="s">
        <v>307</v>
      </c>
      <c r="D219" s="152" t="s">
        <v>613</v>
      </c>
      <c r="E219" s="156"/>
      <c r="F219" s="156"/>
      <c r="G219" s="150" t="s">
        <v>68</v>
      </c>
      <c r="H219" s="151" t="s">
        <v>187</v>
      </c>
      <c r="I219" s="155"/>
      <c r="J219" s="155"/>
      <c r="K219" s="155"/>
      <c r="L219" s="155"/>
      <c r="M219" s="155"/>
      <c r="N219" s="155"/>
      <c r="O219" s="157"/>
      <c r="P219" s="155"/>
    </row>
    <row r="220" outlineLevel="2">
      <c r="A220" s="150" t="s">
        <v>113</v>
      </c>
      <c r="B220" s="158" t="str">
        <f t="shared" si="2"/>
        <v>5.17.4</v>
      </c>
      <c r="C220" s="151" t="s">
        <v>307</v>
      </c>
      <c r="D220" s="152" t="s">
        <v>614</v>
      </c>
      <c r="E220" s="156"/>
      <c r="F220" s="156"/>
      <c r="G220" s="150" t="s">
        <v>68</v>
      </c>
      <c r="H220" s="151" t="s">
        <v>187</v>
      </c>
      <c r="I220" s="155"/>
      <c r="J220" s="155"/>
      <c r="K220" s="155"/>
      <c r="L220" s="155"/>
      <c r="M220" s="155"/>
      <c r="N220" s="155"/>
      <c r="O220" s="157"/>
      <c r="P220" s="155"/>
    </row>
    <row r="221" outlineLevel="2">
      <c r="A221" s="150" t="s">
        <v>113</v>
      </c>
      <c r="B221" s="158" t="str">
        <f t="shared" si="2"/>
        <v>5.17.5</v>
      </c>
      <c r="C221" s="151" t="s">
        <v>307</v>
      </c>
      <c r="D221" s="152" t="s">
        <v>615</v>
      </c>
      <c r="E221" s="156"/>
      <c r="F221" s="156"/>
      <c r="G221" s="150" t="s">
        <v>68</v>
      </c>
      <c r="H221" s="151" t="s">
        <v>187</v>
      </c>
      <c r="I221" s="155"/>
      <c r="J221" s="155"/>
      <c r="K221" s="155"/>
      <c r="L221" s="155"/>
      <c r="M221" s="155"/>
      <c r="N221" s="155"/>
      <c r="O221" s="157"/>
      <c r="P221" s="155"/>
    </row>
    <row r="222" outlineLevel="2">
      <c r="A222" s="150" t="s">
        <v>113</v>
      </c>
      <c r="B222" s="158" t="str">
        <f t="shared" si="2"/>
        <v>5.17.6</v>
      </c>
      <c r="C222" s="151" t="s">
        <v>307</v>
      </c>
      <c r="D222" s="152" t="s">
        <v>616</v>
      </c>
      <c r="E222" s="156"/>
      <c r="F222" s="156"/>
      <c r="G222" s="150" t="s">
        <v>68</v>
      </c>
      <c r="H222" s="151" t="s">
        <v>187</v>
      </c>
      <c r="I222" s="155"/>
      <c r="J222" s="155"/>
      <c r="K222" s="155"/>
      <c r="L222" s="155"/>
      <c r="M222" s="155"/>
      <c r="N222" s="155"/>
      <c r="O222" s="157"/>
      <c r="P222" s="155"/>
    </row>
    <row r="223" outlineLevel="2">
      <c r="A223" s="150" t="s">
        <v>113</v>
      </c>
      <c r="B223" s="158" t="str">
        <f t="shared" si="2"/>
        <v>5.17.7</v>
      </c>
      <c r="C223" s="151" t="s">
        <v>307</v>
      </c>
      <c r="D223" s="152" t="s">
        <v>617</v>
      </c>
      <c r="E223" s="156"/>
      <c r="F223" s="156"/>
      <c r="G223" s="150" t="s">
        <v>68</v>
      </c>
      <c r="H223" s="151" t="s">
        <v>187</v>
      </c>
      <c r="I223" s="155"/>
      <c r="J223" s="155"/>
      <c r="K223" s="155"/>
      <c r="L223" s="155"/>
      <c r="M223" s="155"/>
      <c r="N223" s="155"/>
      <c r="O223" s="157"/>
      <c r="P223" s="155"/>
    </row>
    <row r="224" outlineLevel="2">
      <c r="A224" s="150" t="s">
        <v>113</v>
      </c>
      <c r="B224" s="158" t="str">
        <f t="shared" si="2"/>
        <v>5.17.8</v>
      </c>
      <c r="C224" s="151" t="s">
        <v>307</v>
      </c>
      <c r="D224" s="152" t="s">
        <v>618</v>
      </c>
      <c r="E224" s="156"/>
      <c r="F224" s="156"/>
      <c r="G224" s="150" t="s">
        <v>68</v>
      </c>
      <c r="H224" s="151" t="s">
        <v>187</v>
      </c>
      <c r="I224" s="155"/>
      <c r="J224" s="155"/>
      <c r="K224" s="155"/>
      <c r="L224" s="155"/>
      <c r="M224" s="155"/>
      <c r="N224" s="155"/>
      <c r="O224" s="157"/>
      <c r="P224" s="155"/>
    </row>
    <row r="225" outlineLevel="2">
      <c r="A225" s="150" t="s">
        <v>113</v>
      </c>
      <c r="B225" s="158" t="str">
        <f t="shared" si="2"/>
        <v>5.17.9</v>
      </c>
      <c r="C225" s="151" t="s">
        <v>307</v>
      </c>
      <c r="D225" s="152" t="s">
        <v>619</v>
      </c>
      <c r="E225" s="156"/>
      <c r="F225" s="156"/>
      <c r="G225" s="150" t="s">
        <v>68</v>
      </c>
      <c r="H225" s="151" t="s">
        <v>187</v>
      </c>
      <c r="I225" s="155"/>
      <c r="J225" s="155"/>
      <c r="K225" s="155"/>
      <c r="L225" s="155"/>
      <c r="M225" s="155"/>
      <c r="N225" s="155"/>
      <c r="O225" s="157"/>
      <c r="P225" s="155"/>
    </row>
    <row r="226">
      <c r="A226" s="150" t="s">
        <v>114</v>
      </c>
      <c r="B226" s="158" t="str">
        <f t="shared" si="2"/>
        <v>5.18.1</v>
      </c>
      <c r="C226" s="151" t="s">
        <v>308</v>
      </c>
      <c r="D226" s="152" t="s">
        <v>620</v>
      </c>
      <c r="E226" s="156"/>
      <c r="F226" s="156"/>
      <c r="G226" s="150" t="s">
        <v>41</v>
      </c>
      <c r="H226" s="151" t="s">
        <v>187</v>
      </c>
      <c r="I226" s="155"/>
      <c r="J226" s="155"/>
      <c r="K226" s="155"/>
      <c r="L226" s="155"/>
      <c r="M226" s="155"/>
      <c r="N226" s="155"/>
      <c r="O226" s="157"/>
      <c r="P226" s="155"/>
    </row>
    <row r="227" outlineLevel="1">
      <c r="A227" s="150" t="s">
        <v>114</v>
      </c>
      <c r="B227" s="158" t="str">
        <f t="shared" si="2"/>
        <v>5.18.2</v>
      </c>
      <c r="C227" s="151" t="s">
        <v>308</v>
      </c>
      <c r="D227" s="152" t="s">
        <v>621</v>
      </c>
      <c r="E227" s="156"/>
      <c r="F227" s="156"/>
      <c r="G227" s="150" t="s">
        <v>41</v>
      </c>
      <c r="H227" s="151" t="s">
        <v>187</v>
      </c>
      <c r="I227" s="155"/>
      <c r="J227" s="155"/>
      <c r="K227" s="155"/>
      <c r="L227" s="155"/>
      <c r="M227" s="155"/>
      <c r="N227" s="155"/>
      <c r="O227" s="157"/>
      <c r="P227" s="155"/>
    </row>
    <row r="228">
      <c r="A228" s="150" t="s">
        <v>115</v>
      </c>
      <c r="B228" s="158" t="str">
        <f t="shared" si="2"/>
        <v>5.19.1</v>
      </c>
      <c r="C228" s="151" t="s">
        <v>309</v>
      </c>
      <c r="D228" s="152" t="s">
        <v>622</v>
      </c>
      <c r="E228" s="156"/>
      <c r="F228" s="156"/>
      <c r="G228" s="150" t="s">
        <v>41</v>
      </c>
      <c r="H228" s="151" t="s">
        <v>187</v>
      </c>
      <c r="I228" s="155"/>
      <c r="J228" s="155"/>
      <c r="K228" s="155"/>
      <c r="L228" s="155"/>
      <c r="M228" s="155"/>
      <c r="N228" s="155"/>
      <c r="O228" s="157"/>
      <c r="P228" s="155"/>
    </row>
    <row r="229" outlineLevel="1">
      <c r="A229" s="150" t="s">
        <v>115</v>
      </c>
      <c r="B229" s="158" t="str">
        <f t="shared" si="2"/>
        <v>5.19.2</v>
      </c>
      <c r="C229" s="151" t="s">
        <v>309</v>
      </c>
      <c r="D229" s="152" t="s">
        <v>623</v>
      </c>
      <c r="E229" s="156"/>
      <c r="F229" s="156"/>
      <c r="G229" s="150" t="s">
        <v>41</v>
      </c>
      <c r="H229" s="151" t="s">
        <v>187</v>
      </c>
      <c r="I229" s="155"/>
      <c r="J229" s="155"/>
      <c r="K229" s="155"/>
      <c r="L229" s="155"/>
      <c r="M229" s="155"/>
      <c r="N229" s="155"/>
      <c r="O229" s="157"/>
      <c r="P229" s="155"/>
    </row>
    <row r="230" outlineLevel="1">
      <c r="A230" s="150" t="s">
        <v>115</v>
      </c>
      <c r="B230" s="158" t="str">
        <f t="shared" si="2"/>
        <v>5.19.3</v>
      </c>
      <c r="C230" s="151" t="s">
        <v>309</v>
      </c>
      <c r="D230" s="152" t="s">
        <v>624</v>
      </c>
      <c r="E230" s="156"/>
      <c r="F230" s="156"/>
      <c r="G230" s="150" t="s">
        <v>41</v>
      </c>
      <c r="H230" s="151" t="s">
        <v>187</v>
      </c>
      <c r="I230" s="155"/>
      <c r="J230" s="155"/>
      <c r="K230" s="155"/>
      <c r="L230" s="155"/>
      <c r="M230" s="155"/>
      <c r="N230" s="155"/>
      <c r="O230" s="157"/>
      <c r="P230" s="155"/>
    </row>
    <row r="231" outlineLevel="1">
      <c r="A231" s="150" t="s">
        <v>115</v>
      </c>
      <c r="B231" s="158" t="str">
        <f t="shared" si="2"/>
        <v>5.19.4</v>
      </c>
      <c r="C231" s="151" t="s">
        <v>309</v>
      </c>
      <c r="D231" s="152" t="s">
        <v>625</v>
      </c>
      <c r="E231" s="156"/>
      <c r="F231" s="156"/>
      <c r="G231" s="150" t="s">
        <v>41</v>
      </c>
      <c r="H231" s="151" t="s">
        <v>187</v>
      </c>
      <c r="I231" s="155"/>
      <c r="J231" s="155"/>
      <c r="K231" s="155"/>
      <c r="L231" s="155"/>
      <c r="M231" s="155"/>
      <c r="N231" s="155"/>
      <c r="O231" s="157"/>
      <c r="P231" s="155"/>
    </row>
    <row r="232" outlineLevel="1">
      <c r="A232" s="150" t="s">
        <v>115</v>
      </c>
      <c r="B232" s="158" t="str">
        <f t="shared" si="2"/>
        <v>5.19.5</v>
      </c>
      <c r="C232" s="151" t="s">
        <v>309</v>
      </c>
      <c r="D232" s="152" t="s">
        <v>626</v>
      </c>
      <c r="E232" s="156"/>
      <c r="F232" s="156"/>
      <c r="G232" s="150" t="s">
        <v>41</v>
      </c>
      <c r="H232" s="151" t="s">
        <v>187</v>
      </c>
      <c r="I232" s="155"/>
      <c r="J232" s="155"/>
      <c r="K232" s="155"/>
      <c r="L232" s="155"/>
      <c r="M232" s="155"/>
      <c r="N232" s="155"/>
      <c r="O232" s="157"/>
      <c r="P232" s="155"/>
    </row>
    <row r="233" outlineLevel="1">
      <c r="A233" s="150" t="s">
        <v>115</v>
      </c>
      <c r="B233" s="158" t="str">
        <f t="shared" si="2"/>
        <v>5.19.6</v>
      </c>
      <c r="C233" s="151" t="s">
        <v>309</v>
      </c>
      <c r="D233" s="152" t="s">
        <v>627</v>
      </c>
      <c r="E233" s="156"/>
      <c r="F233" s="156"/>
      <c r="G233" s="150" t="s">
        <v>41</v>
      </c>
      <c r="H233" s="151" t="s">
        <v>187</v>
      </c>
      <c r="I233" s="155"/>
      <c r="J233" s="155"/>
      <c r="K233" s="155"/>
      <c r="L233" s="155"/>
      <c r="M233" s="155"/>
      <c r="N233" s="155"/>
      <c r="O233" s="157"/>
      <c r="P233" s="155"/>
    </row>
    <row r="234" outlineLevel="1">
      <c r="A234" s="150" t="s">
        <v>115</v>
      </c>
      <c r="B234" s="158" t="str">
        <f t="shared" si="2"/>
        <v>5.19.7</v>
      </c>
      <c r="C234" s="151" t="s">
        <v>309</v>
      </c>
      <c r="D234" s="152" t="s">
        <v>628</v>
      </c>
      <c r="E234" s="156"/>
      <c r="F234" s="156"/>
      <c r="G234" s="150" t="s">
        <v>41</v>
      </c>
      <c r="H234" s="151" t="s">
        <v>187</v>
      </c>
      <c r="I234" s="155"/>
      <c r="J234" s="155"/>
      <c r="K234" s="155"/>
      <c r="L234" s="155"/>
      <c r="M234" s="155"/>
      <c r="N234" s="155"/>
      <c r="O234" s="157"/>
      <c r="P234" s="155"/>
    </row>
    <row r="235">
      <c r="A235" s="150" t="s">
        <v>116</v>
      </c>
      <c r="B235" s="158" t="str">
        <f t="shared" si="2"/>
        <v>5.20.1</v>
      </c>
      <c r="C235" s="151" t="s">
        <v>310</v>
      </c>
      <c r="D235" s="152" t="s">
        <v>629</v>
      </c>
      <c r="E235" s="156"/>
      <c r="F235" s="156"/>
      <c r="G235" s="150" t="s">
        <v>48</v>
      </c>
      <c r="H235" s="151" t="s">
        <v>187</v>
      </c>
      <c r="I235" s="155"/>
      <c r="J235" s="155"/>
      <c r="K235" s="155"/>
      <c r="L235" s="155"/>
      <c r="M235" s="155"/>
      <c r="N235" s="155"/>
      <c r="O235" s="157"/>
      <c r="P235" s="155"/>
    </row>
    <row r="236" outlineLevel="1">
      <c r="A236" s="150" t="s">
        <v>116</v>
      </c>
      <c r="B236" s="158" t="str">
        <f t="shared" si="2"/>
        <v>5.20.2</v>
      </c>
      <c r="C236" s="151" t="s">
        <v>310</v>
      </c>
      <c r="D236" s="152" t="s">
        <v>630</v>
      </c>
      <c r="E236" s="156"/>
      <c r="F236" s="156"/>
      <c r="G236" s="150" t="s">
        <v>48</v>
      </c>
      <c r="H236" s="151" t="s">
        <v>187</v>
      </c>
      <c r="I236" s="155"/>
      <c r="J236" s="155"/>
      <c r="K236" s="155"/>
      <c r="L236" s="155"/>
      <c r="M236" s="155"/>
      <c r="N236" s="155"/>
      <c r="O236" s="157"/>
      <c r="P236" s="155"/>
    </row>
    <row r="237" outlineLevel="1">
      <c r="A237" s="150" t="s">
        <v>116</v>
      </c>
      <c r="B237" s="158" t="str">
        <f t="shared" si="2"/>
        <v>5.20.3</v>
      </c>
      <c r="C237" s="151" t="s">
        <v>310</v>
      </c>
      <c r="D237" s="152" t="s">
        <v>631</v>
      </c>
      <c r="E237" s="156"/>
      <c r="F237" s="156"/>
      <c r="G237" s="150" t="s">
        <v>48</v>
      </c>
      <c r="H237" s="151" t="s">
        <v>187</v>
      </c>
      <c r="I237" s="155"/>
      <c r="J237" s="155"/>
      <c r="K237" s="155"/>
      <c r="L237" s="155"/>
      <c r="M237" s="155"/>
      <c r="N237" s="155"/>
      <c r="O237" s="157"/>
      <c r="P237" s="155"/>
    </row>
    <row r="238" outlineLevel="1">
      <c r="A238" s="150" t="s">
        <v>116</v>
      </c>
      <c r="B238" s="158" t="str">
        <f t="shared" si="2"/>
        <v>5.20.4</v>
      </c>
      <c r="C238" s="151" t="s">
        <v>310</v>
      </c>
      <c r="D238" s="152" t="s">
        <v>632</v>
      </c>
      <c r="E238" s="156"/>
      <c r="F238" s="156"/>
      <c r="G238" s="150" t="s">
        <v>48</v>
      </c>
      <c r="H238" s="151" t="s">
        <v>187</v>
      </c>
      <c r="I238" s="155"/>
      <c r="J238" s="155"/>
      <c r="K238" s="155"/>
      <c r="L238" s="155"/>
      <c r="M238" s="155"/>
      <c r="N238" s="155"/>
      <c r="O238" s="157"/>
      <c r="P238" s="155"/>
    </row>
    <row r="239" outlineLevel="1">
      <c r="A239" s="150" t="s">
        <v>116</v>
      </c>
      <c r="B239" s="158" t="str">
        <f t="shared" si="2"/>
        <v>5.20.5</v>
      </c>
      <c r="C239" s="151" t="s">
        <v>310</v>
      </c>
      <c r="D239" s="152" t="s">
        <v>633</v>
      </c>
      <c r="E239" s="156"/>
      <c r="F239" s="156"/>
      <c r="G239" s="150" t="s">
        <v>48</v>
      </c>
      <c r="H239" s="151" t="s">
        <v>187</v>
      </c>
      <c r="I239" s="155"/>
      <c r="J239" s="155"/>
      <c r="K239" s="155"/>
      <c r="L239" s="155"/>
      <c r="M239" s="155"/>
      <c r="N239" s="155"/>
      <c r="O239" s="157"/>
      <c r="P239" s="155"/>
    </row>
    <row r="240" outlineLevel="1">
      <c r="A240" s="150" t="s">
        <v>116</v>
      </c>
      <c r="B240" s="158" t="str">
        <f t="shared" si="2"/>
        <v>5.20.6</v>
      </c>
      <c r="C240" s="151" t="s">
        <v>310</v>
      </c>
      <c r="D240" s="152" t="s">
        <v>634</v>
      </c>
      <c r="E240" s="156"/>
      <c r="F240" s="156"/>
      <c r="G240" s="150" t="s">
        <v>48</v>
      </c>
      <c r="H240" s="151" t="s">
        <v>187</v>
      </c>
      <c r="I240" s="155"/>
      <c r="J240" s="155"/>
      <c r="K240" s="155"/>
      <c r="L240" s="155"/>
      <c r="M240" s="155"/>
      <c r="N240" s="155"/>
      <c r="O240" s="157"/>
      <c r="P240" s="155"/>
    </row>
    <row r="241" outlineLevel="1">
      <c r="A241" s="150" t="s">
        <v>116</v>
      </c>
      <c r="B241" s="158" t="str">
        <f t="shared" si="2"/>
        <v>5.20.7</v>
      </c>
      <c r="C241" s="151" t="s">
        <v>310</v>
      </c>
      <c r="D241" s="152" t="s">
        <v>635</v>
      </c>
      <c r="E241" s="156"/>
      <c r="F241" s="156"/>
      <c r="G241" s="150" t="s">
        <v>48</v>
      </c>
      <c r="H241" s="151" t="s">
        <v>187</v>
      </c>
      <c r="I241" s="155"/>
      <c r="J241" s="155"/>
      <c r="K241" s="155"/>
      <c r="L241" s="155"/>
      <c r="M241" s="155"/>
      <c r="N241" s="155"/>
      <c r="O241" s="157"/>
      <c r="P241" s="155"/>
    </row>
    <row r="242" outlineLevel="1">
      <c r="A242" s="150" t="s">
        <v>116</v>
      </c>
      <c r="B242" s="158" t="str">
        <f t="shared" si="2"/>
        <v>5.20.8</v>
      </c>
      <c r="C242" s="151" t="s">
        <v>310</v>
      </c>
      <c r="D242" s="152" t="s">
        <v>636</v>
      </c>
      <c r="E242" s="156"/>
      <c r="F242" s="156"/>
      <c r="G242" s="150" t="s">
        <v>48</v>
      </c>
      <c r="H242" s="151" t="s">
        <v>187</v>
      </c>
      <c r="I242" s="155"/>
      <c r="J242" s="155"/>
      <c r="K242" s="155"/>
      <c r="L242" s="155"/>
      <c r="M242" s="155"/>
      <c r="N242" s="155"/>
      <c r="O242" s="157"/>
      <c r="P242" s="155"/>
    </row>
    <row r="243" ht="25.5" customHeight="1">
      <c r="A243" s="150" t="s">
        <v>117</v>
      </c>
      <c r="B243" s="158" t="str">
        <f t="shared" si="2"/>
        <v>5.21.1</v>
      </c>
      <c r="C243" s="151" t="s">
        <v>311</v>
      </c>
      <c r="D243" s="152" t="s">
        <v>629</v>
      </c>
      <c r="E243" s="156"/>
      <c r="F243" s="156"/>
      <c r="G243" s="150" t="s">
        <v>48</v>
      </c>
      <c r="H243" s="151" t="s">
        <v>187</v>
      </c>
      <c r="I243" s="155"/>
      <c r="J243" s="155"/>
      <c r="K243" s="155"/>
      <c r="L243" s="155"/>
      <c r="M243" s="155"/>
      <c r="N243" s="155"/>
      <c r="O243" s="157"/>
      <c r="P243" s="155"/>
    </row>
    <row r="244" outlineLevel="3">
      <c r="A244" s="150" t="s">
        <v>117</v>
      </c>
      <c r="B244" s="158" t="str">
        <f t="shared" si="2"/>
        <v>5.21.2</v>
      </c>
      <c r="C244" s="151" t="s">
        <v>311</v>
      </c>
      <c r="D244" s="152" t="s">
        <v>630</v>
      </c>
      <c r="E244" s="156"/>
      <c r="F244" s="156"/>
      <c r="G244" s="150" t="s">
        <v>48</v>
      </c>
      <c r="H244" s="151" t="s">
        <v>187</v>
      </c>
      <c r="I244" s="155"/>
      <c r="J244" s="155"/>
      <c r="K244" s="155"/>
      <c r="L244" s="155"/>
      <c r="M244" s="155"/>
      <c r="N244" s="155"/>
      <c r="O244" s="157"/>
      <c r="P244" s="155"/>
    </row>
    <row r="245" outlineLevel="3">
      <c r="A245" s="150" t="s">
        <v>117</v>
      </c>
      <c r="B245" s="158" t="str">
        <f t="shared" si="2"/>
        <v>5.21.3</v>
      </c>
      <c r="C245" s="151" t="s">
        <v>311</v>
      </c>
      <c r="D245" s="152" t="s">
        <v>631</v>
      </c>
      <c r="E245" s="156"/>
      <c r="F245" s="156"/>
      <c r="G245" s="150" t="s">
        <v>48</v>
      </c>
      <c r="H245" s="151" t="s">
        <v>187</v>
      </c>
      <c r="I245" s="155"/>
      <c r="J245" s="155"/>
      <c r="K245" s="155"/>
      <c r="L245" s="155"/>
      <c r="M245" s="155"/>
      <c r="N245" s="155"/>
      <c r="O245" s="157"/>
      <c r="P245" s="155"/>
    </row>
    <row r="246" outlineLevel="3">
      <c r="A246" s="150" t="s">
        <v>117</v>
      </c>
      <c r="B246" s="158" t="str">
        <f t="shared" si="2"/>
        <v>5.21.4</v>
      </c>
      <c r="C246" s="151" t="s">
        <v>311</v>
      </c>
      <c r="D246" s="152" t="s">
        <v>632</v>
      </c>
      <c r="E246" s="156"/>
      <c r="F246" s="156"/>
      <c r="G246" s="150" t="s">
        <v>48</v>
      </c>
      <c r="H246" s="151" t="s">
        <v>187</v>
      </c>
      <c r="I246" s="155"/>
      <c r="J246" s="155"/>
      <c r="K246" s="155"/>
      <c r="L246" s="155"/>
      <c r="M246" s="155"/>
      <c r="N246" s="155"/>
      <c r="O246" s="157"/>
      <c r="P246" s="155"/>
    </row>
    <row r="247" outlineLevel="3">
      <c r="A247" s="150" t="s">
        <v>117</v>
      </c>
      <c r="B247" s="158" t="str">
        <f t="shared" si="2"/>
        <v>5.21.5</v>
      </c>
      <c r="C247" s="151" t="s">
        <v>311</v>
      </c>
      <c r="D247" s="152" t="s">
        <v>633</v>
      </c>
      <c r="E247" s="156"/>
      <c r="F247" s="156"/>
      <c r="G247" s="150" t="s">
        <v>48</v>
      </c>
      <c r="H247" s="151" t="s">
        <v>187</v>
      </c>
      <c r="I247" s="155"/>
      <c r="J247" s="155"/>
      <c r="K247" s="155"/>
      <c r="L247" s="155"/>
      <c r="M247" s="155"/>
      <c r="N247" s="155"/>
      <c r="O247" s="157"/>
      <c r="P247" s="155"/>
    </row>
    <row r="248" outlineLevel="3">
      <c r="A248" s="150" t="s">
        <v>117</v>
      </c>
      <c r="B248" s="158" t="str">
        <f t="shared" si="2"/>
        <v>5.21.6</v>
      </c>
      <c r="C248" s="151" t="s">
        <v>311</v>
      </c>
      <c r="D248" s="152" t="s">
        <v>637</v>
      </c>
      <c r="E248" s="156"/>
      <c r="F248" s="156"/>
      <c r="G248" s="150" t="s">
        <v>48</v>
      </c>
      <c r="H248" s="151" t="s">
        <v>187</v>
      </c>
      <c r="I248" s="155"/>
      <c r="J248" s="155"/>
      <c r="K248" s="155"/>
      <c r="L248" s="155"/>
      <c r="M248" s="155"/>
      <c r="N248" s="155"/>
      <c r="O248" s="157"/>
      <c r="P248" s="155"/>
    </row>
    <row r="249" outlineLevel="3">
      <c r="A249" s="150" t="s">
        <v>117</v>
      </c>
      <c r="B249" s="158" t="str">
        <f t="shared" si="2"/>
        <v>5.21.7</v>
      </c>
      <c r="C249" s="151" t="s">
        <v>311</v>
      </c>
      <c r="D249" s="152" t="s">
        <v>635</v>
      </c>
      <c r="E249" s="156"/>
      <c r="F249" s="156"/>
      <c r="G249" s="150" t="s">
        <v>48</v>
      </c>
      <c r="H249" s="151" t="s">
        <v>187</v>
      </c>
      <c r="I249" s="155"/>
      <c r="J249" s="155"/>
      <c r="K249" s="155"/>
      <c r="L249" s="155"/>
      <c r="M249" s="155"/>
      <c r="N249" s="155"/>
      <c r="O249" s="157"/>
      <c r="P249" s="155"/>
    </row>
    <row r="250" outlineLevel="3">
      <c r="A250" s="150" t="s">
        <v>117</v>
      </c>
      <c r="B250" s="158" t="str">
        <f t="shared" si="2"/>
        <v>5.21.8</v>
      </c>
      <c r="C250" s="151" t="s">
        <v>311</v>
      </c>
      <c r="D250" s="152" t="s">
        <v>636</v>
      </c>
      <c r="E250" s="156"/>
      <c r="F250" s="156"/>
      <c r="G250" s="150" t="s">
        <v>48</v>
      </c>
      <c r="H250" s="151" t="s">
        <v>187</v>
      </c>
      <c r="I250" s="155"/>
      <c r="J250" s="155"/>
      <c r="K250" s="155"/>
      <c r="L250" s="155"/>
      <c r="M250" s="155"/>
      <c r="N250" s="155"/>
      <c r="O250" s="157"/>
      <c r="P250" s="155"/>
    </row>
    <row r="251">
      <c r="A251" s="150" t="s">
        <v>118</v>
      </c>
      <c r="B251" s="158" t="str">
        <f t="shared" si="2"/>
        <v>5.22.1</v>
      </c>
      <c r="C251" s="151" t="s">
        <v>312</v>
      </c>
      <c r="D251" s="152" t="s">
        <v>629</v>
      </c>
      <c r="E251" s="156"/>
      <c r="F251" s="156"/>
      <c r="G251" s="150" t="s">
        <v>48</v>
      </c>
      <c r="H251" s="151" t="s">
        <v>187</v>
      </c>
      <c r="I251" s="155"/>
      <c r="J251" s="155"/>
      <c r="K251" s="155"/>
      <c r="L251" s="155"/>
      <c r="M251" s="155"/>
      <c r="N251" s="155"/>
      <c r="O251" s="157"/>
      <c r="P251" s="155"/>
    </row>
    <row r="252" outlineLevel="1">
      <c r="A252" s="150" t="s">
        <v>118</v>
      </c>
      <c r="B252" s="158" t="str">
        <f t="shared" si="2"/>
        <v>5.22.2</v>
      </c>
      <c r="C252" s="151" t="s">
        <v>312</v>
      </c>
      <c r="D252" s="152" t="s">
        <v>630</v>
      </c>
      <c r="E252" s="156"/>
      <c r="F252" s="156"/>
      <c r="G252" s="150" t="s">
        <v>48</v>
      </c>
      <c r="H252" s="151" t="s">
        <v>187</v>
      </c>
      <c r="I252" s="155"/>
      <c r="J252" s="155"/>
      <c r="K252" s="155"/>
      <c r="L252" s="155"/>
      <c r="M252" s="155"/>
      <c r="N252" s="155"/>
      <c r="O252" s="157"/>
      <c r="P252" s="155"/>
    </row>
    <row r="253" outlineLevel="1">
      <c r="A253" s="150" t="s">
        <v>118</v>
      </c>
      <c r="B253" s="158" t="str">
        <f t="shared" si="2"/>
        <v>5.22.3</v>
      </c>
      <c r="C253" s="151" t="s">
        <v>312</v>
      </c>
      <c r="D253" s="152" t="s">
        <v>631</v>
      </c>
      <c r="E253" s="156"/>
      <c r="F253" s="156"/>
      <c r="G253" s="150" t="s">
        <v>48</v>
      </c>
      <c r="H253" s="151" t="s">
        <v>187</v>
      </c>
      <c r="I253" s="155"/>
      <c r="J253" s="155"/>
      <c r="K253" s="155"/>
      <c r="L253" s="155"/>
      <c r="M253" s="155"/>
      <c r="N253" s="155"/>
      <c r="O253" s="157"/>
      <c r="P253" s="155"/>
    </row>
    <row r="254" outlineLevel="1">
      <c r="A254" s="150" t="s">
        <v>118</v>
      </c>
      <c r="B254" s="158" t="str">
        <f t="shared" si="2"/>
        <v>5.22.4</v>
      </c>
      <c r="C254" s="151" t="s">
        <v>312</v>
      </c>
      <c r="D254" s="152" t="s">
        <v>632</v>
      </c>
      <c r="E254" s="156"/>
      <c r="F254" s="156"/>
      <c r="G254" s="150" t="s">
        <v>48</v>
      </c>
      <c r="H254" s="151" t="s">
        <v>187</v>
      </c>
      <c r="I254" s="155"/>
      <c r="J254" s="155"/>
      <c r="K254" s="155"/>
      <c r="L254" s="155"/>
      <c r="M254" s="155"/>
      <c r="N254" s="155"/>
      <c r="O254" s="157"/>
      <c r="P254" s="155"/>
    </row>
    <row r="255" outlineLevel="1">
      <c r="A255" s="150" t="s">
        <v>118</v>
      </c>
      <c r="B255" s="158" t="str">
        <f t="shared" si="2"/>
        <v>5.22.5</v>
      </c>
      <c r="C255" s="151" t="s">
        <v>312</v>
      </c>
      <c r="D255" s="152" t="s">
        <v>633</v>
      </c>
      <c r="E255" s="156"/>
      <c r="F255" s="156"/>
      <c r="G255" s="150" t="s">
        <v>48</v>
      </c>
      <c r="H255" s="151" t="s">
        <v>187</v>
      </c>
      <c r="I255" s="155"/>
      <c r="J255" s="155"/>
      <c r="K255" s="155"/>
      <c r="L255" s="155"/>
      <c r="M255" s="155"/>
      <c r="N255" s="155"/>
      <c r="O255" s="157"/>
      <c r="P255" s="155"/>
    </row>
    <row r="256" outlineLevel="1">
      <c r="A256" s="150" t="s">
        <v>118</v>
      </c>
      <c r="B256" s="158" t="str">
        <f t="shared" si="2"/>
        <v>5.22.6</v>
      </c>
      <c r="C256" s="151" t="s">
        <v>312</v>
      </c>
      <c r="D256" s="152" t="s">
        <v>638</v>
      </c>
      <c r="E256" s="156"/>
      <c r="F256" s="156"/>
      <c r="G256" s="150" t="s">
        <v>48</v>
      </c>
      <c r="H256" s="151" t="s">
        <v>187</v>
      </c>
      <c r="I256" s="155"/>
      <c r="J256" s="155"/>
      <c r="K256" s="155"/>
      <c r="L256" s="155"/>
      <c r="M256" s="155"/>
      <c r="N256" s="155"/>
      <c r="O256" s="157"/>
      <c r="P256" s="155"/>
    </row>
    <row r="257" outlineLevel="1">
      <c r="A257" s="150" t="s">
        <v>118</v>
      </c>
      <c r="B257" s="158" t="str">
        <f t="shared" si="2"/>
        <v>5.22.7</v>
      </c>
      <c r="C257" s="151" t="s">
        <v>312</v>
      </c>
      <c r="D257" s="152" t="s">
        <v>635</v>
      </c>
      <c r="E257" s="156"/>
      <c r="F257" s="156"/>
      <c r="G257" s="150" t="s">
        <v>48</v>
      </c>
      <c r="H257" s="151" t="s">
        <v>187</v>
      </c>
      <c r="I257" s="155"/>
      <c r="J257" s="155"/>
      <c r="K257" s="155"/>
      <c r="L257" s="155"/>
      <c r="M257" s="155"/>
      <c r="N257" s="155"/>
      <c r="O257" s="157"/>
      <c r="P257" s="155"/>
    </row>
    <row r="258" outlineLevel="1">
      <c r="A258" s="150" t="s">
        <v>118</v>
      </c>
      <c r="B258" s="158" t="str">
        <f t="shared" si="2"/>
        <v>5.22.8</v>
      </c>
      <c r="C258" s="151" t="s">
        <v>312</v>
      </c>
      <c r="D258" s="152" t="s">
        <v>636</v>
      </c>
      <c r="E258" s="156"/>
      <c r="F258" s="156"/>
      <c r="G258" s="150" t="s">
        <v>48</v>
      </c>
      <c r="H258" s="151" t="s">
        <v>187</v>
      </c>
      <c r="I258" s="155"/>
      <c r="J258" s="155"/>
      <c r="K258" s="155"/>
      <c r="L258" s="155"/>
      <c r="M258" s="155"/>
      <c r="N258" s="155"/>
      <c r="O258" s="157"/>
      <c r="P258" s="155"/>
    </row>
    <row r="259">
      <c r="A259" s="150" t="s">
        <v>119</v>
      </c>
      <c r="B259" s="158" t="str">
        <f t="shared" si="2"/>
        <v>5.23.1</v>
      </c>
      <c r="C259" s="151" t="s">
        <v>313</v>
      </c>
      <c r="D259" s="152" t="s">
        <v>639</v>
      </c>
      <c r="E259" s="156"/>
      <c r="F259" s="156"/>
      <c r="G259" s="150" t="s">
        <v>48</v>
      </c>
      <c r="H259" s="151" t="s">
        <v>187</v>
      </c>
      <c r="I259" s="155"/>
      <c r="J259" s="155"/>
      <c r="K259" s="155"/>
      <c r="L259" s="155"/>
      <c r="M259" s="155"/>
      <c r="N259" s="155"/>
      <c r="O259" s="157"/>
      <c r="P259" s="155"/>
    </row>
    <row r="260" outlineLevel="2">
      <c r="A260" s="150" t="s">
        <v>119</v>
      </c>
      <c r="B260" s="158" t="str">
        <f t="shared" si="2"/>
        <v>5.23.2</v>
      </c>
      <c r="C260" s="151" t="s">
        <v>313</v>
      </c>
      <c r="D260" s="152" t="s">
        <v>640</v>
      </c>
      <c r="E260" s="156"/>
      <c r="F260" s="156"/>
      <c r="G260" s="150" t="s">
        <v>48</v>
      </c>
      <c r="H260" s="151" t="s">
        <v>187</v>
      </c>
      <c r="I260" s="155"/>
      <c r="J260" s="155"/>
      <c r="K260" s="155"/>
      <c r="L260" s="155"/>
      <c r="M260" s="155"/>
      <c r="N260" s="155"/>
      <c r="O260" s="157"/>
      <c r="P260" s="155"/>
    </row>
    <row r="261" outlineLevel="2">
      <c r="A261" s="150" t="s">
        <v>119</v>
      </c>
      <c r="B261" s="158" t="str">
        <f t="shared" si="2"/>
        <v>5.23.3</v>
      </c>
      <c r="C261" s="151" t="s">
        <v>313</v>
      </c>
      <c r="D261" s="152" t="s">
        <v>641</v>
      </c>
      <c r="E261" s="156"/>
      <c r="F261" s="156"/>
      <c r="G261" s="150" t="s">
        <v>48</v>
      </c>
      <c r="H261" s="151" t="s">
        <v>187</v>
      </c>
      <c r="I261" s="155"/>
      <c r="J261" s="155"/>
      <c r="K261" s="155"/>
      <c r="L261" s="155"/>
      <c r="M261" s="155"/>
      <c r="N261" s="155"/>
      <c r="O261" s="157"/>
      <c r="P261" s="155"/>
    </row>
    <row r="262" outlineLevel="2">
      <c r="A262" s="150" t="s">
        <v>119</v>
      </c>
      <c r="B262" s="158" t="str">
        <f t="shared" si="2"/>
        <v>5.23.4</v>
      </c>
      <c r="C262" s="151" t="s">
        <v>313</v>
      </c>
      <c r="D262" s="152" t="s">
        <v>642</v>
      </c>
      <c r="E262" s="156"/>
      <c r="F262" s="156"/>
      <c r="G262" s="150" t="s">
        <v>48</v>
      </c>
      <c r="H262" s="151" t="s">
        <v>187</v>
      </c>
      <c r="I262" s="155"/>
      <c r="J262" s="155"/>
      <c r="K262" s="155"/>
      <c r="L262" s="155"/>
      <c r="M262" s="155"/>
      <c r="N262" s="155"/>
      <c r="O262" s="157"/>
      <c r="P262" s="155"/>
    </row>
    <row r="263" outlineLevel="2">
      <c r="A263" s="150" t="s">
        <v>119</v>
      </c>
      <c r="B263" s="158" t="str">
        <f t="shared" si="2"/>
        <v>5.23.5</v>
      </c>
      <c r="C263" s="151" t="s">
        <v>313</v>
      </c>
      <c r="D263" s="152" t="s">
        <v>643</v>
      </c>
      <c r="E263" s="156"/>
      <c r="F263" s="156"/>
      <c r="G263" s="150" t="s">
        <v>48</v>
      </c>
      <c r="H263" s="151" t="s">
        <v>187</v>
      </c>
      <c r="I263" s="155"/>
      <c r="J263" s="155"/>
      <c r="K263" s="155"/>
      <c r="L263" s="155"/>
      <c r="M263" s="155"/>
      <c r="N263" s="155"/>
      <c r="O263" s="157"/>
      <c r="P263" s="155"/>
    </row>
    <row r="264" outlineLevel="2">
      <c r="A264" s="150" t="s">
        <v>119</v>
      </c>
      <c r="B264" s="158" t="str">
        <f t="shared" si="2"/>
        <v>5.23.6</v>
      </c>
      <c r="C264" s="151" t="s">
        <v>313</v>
      </c>
      <c r="D264" s="152" t="s">
        <v>644</v>
      </c>
      <c r="E264" s="156"/>
      <c r="F264" s="156"/>
      <c r="G264" s="150" t="s">
        <v>48</v>
      </c>
      <c r="H264" s="151" t="s">
        <v>187</v>
      </c>
      <c r="I264" s="155"/>
      <c r="J264" s="155"/>
      <c r="K264" s="155"/>
      <c r="L264" s="155"/>
      <c r="M264" s="155"/>
      <c r="N264" s="155"/>
      <c r="O264" s="157"/>
      <c r="P264" s="155"/>
    </row>
    <row r="265" outlineLevel="2">
      <c r="A265" s="150" t="s">
        <v>119</v>
      </c>
      <c r="B265" s="158" t="str">
        <f t="shared" si="2"/>
        <v>5.23.7</v>
      </c>
      <c r="C265" s="151" t="s">
        <v>313</v>
      </c>
      <c r="D265" s="152" t="s">
        <v>645</v>
      </c>
      <c r="E265" s="156"/>
      <c r="F265" s="156"/>
      <c r="G265" s="150" t="s">
        <v>48</v>
      </c>
      <c r="H265" s="151" t="s">
        <v>187</v>
      </c>
      <c r="I265" s="155"/>
      <c r="J265" s="155"/>
      <c r="K265" s="155"/>
      <c r="L265" s="155"/>
      <c r="M265" s="155"/>
      <c r="N265" s="155"/>
      <c r="O265" s="157"/>
      <c r="P265" s="155"/>
    </row>
    <row r="266" outlineLevel="2">
      <c r="A266" s="150" t="s">
        <v>119</v>
      </c>
      <c r="B266" s="158" t="str">
        <f t="shared" si="2"/>
        <v>5.23.8</v>
      </c>
      <c r="C266" s="151" t="s">
        <v>313</v>
      </c>
      <c r="D266" s="152" t="s">
        <v>646</v>
      </c>
      <c r="E266" s="156"/>
      <c r="F266" s="156"/>
      <c r="G266" s="150" t="s">
        <v>48</v>
      </c>
      <c r="H266" s="151" t="s">
        <v>187</v>
      </c>
      <c r="I266" s="155"/>
      <c r="J266" s="155"/>
      <c r="K266" s="155"/>
      <c r="L266" s="155"/>
      <c r="M266" s="155"/>
      <c r="N266" s="155"/>
      <c r="O266" s="157"/>
      <c r="P266" s="155"/>
    </row>
    <row r="267" outlineLevel="2">
      <c r="A267" s="150" t="s">
        <v>119</v>
      </c>
      <c r="B267" s="158" t="str">
        <f t="shared" si="2"/>
        <v>5.23.9</v>
      </c>
      <c r="C267" s="151" t="s">
        <v>313</v>
      </c>
      <c r="D267" s="152" t="s">
        <v>636</v>
      </c>
      <c r="E267" s="156"/>
      <c r="F267" s="156"/>
      <c r="G267" s="150" t="s">
        <v>48</v>
      </c>
      <c r="H267" s="151" t="s">
        <v>187</v>
      </c>
      <c r="I267" s="155"/>
      <c r="J267" s="155"/>
      <c r="K267" s="155"/>
      <c r="L267" s="155"/>
      <c r="M267" s="155"/>
      <c r="N267" s="155"/>
      <c r="O267" s="157"/>
      <c r="P267" s="155"/>
    </row>
    <row r="268">
      <c r="A268" s="150" t="s">
        <v>120</v>
      </c>
      <c r="B268" s="158" t="str">
        <f t="shared" si="2"/>
        <v>5.24.1</v>
      </c>
      <c r="C268" s="151" t="s">
        <v>314</v>
      </c>
      <c r="D268" s="152" t="s">
        <v>647</v>
      </c>
      <c r="E268" s="156"/>
      <c r="F268" s="156"/>
      <c r="G268" s="150" t="s">
        <v>51</v>
      </c>
      <c r="H268" s="151" t="s">
        <v>187</v>
      </c>
      <c r="I268" s="155"/>
      <c r="J268" s="155"/>
      <c r="K268" s="155"/>
      <c r="L268" s="155"/>
      <c r="M268" s="155"/>
      <c r="N268" s="155"/>
      <c r="O268" s="157"/>
      <c r="P268" s="155"/>
    </row>
    <row r="269" outlineLevel="1">
      <c r="A269" s="150" t="s">
        <v>120</v>
      </c>
      <c r="B269" s="158" t="str">
        <f t="shared" si="2"/>
        <v>5.24.2</v>
      </c>
      <c r="C269" s="151" t="s">
        <v>314</v>
      </c>
      <c r="D269" s="152" t="s">
        <v>648</v>
      </c>
      <c r="E269" s="156"/>
      <c r="F269" s="156"/>
      <c r="G269" s="150" t="s">
        <v>51</v>
      </c>
      <c r="H269" s="151" t="s">
        <v>187</v>
      </c>
      <c r="I269" s="155"/>
      <c r="J269" s="155"/>
      <c r="K269" s="155"/>
      <c r="L269" s="155"/>
      <c r="M269" s="155"/>
      <c r="N269" s="155"/>
      <c r="O269" s="157"/>
      <c r="P269" s="155"/>
    </row>
    <row r="270" outlineLevel="1">
      <c r="A270" s="150" t="s">
        <v>120</v>
      </c>
      <c r="B270" s="158" t="str">
        <f t="shared" si="2"/>
        <v>5.24.3</v>
      </c>
      <c r="C270" s="151" t="s">
        <v>314</v>
      </c>
      <c r="D270" s="152" t="s">
        <v>649</v>
      </c>
      <c r="E270" s="156"/>
      <c r="F270" s="156"/>
      <c r="G270" s="150" t="s">
        <v>51</v>
      </c>
      <c r="H270" s="151" t="s">
        <v>187</v>
      </c>
      <c r="I270" s="155"/>
      <c r="J270" s="155"/>
      <c r="K270" s="155"/>
      <c r="L270" s="155"/>
      <c r="M270" s="155"/>
      <c r="N270" s="155"/>
      <c r="O270" s="157"/>
      <c r="P270" s="155"/>
    </row>
    <row r="271" outlineLevel="1">
      <c r="A271" s="150" t="s">
        <v>120</v>
      </c>
      <c r="B271" s="158" t="str">
        <f t="shared" si="2"/>
        <v>5.24.4</v>
      </c>
      <c r="C271" s="151" t="s">
        <v>314</v>
      </c>
      <c r="D271" s="152" t="s">
        <v>650</v>
      </c>
      <c r="E271" s="156"/>
      <c r="F271" s="156"/>
      <c r="G271" s="150" t="s">
        <v>51</v>
      </c>
      <c r="H271" s="151" t="s">
        <v>187</v>
      </c>
      <c r="I271" s="155"/>
      <c r="J271" s="155"/>
      <c r="K271" s="155"/>
      <c r="L271" s="155"/>
      <c r="M271" s="155"/>
      <c r="N271" s="155"/>
      <c r="O271" s="157"/>
      <c r="P271" s="155"/>
    </row>
    <row r="272" outlineLevel="1">
      <c r="A272" s="150" t="s">
        <v>120</v>
      </c>
      <c r="B272" s="158" t="str">
        <f t="shared" si="2"/>
        <v>5.24.5</v>
      </c>
      <c r="C272" s="151" t="s">
        <v>314</v>
      </c>
      <c r="D272" s="152" t="s">
        <v>651</v>
      </c>
      <c r="E272" s="156"/>
      <c r="F272" s="156"/>
      <c r="G272" s="150" t="s">
        <v>51</v>
      </c>
      <c r="H272" s="151" t="s">
        <v>187</v>
      </c>
      <c r="I272" s="155"/>
      <c r="J272" s="155"/>
      <c r="K272" s="155"/>
      <c r="L272" s="155"/>
      <c r="M272" s="155"/>
      <c r="N272" s="155"/>
      <c r="O272" s="157"/>
      <c r="P272" s="155"/>
    </row>
    <row r="273" outlineLevel="1">
      <c r="A273" s="150" t="s">
        <v>120</v>
      </c>
      <c r="B273" s="158" t="str">
        <f t="shared" si="2"/>
        <v>5.24.6</v>
      </c>
      <c r="C273" s="151" t="s">
        <v>314</v>
      </c>
      <c r="D273" s="152" t="s">
        <v>652</v>
      </c>
      <c r="E273" s="156"/>
      <c r="F273" s="156"/>
      <c r="G273" s="150" t="s">
        <v>51</v>
      </c>
      <c r="H273" s="151" t="s">
        <v>187</v>
      </c>
      <c r="I273" s="155"/>
      <c r="J273" s="155"/>
      <c r="K273" s="155"/>
      <c r="L273" s="155"/>
      <c r="M273" s="155"/>
      <c r="N273" s="155"/>
      <c r="O273" s="157"/>
      <c r="P273" s="155"/>
    </row>
    <row r="274" outlineLevel="1">
      <c r="A274" s="150" t="s">
        <v>120</v>
      </c>
      <c r="B274" s="158" t="str">
        <f t="shared" si="2"/>
        <v>5.24.7</v>
      </c>
      <c r="C274" s="151" t="s">
        <v>314</v>
      </c>
      <c r="D274" s="152" t="s">
        <v>653</v>
      </c>
      <c r="E274" s="156"/>
      <c r="F274" s="156"/>
      <c r="G274" s="150" t="s">
        <v>51</v>
      </c>
      <c r="H274" s="151" t="s">
        <v>187</v>
      </c>
      <c r="I274" s="155"/>
      <c r="J274" s="155"/>
      <c r="K274" s="155"/>
      <c r="L274" s="155"/>
      <c r="M274" s="155"/>
      <c r="N274" s="155"/>
      <c r="O274" s="157"/>
      <c r="P274" s="155"/>
    </row>
    <row r="275" outlineLevel="1">
      <c r="A275" s="150" t="s">
        <v>120</v>
      </c>
      <c r="B275" s="158" t="str">
        <f t="shared" si="2"/>
        <v>5.24.8</v>
      </c>
      <c r="C275" s="151" t="s">
        <v>314</v>
      </c>
      <c r="D275" s="152" t="s">
        <v>654</v>
      </c>
      <c r="E275" s="156"/>
      <c r="F275" s="156"/>
      <c r="G275" s="150" t="s">
        <v>51</v>
      </c>
      <c r="H275" s="151" t="s">
        <v>187</v>
      </c>
      <c r="I275" s="155"/>
      <c r="J275" s="155"/>
      <c r="K275" s="155"/>
      <c r="L275" s="155"/>
      <c r="M275" s="155"/>
      <c r="N275" s="155"/>
      <c r="O275" s="157"/>
      <c r="P275" s="155"/>
    </row>
    <row r="276">
      <c r="A276" s="150" t="s">
        <v>121</v>
      </c>
      <c r="B276" s="158" t="str">
        <f t="shared" si="2"/>
        <v>5.25.1</v>
      </c>
      <c r="C276" s="151" t="s">
        <v>315</v>
      </c>
      <c r="D276" s="152" t="s">
        <v>655</v>
      </c>
      <c r="E276" s="156"/>
      <c r="F276" s="156"/>
      <c r="G276" s="150" t="s">
        <v>51</v>
      </c>
      <c r="H276" s="151" t="s">
        <v>187</v>
      </c>
      <c r="I276" s="155"/>
      <c r="J276" s="155"/>
      <c r="K276" s="155"/>
      <c r="L276" s="155"/>
      <c r="M276" s="155"/>
      <c r="N276" s="155"/>
      <c r="O276" s="157"/>
      <c r="P276" s="155"/>
    </row>
    <row r="277" outlineLevel="1">
      <c r="A277" s="150" t="s">
        <v>121</v>
      </c>
      <c r="B277" s="158" t="str">
        <f t="shared" si="2"/>
        <v>5.25.2</v>
      </c>
      <c r="C277" s="151" t="s">
        <v>315</v>
      </c>
      <c r="D277" s="152" t="s">
        <v>656</v>
      </c>
      <c r="E277" s="156"/>
      <c r="F277" s="156"/>
      <c r="G277" s="150" t="s">
        <v>51</v>
      </c>
      <c r="H277" s="151" t="s">
        <v>187</v>
      </c>
      <c r="I277" s="155"/>
      <c r="J277" s="155"/>
      <c r="K277" s="155"/>
      <c r="L277" s="155"/>
      <c r="M277" s="155"/>
      <c r="N277" s="155"/>
      <c r="O277" s="157"/>
      <c r="P277" s="155"/>
    </row>
    <row r="278" outlineLevel="1">
      <c r="A278" s="150" t="s">
        <v>121</v>
      </c>
      <c r="B278" s="158" t="str">
        <f t="shared" si="2"/>
        <v>5.25.3</v>
      </c>
      <c r="C278" s="151" t="s">
        <v>315</v>
      </c>
      <c r="D278" s="152" t="s">
        <v>657</v>
      </c>
      <c r="E278" s="156"/>
      <c r="F278" s="156"/>
      <c r="G278" s="150" t="s">
        <v>51</v>
      </c>
      <c r="H278" s="151" t="s">
        <v>187</v>
      </c>
      <c r="I278" s="155"/>
      <c r="J278" s="155"/>
      <c r="K278" s="155"/>
      <c r="L278" s="155"/>
      <c r="M278" s="155"/>
      <c r="N278" s="155"/>
      <c r="O278" s="157"/>
      <c r="P278" s="155"/>
    </row>
    <row r="279" outlineLevel="1">
      <c r="A279" s="150" t="s">
        <v>121</v>
      </c>
      <c r="B279" s="158" t="str">
        <f t="shared" si="2"/>
        <v>5.25.4</v>
      </c>
      <c r="C279" s="151" t="s">
        <v>315</v>
      </c>
      <c r="D279" s="152" t="s">
        <v>658</v>
      </c>
      <c r="E279" s="156"/>
      <c r="F279" s="156"/>
      <c r="G279" s="150" t="s">
        <v>51</v>
      </c>
      <c r="H279" s="151" t="s">
        <v>187</v>
      </c>
      <c r="I279" s="155"/>
      <c r="J279" s="155"/>
      <c r="K279" s="155"/>
      <c r="L279" s="155"/>
      <c r="M279" s="155"/>
      <c r="N279" s="155"/>
      <c r="O279" s="157"/>
      <c r="P279" s="155"/>
    </row>
    <row r="280">
      <c r="A280" s="150" t="s">
        <v>122</v>
      </c>
      <c r="B280" s="158" t="str">
        <f t="shared" si="2"/>
        <v>5.26.1</v>
      </c>
      <c r="C280" s="151" t="s">
        <v>316</v>
      </c>
      <c r="D280" s="152" t="s">
        <v>647</v>
      </c>
      <c r="E280" s="156"/>
      <c r="F280" s="156"/>
      <c r="G280" s="150" t="s">
        <v>51</v>
      </c>
      <c r="H280" s="151" t="s">
        <v>187</v>
      </c>
      <c r="I280" s="155"/>
      <c r="J280" s="155"/>
      <c r="K280" s="155"/>
      <c r="L280" s="155"/>
      <c r="M280" s="155"/>
      <c r="N280" s="155"/>
      <c r="O280" s="157"/>
      <c r="P280" s="155"/>
    </row>
    <row r="281" outlineLevel="2">
      <c r="A281" s="150" t="s">
        <v>122</v>
      </c>
      <c r="B281" s="158" t="str">
        <f t="shared" si="2"/>
        <v>5.26.2</v>
      </c>
      <c r="C281" s="151" t="s">
        <v>316</v>
      </c>
      <c r="D281" s="152" t="s">
        <v>648</v>
      </c>
      <c r="E281" s="156"/>
      <c r="F281" s="156"/>
      <c r="G281" s="150" t="s">
        <v>51</v>
      </c>
      <c r="H281" s="151" t="s">
        <v>187</v>
      </c>
      <c r="I281" s="155"/>
      <c r="J281" s="155"/>
      <c r="K281" s="155"/>
      <c r="L281" s="155"/>
      <c r="M281" s="155"/>
      <c r="N281" s="155"/>
      <c r="O281" s="157"/>
      <c r="P281" s="155"/>
    </row>
    <row r="282" outlineLevel="2">
      <c r="A282" s="150" t="s">
        <v>122</v>
      </c>
      <c r="B282" s="158" t="str">
        <f t="shared" si="2"/>
        <v>5.26.3</v>
      </c>
      <c r="C282" s="151" t="s">
        <v>316</v>
      </c>
      <c r="D282" s="152" t="s">
        <v>649</v>
      </c>
      <c r="E282" s="156"/>
      <c r="F282" s="156"/>
      <c r="G282" s="150" t="s">
        <v>51</v>
      </c>
      <c r="H282" s="151" t="s">
        <v>187</v>
      </c>
      <c r="I282" s="155"/>
      <c r="J282" s="155"/>
      <c r="K282" s="155"/>
      <c r="L282" s="155"/>
      <c r="M282" s="155"/>
      <c r="N282" s="155"/>
      <c r="O282" s="157"/>
      <c r="P282" s="155"/>
    </row>
    <row r="283" outlineLevel="2">
      <c r="A283" s="150" t="s">
        <v>122</v>
      </c>
      <c r="B283" s="158" t="str">
        <f t="shared" si="2"/>
        <v>5.26.4</v>
      </c>
      <c r="C283" s="151" t="s">
        <v>316</v>
      </c>
      <c r="D283" s="152" t="s">
        <v>659</v>
      </c>
      <c r="E283" s="156"/>
      <c r="F283" s="156"/>
      <c r="G283" s="150" t="s">
        <v>51</v>
      </c>
      <c r="H283" s="151" t="s">
        <v>187</v>
      </c>
      <c r="I283" s="155"/>
      <c r="J283" s="155"/>
      <c r="K283" s="155"/>
      <c r="L283" s="155"/>
      <c r="M283" s="155"/>
      <c r="N283" s="155"/>
      <c r="O283" s="157"/>
      <c r="P283" s="155"/>
    </row>
    <row r="284" outlineLevel="2">
      <c r="A284" s="150" t="s">
        <v>122</v>
      </c>
      <c r="B284" s="158" t="str">
        <f t="shared" si="2"/>
        <v>5.26.5</v>
      </c>
      <c r="C284" s="151" t="s">
        <v>316</v>
      </c>
      <c r="D284" s="152" t="s">
        <v>651</v>
      </c>
      <c r="E284" s="156"/>
      <c r="F284" s="156"/>
      <c r="G284" s="150" t="s">
        <v>51</v>
      </c>
      <c r="H284" s="151" t="s">
        <v>187</v>
      </c>
      <c r="I284" s="155"/>
      <c r="J284" s="155"/>
      <c r="K284" s="155"/>
      <c r="L284" s="155"/>
      <c r="M284" s="155"/>
      <c r="N284" s="155"/>
      <c r="O284" s="157"/>
      <c r="P284" s="155"/>
    </row>
    <row r="285" outlineLevel="2">
      <c r="A285" s="150" t="s">
        <v>122</v>
      </c>
      <c r="B285" s="158" t="str">
        <f t="shared" si="2"/>
        <v>5.26.6</v>
      </c>
      <c r="C285" s="151" t="s">
        <v>316</v>
      </c>
      <c r="D285" s="152" t="s">
        <v>652</v>
      </c>
      <c r="E285" s="156"/>
      <c r="F285" s="156"/>
      <c r="G285" s="150" t="s">
        <v>51</v>
      </c>
      <c r="H285" s="151" t="s">
        <v>187</v>
      </c>
      <c r="I285" s="155"/>
      <c r="J285" s="155"/>
      <c r="K285" s="155"/>
      <c r="L285" s="155"/>
      <c r="M285" s="155"/>
      <c r="N285" s="155"/>
      <c r="O285" s="157"/>
      <c r="P285" s="155"/>
    </row>
    <row r="286" outlineLevel="2">
      <c r="A286" s="150" t="s">
        <v>122</v>
      </c>
      <c r="B286" s="158" t="str">
        <f t="shared" si="2"/>
        <v>5.26.7</v>
      </c>
      <c r="C286" s="151" t="s">
        <v>316</v>
      </c>
      <c r="D286" s="152" t="s">
        <v>653</v>
      </c>
      <c r="E286" s="156"/>
      <c r="F286" s="156"/>
      <c r="G286" s="150" t="s">
        <v>51</v>
      </c>
      <c r="H286" s="151" t="s">
        <v>187</v>
      </c>
      <c r="I286" s="155"/>
      <c r="J286" s="155"/>
      <c r="K286" s="155"/>
      <c r="L286" s="155"/>
      <c r="M286" s="155"/>
      <c r="N286" s="155"/>
      <c r="O286" s="157"/>
      <c r="P286" s="155"/>
    </row>
    <row r="287" outlineLevel="2">
      <c r="A287" s="150" t="s">
        <v>122</v>
      </c>
      <c r="B287" s="158" t="str">
        <f t="shared" si="2"/>
        <v>5.26.8</v>
      </c>
      <c r="C287" s="151" t="s">
        <v>316</v>
      </c>
      <c r="D287" s="152" t="s">
        <v>654</v>
      </c>
      <c r="E287" s="156"/>
      <c r="F287" s="156"/>
      <c r="G287" s="150" t="s">
        <v>51</v>
      </c>
      <c r="H287" s="151" t="s">
        <v>187</v>
      </c>
      <c r="I287" s="155"/>
      <c r="J287" s="155"/>
      <c r="K287" s="155"/>
      <c r="L287" s="155"/>
      <c r="M287" s="155"/>
      <c r="N287" s="155"/>
      <c r="O287" s="157"/>
      <c r="P287" s="155"/>
    </row>
    <row r="288">
      <c r="A288" s="150" t="s">
        <v>123</v>
      </c>
      <c r="B288" s="158" t="str">
        <f t="shared" si="2"/>
        <v>5.27.1</v>
      </c>
      <c r="C288" s="151" t="s">
        <v>317</v>
      </c>
      <c r="D288" s="152" t="s">
        <v>660</v>
      </c>
      <c r="E288" s="156"/>
      <c r="F288" s="156"/>
      <c r="G288" s="150" t="s">
        <v>51</v>
      </c>
      <c r="H288" s="151" t="s">
        <v>187</v>
      </c>
      <c r="I288" s="155"/>
      <c r="J288" s="155"/>
      <c r="K288" s="155"/>
      <c r="L288" s="155"/>
      <c r="M288" s="155"/>
      <c r="N288" s="155"/>
      <c r="O288" s="157"/>
      <c r="P288" s="155"/>
    </row>
    <row r="289" outlineLevel="1">
      <c r="A289" s="150" t="s">
        <v>123</v>
      </c>
      <c r="B289" s="158" t="str">
        <f t="shared" si="2"/>
        <v>5.27.2</v>
      </c>
      <c r="C289" s="151" t="s">
        <v>317</v>
      </c>
      <c r="D289" s="152" t="s">
        <v>661</v>
      </c>
      <c r="E289" s="156"/>
      <c r="F289" s="156"/>
      <c r="G289" s="150" t="s">
        <v>51</v>
      </c>
      <c r="H289" s="151" t="s">
        <v>187</v>
      </c>
      <c r="I289" s="155"/>
      <c r="J289" s="155"/>
      <c r="K289" s="155"/>
      <c r="L289" s="155"/>
      <c r="M289" s="155"/>
      <c r="N289" s="155"/>
      <c r="O289" s="157"/>
      <c r="P289" s="155"/>
    </row>
    <row r="290" outlineLevel="1">
      <c r="A290" s="150" t="s">
        <v>123</v>
      </c>
      <c r="B290" s="158" t="str">
        <f t="shared" si="2"/>
        <v>5.27.3</v>
      </c>
      <c r="C290" s="151" t="s">
        <v>317</v>
      </c>
      <c r="D290" s="152" t="s">
        <v>662</v>
      </c>
      <c r="E290" s="156"/>
      <c r="F290" s="156"/>
      <c r="G290" s="150" t="s">
        <v>51</v>
      </c>
      <c r="H290" s="151" t="s">
        <v>187</v>
      </c>
      <c r="I290" s="155"/>
      <c r="J290" s="155"/>
      <c r="K290" s="155"/>
      <c r="L290" s="155"/>
      <c r="M290" s="155"/>
      <c r="N290" s="155"/>
      <c r="O290" s="157"/>
      <c r="P290" s="155"/>
    </row>
    <row r="291" outlineLevel="1">
      <c r="A291" s="150" t="s">
        <v>123</v>
      </c>
      <c r="B291" s="158" t="str">
        <f t="shared" si="2"/>
        <v>5.27.4</v>
      </c>
      <c r="C291" s="151" t="s">
        <v>317</v>
      </c>
      <c r="D291" s="152" t="s">
        <v>663</v>
      </c>
      <c r="E291" s="156"/>
      <c r="F291" s="156"/>
      <c r="G291" s="150" t="s">
        <v>51</v>
      </c>
      <c r="H291" s="151" t="s">
        <v>187</v>
      </c>
      <c r="I291" s="155"/>
      <c r="J291" s="155"/>
      <c r="K291" s="155"/>
      <c r="L291" s="155"/>
      <c r="M291" s="155"/>
      <c r="N291" s="155"/>
      <c r="O291" s="157"/>
      <c r="P291" s="155"/>
    </row>
    <row r="292">
      <c r="A292" s="150" t="s">
        <v>124</v>
      </c>
      <c r="B292" s="158" t="str">
        <f t="shared" si="2"/>
        <v>5.28.1</v>
      </c>
      <c r="C292" s="151" t="s">
        <v>318</v>
      </c>
      <c r="D292" s="152" t="s">
        <v>664</v>
      </c>
      <c r="E292" s="156"/>
      <c r="F292" s="156"/>
      <c r="G292" s="150" t="s">
        <v>63</v>
      </c>
      <c r="H292" s="151" t="s">
        <v>187</v>
      </c>
      <c r="I292" s="155"/>
      <c r="J292" s="155"/>
      <c r="K292" s="155"/>
      <c r="L292" s="155"/>
      <c r="M292" s="155"/>
      <c r="N292" s="155"/>
      <c r="O292" s="157"/>
      <c r="P292" s="155"/>
    </row>
    <row r="293" outlineLevel="1">
      <c r="A293" s="150" t="s">
        <v>124</v>
      </c>
      <c r="B293" s="158" t="str">
        <f t="shared" si="2"/>
        <v>5.28.2</v>
      </c>
      <c r="C293" s="151" t="s">
        <v>318</v>
      </c>
      <c r="D293" s="152" t="s">
        <v>665</v>
      </c>
      <c r="E293" s="156"/>
      <c r="F293" s="156"/>
      <c r="G293" s="150" t="s">
        <v>63</v>
      </c>
      <c r="H293" s="151" t="s">
        <v>187</v>
      </c>
      <c r="I293" s="155"/>
      <c r="J293" s="155"/>
      <c r="K293" s="155"/>
      <c r="L293" s="155"/>
      <c r="M293" s="155"/>
      <c r="N293" s="155"/>
      <c r="O293" s="157"/>
      <c r="P293" s="155"/>
    </row>
    <row r="294" outlineLevel="1">
      <c r="A294" s="150" t="s">
        <v>124</v>
      </c>
      <c r="B294" s="158" t="str">
        <f t="shared" si="2"/>
        <v>5.28.3</v>
      </c>
      <c r="C294" s="151" t="s">
        <v>318</v>
      </c>
      <c r="D294" s="152" t="s">
        <v>666</v>
      </c>
      <c r="E294" s="156"/>
      <c r="F294" s="156"/>
      <c r="G294" s="150" t="s">
        <v>63</v>
      </c>
      <c r="H294" s="151" t="s">
        <v>187</v>
      </c>
      <c r="I294" s="155"/>
      <c r="J294" s="155"/>
      <c r="K294" s="155"/>
      <c r="L294" s="155"/>
      <c r="M294" s="155"/>
      <c r="N294" s="155"/>
      <c r="O294" s="157"/>
      <c r="P294" s="155"/>
    </row>
    <row r="295" outlineLevel="1">
      <c r="A295" s="150" t="s">
        <v>124</v>
      </c>
      <c r="B295" s="158" t="str">
        <f t="shared" si="2"/>
        <v>5.28.4</v>
      </c>
      <c r="C295" s="151" t="s">
        <v>318</v>
      </c>
      <c r="D295" s="152" t="s">
        <v>667</v>
      </c>
      <c r="E295" s="156"/>
      <c r="F295" s="156"/>
      <c r="G295" s="150" t="s">
        <v>63</v>
      </c>
      <c r="H295" s="151" t="s">
        <v>187</v>
      </c>
      <c r="I295" s="155"/>
      <c r="J295" s="155"/>
      <c r="K295" s="155"/>
      <c r="L295" s="155"/>
      <c r="M295" s="155"/>
      <c r="N295" s="155"/>
      <c r="O295" s="157"/>
      <c r="P295" s="155"/>
    </row>
    <row r="296" outlineLevel="1">
      <c r="A296" s="150" t="s">
        <v>124</v>
      </c>
      <c r="B296" s="158" t="str">
        <f t="shared" si="2"/>
        <v>5.28.5</v>
      </c>
      <c r="C296" s="151" t="s">
        <v>318</v>
      </c>
      <c r="D296" s="152" t="s">
        <v>668</v>
      </c>
      <c r="E296" s="156"/>
      <c r="F296" s="156"/>
      <c r="G296" s="150" t="s">
        <v>63</v>
      </c>
      <c r="H296" s="151" t="s">
        <v>187</v>
      </c>
      <c r="I296" s="155"/>
      <c r="J296" s="155"/>
      <c r="K296" s="155"/>
      <c r="L296" s="155"/>
      <c r="M296" s="155"/>
      <c r="N296" s="155"/>
      <c r="O296" s="157"/>
      <c r="P296" s="155"/>
    </row>
    <row r="297" outlineLevel="1">
      <c r="A297" s="150" t="s">
        <v>124</v>
      </c>
      <c r="B297" s="158" t="str">
        <f t="shared" si="2"/>
        <v>5.28.6</v>
      </c>
      <c r="C297" s="151" t="s">
        <v>318</v>
      </c>
      <c r="D297" s="152" t="s">
        <v>669</v>
      </c>
      <c r="E297" s="156"/>
      <c r="F297" s="156"/>
      <c r="G297" s="150" t="s">
        <v>63</v>
      </c>
      <c r="H297" s="151" t="s">
        <v>187</v>
      </c>
      <c r="I297" s="155"/>
      <c r="J297" s="155"/>
      <c r="K297" s="155"/>
      <c r="L297" s="155"/>
      <c r="M297" s="155"/>
      <c r="N297" s="155"/>
      <c r="O297" s="157"/>
      <c r="P297" s="155"/>
    </row>
    <row r="298">
      <c r="A298" s="150" t="s">
        <v>125</v>
      </c>
      <c r="B298" s="158" t="str">
        <f t="shared" si="2"/>
        <v>5.29.1</v>
      </c>
      <c r="C298" s="151" t="s">
        <v>319</v>
      </c>
      <c r="D298" s="152" t="s">
        <v>670</v>
      </c>
      <c r="E298" s="156"/>
      <c r="F298" s="156"/>
      <c r="G298" s="150" t="s">
        <v>63</v>
      </c>
      <c r="H298" s="151" t="s">
        <v>187</v>
      </c>
      <c r="I298" s="155"/>
      <c r="J298" s="155"/>
      <c r="K298" s="155"/>
      <c r="L298" s="155"/>
      <c r="M298" s="155"/>
      <c r="N298" s="155"/>
      <c r="O298" s="157"/>
      <c r="P298" s="155"/>
    </row>
    <row r="299" outlineLevel="1">
      <c r="A299" s="150" t="s">
        <v>125</v>
      </c>
      <c r="B299" s="158" t="str">
        <f t="shared" si="2"/>
        <v>5.29.2</v>
      </c>
      <c r="C299" s="151" t="s">
        <v>319</v>
      </c>
      <c r="D299" s="152" t="s">
        <v>671</v>
      </c>
      <c r="E299" s="156"/>
      <c r="F299" s="156"/>
      <c r="G299" s="150" t="s">
        <v>63</v>
      </c>
      <c r="H299" s="151" t="s">
        <v>187</v>
      </c>
      <c r="I299" s="155"/>
      <c r="J299" s="155"/>
      <c r="K299" s="155"/>
      <c r="L299" s="155"/>
      <c r="M299" s="155"/>
      <c r="N299" s="155"/>
      <c r="O299" s="157"/>
      <c r="P299" s="155"/>
    </row>
    <row r="300" outlineLevel="1">
      <c r="A300" s="150" t="s">
        <v>125</v>
      </c>
      <c r="B300" s="158" t="str">
        <f t="shared" si="2"/>
        <v>5.29.3</v>
      </c>
      <c r="C300" s="151" t="s">
        <v>319</v>
      </c>
      <c r="D300" s="152" t="s">
        <v>672</v>
      </c>
      <c r="E300" s="156"/>
      <c r="F300" s="156"/>
      <c r="G300" s="150" t="s">
        <v>63</v>
      </c>
      <c r="H300" s="151" t="s">
        <v>187</v>
      </c>
      <c r="I300" s="155"/>
      <c r="J300" s="155"/>
      <c r="K300" s="155"/>
      <c r="L300" s="155"/>
      <c r="M300" s="155"/>
      <c r="N300" s="155"/>
      <c r="O300" s="157"/>
      <c r="P300" s="155"/>
    </row>
    <row r="301" outlineLevel="1">
      <c r="A301" s="150" t="s">
        <v>125</v>
      </c>
      <c r="B301" s="158" t="str">
        <f t="shared" si="2"/>
        <v>5.29.4</v>
      </c>
      <c r="C301" s="151" t="s">
        <v>319</v>
      </c>
      <c r="D301" s="152" t="s">
        <v>673</v>
      </c>
      <c r="E301" s="156"/>
      <c r="F301" s="156"/>
      <c r="G301" s="150" t="s">
        <v>63</v>
      </c>
      <c r="H301" s="151" t="s">
        <v>187</v>
      </c>
      <c r="I301" s="155"/>
      <c r="J301" s="155"/>
      <c r="K301" s="155"/>
      <c r="L301" s="155"/>
      <c r="M301" s="155"/>
      <c r="N301" s="155"/>
      <c r="O301" s="157"/>
      <c r="P301" s="155"/>
    </row>
    <row r="302" outlineLevel="1">
      <c r="A302" s="150" t="s">
        <v>125</v>
      </c>
      <c r="B302" s="158" t="str">
        <f t="shared" si="2"/>
        <v>5.29.5</v>
      </c>
      <c r="C302" s="151" t="s">
        <v>319</v>
      </c>
      <c r="D302" s="152" t="s">
        <v>674</v>
      </c>
      <c r="E302" s="156"/>
      <c r="F302" s="156"/>
      <c r="G302" s="150" t="s">
        <v>63</v>
      </c>
      <c r="H302" s="151" t="s">
        <v>187</v>
      </c>
      <c r="I302" s="155"/>
      <c r="J302" s="155"/>
      <c r="K302" s="155"/>
      <c r="L302" s="155"/>
      <c r="M302" s="155"/>
      <c r="N302" s="155"/>
      <c r="O302" s="157"/>
      <c r="P302" s="155"/>
    </row>
    <row r="303" ht="15.75" customHeight="1">
      <c r="A303" s="150" t="s">
        <v>126</v>
      </c>
      <c r="B303" s="158" t="str">
        <f t="shared" si="2"/>
        <v>5.30.1</v>
      </c>
      <c r="C303" s="151" t="s">
        <v>320</v>
      </c>
      <c r="D303" s="152" t="s">
        <v>675</v>
      </c>
      <c r="E303" s="156"/>
      <c r="F303" s="156"/>
      <c r="G303" s="150" t="s">
        <v>63</v>
      </c>
      <c r="H303" s="151" t="s">
        <v>187</v>
      </c>
      <c r="I303" s="155"/>
      <c r="J303" s="155"/>
      <c r="K303" s="155"/>
      <c r="L303" s="155"/>
      <c r="M303" s="155"/>
      <c r="N303" s="155"/>
      <c r="O303" s="157"/>
      <c r="P303" s="155"/>
    </row>
    <row r="304" outlineLevel="1">
      <c r="A304" s="150" t="s">
        <v>126</v>
      </c>
      <c r="B304" s="158" t="str">
        <f t="shared" si="2"/>
        <v>5.30.2</v>
      </c>
      <c r="C304" s="151" t="s">
        <v>320</v>
      </c>
      <c r="D304" s="152" t="s">
        <v>676</v>
      </c>
      <c r="E304" s="156"/>
      <c r="F304" s="156"/>
      <c r="G304" s="150" t="s">
        <v>63</v>
      </c>
      <c r="H304" s="151" t="s">
        <v>187</v>
      </c>
      <c r="I304" s="155"/>
      <c r="J304" s="155"/>
      <c r="K304" s="155"/>
      <c r="L304" s="155"/>
      <c r="M304" s="155"/>
      <c r="N304" s="155"/>
      <c r="O304" s="157"/>
      <c r="P304" s="155"/>
    </row>
    <row r="305" outlineLevel="1">
      <c r="A305" s="150" t="s">
        <v>126</v>
      </c>
      <c r="B305" s="158" t="str">
        <f t="shared" si="2"/>
        <v>5.30.3</v>
      </c>
      <c r="C305" s="151" t="s">
        <v>320</v>
      </c>
      <c r="D305" s="152" t="s">
        <v>677</v>
      </c>
      <c r="E305" s="156"/>
      <c r="F305" s="156"/>
      <c r="G305" s="150" t="s">
        <v>63</v>
      </c>
      <c r="H305" s="151" t="s">
        <v>187</v>
      </c>
      <c r="I305" s="155"/>
      <c r="J305" s="155"/>
      <c r="K305" s="155"/>
      <c r="L305" s="155"/>
      <c r="M305" s="155"/>
      <c r="N305" s="155"/>
      <c r="O305" s="157"/>
      <c r="P305" s="155"/>
    </row>
    <row r="306" outlineLevel="1">
      <c r="A306" s="150" t="s">
        <v>126</v>
      </c>
      <c r="B306" s="158" t="str">
        <f t="shared" si="2"/>
        <v>5.30.4</v>
      </c>
      <c r="C306" s="151" t="s">
        <v>320</v>
      </c>
      <c r="D306" s="152" t="s">
        <v>678</v>
      </c>
      <c r="E306" s="156"/>
      <c r="F306" s="156"/>
      <c r="G306" s="150" t="s">
        <v>63</v>
      </c>
      <c r="H306" s="151" t="s">
        <v>187</v>
      </c>
      <c r="I306" s="155"/>
      <c r="J306" s="155"/>
      <c r="K306" s="155"/>
      <c r="L306" s="155"/>
      <c r="M306" s="155"/>
      <c r="N306" s="155"/>
      <c r="O306" s="157"/>
      <c r="P306" s="155"/>
    </row>
    <row r="307" outlineLevel="1">
      <c r="A307" s="150" t="s">
        <v>126</v>
      </c>
      <c r="B307" s="158" t="str">
        <f t="shared" si="2"/>
        <v>5.30.5</v>
      </c>
      <c r="C307" s="151" t="s">
        <v>320</v>
      </c>
      <c r="D307" s="152" t="s">
        <v>679</v>
      </c>
      <c r="E307" s="156"/>
      <c r="F307" s="156"/>
      <c r="G307" s="150" t="s">
        <v>63</v>
      </c>
      <c r="H307" s="151" t="s">
        <v>187</v>
      </c>
      <c r="I307" s="155"/>
      <c r="J307" s="155"/>
      <c r="K307" s="155"/>
      <c r="L307" s="155"/>
      <c r="M307" s="155"/>
      <c r="N307" s="155"/>
      <c r="O307" s="157"/>
      <c r="P307" s="155"/>
    </row>
    <row r="308" outlineLevel="1">
      <c r="A308" s="150" t="s">
        <v>126</v>
      </c>
      <c r="B308" s="158" t="str">
        <f t="shared" si="2"/>
        <v>5.30.6</v>
      </c>
      <c r="C308" s="151" t="s">
        <v>320</v>
      </c>
      <c r="D308" s="152" t="s">
        <v>680</v>
      </c>
      <c r="E308" s="156"/>
      <c r="F308" s="156"/>
      <c r="G308" s="150" t="s">
        <v>63</v>
      </c>
      <c r="H308" s="151" t="s">
        <v>187</v>
      </c>
      <c r="I308" s="155"/>
      <c r="J308" s="155"/>
      <c r="K308" s="155"/>
      <c r="L308" s="155"/>
      <c r="M308" s="155"/>
      <c r="N308" s="155"/>
      <c r="O308" s="157"/>
      <c r="P308" s="155"/>
    </row>
    <row r="309">
      <c r="A309" s="150" t="s">
        <v>127</v>
      </c>
      <c r="B309" s="158" t="str">
        <f t="shared" si="2"/>
        <v>5.31.1</v>
      </c>
      <c r="C309" s="151" t="s">
        <v>321</v>
      </c>
      <c r="D309" s="152" t="s">
        <v>681</v>
      </c>
      <c r="E309" s="156"/>
      <c r="F309" s="156"/>
      <c r="G309" s="150" t="s">
        <v>65</v>
      </c>
      <c r="H309" s="151" t="s">
        <v>187</v>
      </c>
      <c r="I309" s="155"/>
      <c r="J309" s="155"/>
      <c r="K309" s="155"/>
      <c r="L309" s="155"/>
      <c r="M309" s="155"/>
      <c r="N309" s="155"/>
      <c r="O309" s="157"/>
      <c r="P309" s="155"/>
    </row>
    <row r="310" outlineLevel="1">
      <c r="A310" s="150" t="s">
        <v>127</v>
      </c>
      <c r="B310" s="158" t="str">
        <f t="shared" si="2"/>
        <v>5.31.2</v>
      </c>
      <c r="C310" s="151" t="s">
        <v>321</v>
      </c>
      <c r="D310" s="152" t="s">
        <v>682</v>
      </c>
      <c r="E310" s="156"/>
      <c r="F310" s="156"/>
      <c r="G310" s="150" t="s">
        <v>65</v>
      </c>
      <c r="H310" s="151" t="s">
        <v>187</v>
      </c>
      <c r="I310" s="155"/>
      <c r="J310" s="155"/>
      <c r="K310" s="155"/>
      <c r="L310" s="155"/>
      <c r="M310" s="155"/>
      <c r="N310" s="155"/>
      <c r="O310" s="157"/>
      <c r="P310" s="155"/>
    </row>
    <row r="311" outlineLevel="1">
      <c r="A311" s="150" t="s">
        <v>127</v>
      </c>
      <c r="B311" s="158" t="str">
        <f t="shared" si="2"/>
        <v>5.31.3</v>
      </c>
      <c r="C311" s="151" t="s">
        <v>321</v>
      </c>
      <c r="D311" s="152" t="s">
        <v>683</v>
      </c>
      <c r="E311" s="156"/>
      <c r="F311" s="156"/>
      <c r="G311" s="150" t="s">
        <v>65</v>
      </c>
      <c r="H311" s="151" t="s">
        <v>187</v>
      </c>
      <c r="I311" s="155"/>
      <c r="J311" s="155"/>
      <c r="K311" s="155"/>
      <c r="L311" s="155"/>
      <c r="M311" s="155"/>
      <c r="N311" s="155"/>
      <c r="O311" s="157"/>
      <c r="P311" s="155"/>
    </row>
    <row r="312" outlineLevel="1">
      <c r="A312" s="150" t="s">
        <v>127</v>
      </c>
      <c r="B312" s="158" t="str">
        <f t="shared" si="2"/>
        <v>5.31.4</v>
      </c>
      <c r="C312" s="151" t="s">
        <v>321</v>
      </c>
      <c r="D312" s="152" t="s">
        <v>684</v>
      </c>
      <c r="E312" s="156"/>
      <c r="F312" s="156"/>
      <c r="G312" s="150" t="s">
        <v>65</v>
      </c>
      <c r="H312" s="151" t="s">
        <v>187</v>
      </c>
      <c r="I312" s="155"/>
      <c r="J312" s="155"/>
      <c r="K312" s="155"/>
      <c r="L312" s="155"/>
      <c r="M312" s="155"/>
      <c r="N312" s="155"/>
      <c r="O312" s="157"/>
      <c r="P312" s="155"/>
    </row>
    <row r="313" outlineLevel="1">
      <c r="A313" s="150" t="s">
        <v>127</v>
      </c>
      <c r="B313" s="158" t="str">
        <f t="shared" si="2"/>
        <v>5.31.5</v>
      </c>
      <c r="C313" s="151" t="s">
        <v>321</v>
      </c>
      <c r="D313" s="152" t="s">
        <v>685</v>
      </c>
      <c r="E313" s="156"/>
      <c r="F313" s="156"/>
      <c r="G313" s="150" t="s">
        <v>65</v>
      </c>
      <c r="H313" s="151" t="s">
        <v>187</v>
      </c>
      <c r="I313" s="155"/>
      <c r="J313" s="155"/>
      <c r="K313" s="155"/>
      <c r="L313" s="155"/>
      <c r="M313" s="155"/>
      <c r="N313" s="155"/>
      <c r="O313" s="157"/>
      <c r="P313" s="155"/>
    </row>
    <row r="314">
      <c r="A314" s="150" t="s">
        <v>128</v>
      </c>
      <c r="B314" s="158" t="str">
        <f t="shared" si="2"/>
        <v>5.32.1</v>
      </c>
      <c r="C314" s="151" t="s">
        <v>322</v>
      </c>
      <c r="D314" s="152" t="s">
        <v>686</v>
      </c>
      <c r="E314" s="156"/>
      <c r="F314" s="156"/>
      <c r="G314" s="150" t="s">
        <v>190</v>
      </c>
      <c r="H314" s="151" t="s">
        <v>187</v>
      </c>
      <c r="I314" s="155"/>
      <c r="J314" s="155"/>
      <c r="K314" s="155"/>
      <c r="L314" s="155"/>
      <c r="M314" s="155"/>
      <c r="N314" s="155"/>
      <c r="O314" s="157"/>
      <c r="P314" s="155"/>
    </row>
    <row r="315" outlineLevel="1">
      <c r="A315" s="150" t="s">
        <v>128</v>
      </c>
      <c r="B315" s="158" t="str">
        <f t="shared" si="2"/>
        <v>5.32.2</v>
      </c>
      <c r="C315" s="151" t="s">
        <v>322</v>
      </c>
      <c r="D315" s="152" t="s">
        <v>687</v>
      </c>
      <c r="E315" s="156"/>
      <c r="F315" s="156"/>
      <c r="G315" s="150" t="s">
        <v>190</v>
      </c>
      <c r="H315" s="151" t="s">
        <v>187</v>
      </c>
      <c r="I315" s="155"/>
      <c r="J315" s="155"/>
      <c r="K315" s="155"/>
      <c r="L315" s="155"/>
      <c r="M315" s="155"/>
      <c r="N315" s="155"/>
      <c r="O315" s="157"/>
      <c r="P315" s="155"/>
    </row>
    <row r="316" outlineLevel="1">
      <c r="A316" s="150" t="s">
        <v>128</v>
      </c>
      <c r="B316" s="158" t="str">
        <f t="shared" si="2"/>
        <v>5.32.3</v>
      </c>
      <c r="C316" s="151" t="s">
        <v>322</v>
      </c>
      <c r="D316" s="152" t="s">
        <v>688</v>
      </c>
      <c r="E316" s="156"/>
      <c r="F316" s="156"/>
      <c r="G316" s="150" t="s">
        <v>190</v>
      </c>
      <c r="H316" s="151" t="s">
        <v>187</v>
      </c>
      <c r="I316" s="155"/>
      <c r="J316" s="155"/>
      <c r="K316" s="155"/>
      <c r="L316" s="155"/>
      <c r="M316" s="155"/>
      <c r="N316" s="155"/>
      <c r="O316" s="157"/>
      <c r="P316" s="155"/>
    </row>
    <row r="317" outlineLevel="1">
      <c r="A317" s="150" t="s">
        <v>128</v>
      </c>
      <c r="B317" s="158" t="str">
        <f t="shared" si="2"/>
        <v>5.32.4</v>
      </c>
      <c r="C317" s="151" t="s">
        <v>322</v>
      </c>
      <c r="D317" s="152" t="s">
        <v>689</v>
      </c>
      <c r="E317" s="156"/>
      <c r="F317" s="156"/>
      <c r="G317" s="150" t="s">
        <v>190</v>
      </c>
      <c r="H317" s="151" t="s">
        <v>187</v>
      </c>
      <c r="I317" s="155"/>
      <c r="J317" s="155"/>
      <c r="K317" s="155"/>
      <c r="L317" s="155"/>
      <c r="M317" s="155"/>
      <c r="N317" s="155"/>
      <c r="O317" s="157"/>
      <c r="P317" s="155"/>
    </row>
    <row r="318" outlineLevel="1">
      <c r="A318" s="150" t="s">
        <v>128</v>
      </c>
      <c r="B318" s="158" t="str">
        <f t="shared" si="2"/>
        <v>5.32.5</v>
      </c>
      <c r="C318" s="151" t="s">
        <v>322</v>
      </c>
      <c r="D318" s="152" t="s">
        <v>690</v>
      </c>
      <c r="E318" s="156"/>
      <c r="F318" s="156"/>
      <c r="G318" s="150" t="s">
        <v>190</v>
      </c>
      <c r="H318" s="151" t="s">
        <v>187</v>
      </c>
      <c r="I318" s="155"/>
      <c r="J318" s="155"/>
      <c r="K318" s="155"/>
      <c r="L318" s="155"/>
      <c r="M318" s="155"/>
      <c r="N318" s="155"/>
      <c r="O318" s="157"/>
      <c r="P318" s="155"/>
    </row>
    <row r="319" outlineLevel="1">
      <c r="A319" s="150" t="s">
        <v>128</v>
      </c>
      <c r="B319" s="158" t="str">
        <f t="shared" si="2"/>
        <v>5.32.6</v>
      </c>
      <c r="C319" s="151" t="s">
        <v>322</v>
      </c>
      <c r="D319" s="152" t="s">
        <v>691</v>
      </c>
      <c r="E319" s="156"/>
      <c r="F319" s="156"/>
      <c r="G319" s="150" t="s">
        <v>190</v>
      </c>
      <c r="H319" s="151" t="s">
        <v>187</v>
      </c>
      <c r="I319" s="155"/>
      <c r="J319" s="155"/>
      <c r="K319" s="155"/>
      <c r="L319" s="155"/>
      <c r="M319" s="155"/>
      <c r="N319" s="155"/>
      <c r="O319" s="157"/>
      <c r="P319" s="155"/>
    </row>
    <row r="320" outlineLevel="1">
      <c r="A320" s="150" t="s">
        <v>128</v>
      </c>
      <c r="B320" s="158" t="str">
        <f t="shared" si="2"/>
        <v>5.32.7</v>
      </c>
      <c r="C320" s="151" t="s">
        <v>322</v>
      </c>
      <c r="D320" s="152" t="s">
        <v>692</v>
      </c>
      <c r="E320" s="156"/>
      <c r="F320" s="156"/>
      <c r="G320" s="150" t="s">
        <v>190</v>
      </c>
      <c r="H320" s="151" t="s">
        <v>187</v>
      </c>
      <c r="I320" s="155"/>
      <c r="J320" s="155"/>
      <c r="K320" s="155"/>
      <c r="L320" s="155"/>
      <c r="M320" s="155"/>
      <c r="N320" s="155"/>
      <c r="O320" s="157"/>
      <c r="P320" s="155"/>
    </row>
    <row r="321">
      <c r="A321" s="150" t="s">
        <v>129</v>
      </c>
      <c r="B321" s="158" t="str">
        <f t="shared" si="2"/>
        <v>5.33.1</v>
      </c>
      <c r="C321" s="151" t="s">
        <v>323</v>
      </c>
      <c r="D321" s="152" t="s">
        <v>693</v>
      </c>
      <c r="E321" s="156"/>
      <c r="F321" s="156"/>
      <c r="G321" s="150" t="s">
        <v>190</v>
      </c>
      <c r="H321" s="151" t="s">
        <v>187</v>
      </c>
      <c r="I321" s="155"/>
      <c r="J321" s="155"/>
      <c r="K321" s="155"/>
      <c r="L321" s="155"/>
      <c r="M321" s="155"/>
      <c r="N321" s="155"/>
      <c r="O321" s="157"/>
      <c r="P321" s="155"/>
    </row>
    <row r="322" outlineLevel="1">
      <c r="A322" s="150" t="s">
        <v>129</v>
      </c>
      <c r="B322" s="158" t="str">
        <f t="shared" si="2"/>
        <v>5.33.2</v>
      </c>
      <c r="C322" s="151" t="s">
        <v>323</v>
      </c>
      <c r="D322" s="152" t="s">
        <v>694</v>
      </c>
      <c r="E322" s="156"/>
      <c r="F322" s="156"/>
      <c r="G322" s="150" t="s">
        <v>190</v>
      </c>
      <c r="H322" s="151" t="s">
        <v>187</v>
      </c>
      <c r="I322" s="155"/>
      <c r="J322" s="155"/>
      <c r="K322" s="155"/>
      <c r="L322" s="155"/>
      <c r="M322" s="155"/>
      <c r="N322" s="155"/>
      <c r="O322" s="157"/>
      <c r="P322" s="155"/>
    </row>
    <row r="323" outlineLevel="1">
      <c r="A323" s="150" t="s">
        <v>129</v>
      </c>
      <c r="B323" s="158" t="str">
        <f t="shared" si="2"/>
        <v>5.33.3</v>
      </c>
      <c r="C323" s="151" t="s">
        <v>323</v>
      </c>
      <c r="D323" s="152" t="s">
        <v>695</v>
      </c>
      <c r="E323" s="156"/>
      <c r="F323" s="156"/>
      <c r="G323" s="150" t="s">
        <v>190</v>
      </c>
      <c r="H323" s="151" t="s">
        <v>187</v>
      </c>
      <c r="I323" s="155"/>
      <c r="J323" s="155"/>
      <c r="K323" s="155"/>
      <c r="L323" s="155"/>
      <c r="M323" s="155"/>
      <c r="N323" s="155"/>
      <c r="O323" s="157"/>
      <c r="P323" s="155"/>
    </row>
    <row r="324" outlineLevel="1">
      <c r="A324" s="150" t="s">
        <v>129</v>
      </c>
      <c r="B324" s="158" t="str">
        <f t="shared" si="2"/>
        <v>5.33.4</v>
      </c>
      <c r="C324" s="151" t="s">
        <v>323</v>
      </c>
      <c r="D324" s="152" t="s">
        <v>696</v>
      </c>
      <c r="E324" s="156"/>
      <c r="F324" s="156"/>
      <c r="G324" s="150" t="s">
        <v>190</v>
      </c>
      <c r="H324" s="151" t="s">
        <v>187</v>
      </c>
      <c r="I324" s="155"/>
      <c r="J324" s="155"/>
      <c r="K324" s="155"/>
      <c r="L324" s="155"/>
      <c r="M324" s="155"/>
      <c r="N324" s="155"/>
      <c r="O324" s="157"/>
      <c r="P324" s="155"/>
    </row>
    <row r="325" outlineLevel="1">
      <c r="A325" s="150" t="s">
        <v>129</v>
      </c>
      <c r="B325" s="158" t="str">
        <f t="shared" si="2"/>
        <v>5.33.5</v>
      </c>
      <c r="C325" s="151" t="s">
        <v>323</v>
      </c>
      <c r="D325" s="152" t="s">
        <v>663</v>
      </c>
      <c r="E325" s="156"/>
      <c r="F325" s="156"/>
      <c r="G325" s="150" t="s">
        <v>190</v>
      </c>
      <c r="H325" s="151" t="s">
        <v>187</v>
      </c>
      <c r="I325" s="155"/>
      <c r="J325" s="155"/>
      <c r="K325" s="155"/>
      <c r="L325" s="155"/>
      <c r="M325" s="155"/>
      <c r="N325" s="155"/>
      <c r="O325" s="157"/>
      <c r="P325" s="155"/>
    </row>
    <row r="326">
      <c r="A326" s="150" t="s">
        <v>130</v>
      </c>
      <c r="B326" s="158" t="str">
        <f t="shared" si="2"/>
        <v>5.34.1</v>
      </c>
      <c r="C326" s="151" t="s">
        <v>324</v>
      </c>
      <c r="D326" s="152" t="s">
        <v>697</v>
      </c>
      <c r="E326" s="156"/>
      <c r="F326" s="156"/>
      <c r="G326" s="150" t="s">
        <v>188</v>
      </c>
      <c r="H326" s="151" t="s">
        <v>187</v>
      </c>
      <c r="I326" s="155"/>
      <c r="J326" s="155"/>
      <c r="K326" s="155"/>
      <c r="L326" s="155"/>
      <c r="M326" s="155"/>
      <c r="N326" s="155"/>
      <c r="O326" s="157"/>
      <c r="P326" s="155"/>
    </row>
    <row r="327" outlineLevel="1">
      <c r="A327" s="150" t="s">
        <v>130</v>
      </c>
      <c r="B327" s="158" t="str">
        <f t="shared" si="2"/>
        <v>5.34.2</v>
      </c>
      <c r="C327" s="151" t="s">
        <v>324</v>
      </c>
      <c r="D327" s="152" t="s">
        <v>698</v>
      </c>
      <c r="E327" s="156"/>
      <c r="F327" s="156"/>
      <c r="G327" s="150" t="s">
        <v>188</v>
      </c>
      <c r="H327" s="151" t="s">
        <v>187</v>
      </c>
      <c r="I327" s="155"/>
      <c r="J327" s="155"/>
      <c r="K327" s="155"/>
      <c r="L327" s="155"/>
      <c r="M327" s="155"/>
      <c r="N327" s="155"/>
      <c r="O327" s="157"/>
      <c r="P327" s="155"/>
    </row>
    <row r="328">
      <c r="A328" s="150" t="s">
        <v>131</v>
      </c>
      <c r="B328" s="158" t="str">
        <f t="shared" si="2"/>
        <v>5.35.1</v>
      </c>
      <c r="C328" s="151" t="s">
        <v>325</v>
      </c>
      <c r="D328" s="152" t="s">
        <v>699</v>
      </c>
      <c r="E328" s="156"/>
      <c r="F328" s="156"/>
      <c r="G328" s="150" t="s">
        <v>188</v>
      </c>
      <c r="H328" s="151" t="s">
        <v>187</v>
      </c>
      <c r="I328" s="155"/>
      <c r="J328" s="155"/>
      <c r="K328" s="155"/>
      <c r="L328" s="155"/>
      <c r="M328" s="155"/>
      <c r="N328" s="155"/>
      <c r="O328" s="157"/>
      <c r="P328" s="155"/>
    </row>
    <row r="329" outlineLevel="1">
      <c r="A329" s="150" t="s">
        <v>131</v>
      </c>
      <c r="B329" s="158" t="str">
        <f t="shared" si="2"/>
        <v>5.35.2</v>
      </c>
      <c r="C329" s="151" t="s">
        <v>325</v>
      </c>
      <c r="D329" s="152" t="s">
        <v>698</v>
      </c>
      <c r="E329" s="156"/>
      <c r="F329" s="156"/>
      <c r="G329" s="150" t="s">
        <v>188</v>
      </c>
      <c r="H329" s="151" t="s">
        <v>187</v>
      </c>
      <c r="I329" s="155"/>
      <c r="J329" s="155"/>
      <c r="K329" s="155"/>
      <c r="L329" s="155"/>
      <c r="M329" s="155"/>
      <c r="N329" s="155"/>
      <c r="O329" s="157"/>
      <c r="P329" s="155"/>
    </row>
    <row r="330">
      <c r="A330" s="150" t="s">
        <v>132</v>
      </c>
      <c r="B330" s="158" t="str">
        <f t="shared" si="2"/>
        <v>5.36.1</v>
      </c>
      <c r="C330" s="151" t="s">
        <v>326</v>
      </c>
      <c r="D330" s="152" t="s">
        <v>700</v>
      </c>
      <c r="E330" s="156"/>
      <c r="F330" s="156"/>
      <c r="G330" s="150" t="s">
        <v>188</v>
      </c>
      <c r="H330" s="151" t="s">
        <v>187</v>
      </c>
      <c r="I330" s="155"/>
      <c r="J330" s="155"/>
      <c r="K330" s="155"/>
      <c r="L330" s="155"/>
      <c r="M330" s="155"/>
      <c r="N330" s="155"/>
      <c r="O330" s="157"/>
      <c r="P330" s="155"/>
    </row>
    <row r="331" outlineLevel="1">
      <c r="A331" s="150" t="s">
        <v>132</v>
      </c>
      <c r="B331" s="158" t="str">
        <f t="shared" si="2"/>
        <v>5.36.2</v>
      </c>
      <c r="C331" s="151" t="s">
        <v>326</v>
      </c>
      <c r="D331" s="152" t="s">
        <v>701</v>
      </c>
      <c r="E331" s="156"/>
      <c r="F331" s="156"/>
      <c r="G331" s="150" t="s">
        <v>188</v>
      </c>
      <c r="H331" s="151" t="s">
        <v>187</v>
      </c>
      <c r="I331" s="155"/>
      <c r="J331" s="155"/>
      <c r="K331" s="155"/>
      <c r="L331" s="155"/>
      <c r="M331" s="155"/>
      <c r="N331" s="155"/>
      <c r="O331" s="157"/>
      <c r="P331" s="155"/>
    </row>
    <row r="332" outlineLevel="1">
      <c r="A332" s="150" t="s">
        <v>132</v>
      </c>
      <c r="B332" s="158" t="str">
        <f t="shared" si="2"/>
        <v>5.36.3</v>
      </c>
      <c r="C332" s="151" t="s">
        <v>326</v>
      </c>
      <c r="D332" s="152" t="s">
        <v>702</v>
      </c>
      <c r="E332" s="156"/>
      <c r="F332" s="156"/>
      <c r="G332" s="150" t="s">
        <v>188</v>
      </c>
      <c r="H332" s="151" t="s">
        <v>187</v>
      </c>
      <c r="I332" s="155"/>
      <c r="J332" s="155"/>
      <c r="K332" s="155"/>
      <c r="L332" s="155"/>
      <c r="M332" s="155"/>
      <c r="N332" s="155"/>
      <c r="O332" s="157"/>
      <c r="P332" s="155"/>
    </row>
    <row r="333" outlineLevel="1">
      <c r="A333" s="150" t="s">
        <v>132</v>
      </c>
      <c r="B333" s="158" t="str">
        <f t="shared" si="2"/>
        <v>5.36.4</v>
      </c>
      <c r="C333" s="151" t="s">
        <v>326</v>
      </c>
      <c r="D333" s="152" t="s">
        <v>703</v>
      </c>
      <c r="E333" s="156"/>
      <c r="F333" s="156"/>
      <c r="G333" s="150" t="s">
        <v>188</v>
      </c>
      <c r="H333" s="151" t="s">
        <v>187</v>
      </c>
      <c r="I333" s="155"/>
      <c r="J333" s="155"/>
      <c r="K333" s="155"/>
      <c r="L333" s="155"/>
      <c r="M333" s="155"/>
      <c r="N333" s="155"/>
      <c r="O333" s="157"/>
      <c r="P333" s="155"/>
    </row>
    <row r="334" outlineLevel="1">
      <c r="A334" s="150" t="s">
        <v>132</v>
      </c>
      <c r="B334" s="158" t="str">
        <f t="shared" si="2"/>
        <v>5.36.5</v>
      </c>
      <c r="C334" s="151" t="s">
        <v>326</v>
      </c>
      <c r="D334" s="152" t="s">
        <v>704</v>
      </c>
      <c r="E334" s="156"/>
      <c r="F334" s="156"/>
      <c r="G334" s="150" t="s">
        <v>188</v>
      </c>
      <c r="H334" s="151" t="s">
        <v>187</v>
      </c>
      <c r="I334" s="155"/>
      <c r="J334" s="155"/>
      <c r="K334" s="155"/>
      <c r="L334" s="155"/>
      <c r="M334" s="155"/>
      <c r="N334" s="155"/>
      <c r="O334" s="157"/>
      <c r="P334" s="155"/>
    </row>
    <row r="335" outlineLevel="1">
      <c r="A335" s="150" t="s">
        <v>132</v>
      </c>
      <c r="B335" s="158" t="str">
        <f t="shared" si="2"/>
        <v>5.36.6</v>
      </c>
      <c r="C335" s="151" t="s">
        <v>326</v>
      </c>
      <c r="D335" s="152" t="s">
        <v>705</v>
      </c>
      <c r="E335" s="156"/>
      <c r="F335" s="156"/>
      <c r="G335" s="150" t="s">
        <v>188</v>
      </c>
      <c r="H335" s="151" t="s">
        <v>187</v>
      </c>
      <c r="I335" s="155"/>
      <c r="J335" s="155"/>
      <c r="K335" s="155"/>
      <c r="L335" s="155"/>
      <c r="M335" s="155"/>
      <c r="N335" s="155"/>
      <c r="O335" s="157"/>
      <c r="P335" s="155"/>
    </row>
    <row r="336">
      <c r="A336" s="170" t="s">
        <v>133</v>
      </c>
      <c r="B336" s="171" t="str">
        <f t="shared" si="2"/>
        <v>5.37.1</v>
      </c>
      <c r="C336" s="172" t="s">
        <v>327</v>
      </c>
      <c r="D336" s="173" t="s">
        <v>700</v>
      </c>
      <c r="E336" s="174"/>
      <c r="F336" s="174"/>
      <c r="G336" s="170" t="s">
        <v>188</v>
      </c>
      <c r="H336" s="172" t="s">
        <v>187</v>
      </c>
      <c r="I336" s="174"/>
      <c r="J336" s="174"/>
      <c r="K336" s="174"/>
      <c r="L336" s="174"/>
      <c r="M336" s="174"/>
      <c r="N336" s="174"/>
      <c r="O336" s="174"/>
      <c r="P336" s="174"/>
    </row>
    <row r="337" outlineLevel="1">
      <c r="A337" s="170" t="s">
        <v>133</v>
      </c>
      <c r="B337" s="171" t="str">
        <f t="shared" si="2"/>
        <v>5.37.2</v>
      </c>
      <c r="C337" s="172" t="s">
        <v>327</v>
      </c>
      <c r="D337" s="173" t="s">
        <v>706</v>
      </c>
      <c r="E337" s="174"/>
      <c r="F337" s="174"/>
      <c r="G337" s="170" t="s">
        <v>188</v>
      </c>
      <c r="H337" s="172" t="s">
        <v>187</v>
      </c>
      <c r="I337" s="174"/>
      <c r="J337" s="174"/>
      <c r="K337" s="174"/>
      <c r="L337" s="174"/>
      <c r="M337" s="174"/>
      <c r="N337" s="174"/>
      <c r="O337" s="174"/>
      <c r="P337" s="174"/>
    </row>
    <row r="338" outlineLevel="1">
      <c r="A338" s="170" t="s">
        <v>133</v>
      </c>
      <c r="B338" s="171" t="str">
        <f t="shared" si="2"/>
        <v>5.37.3</v>
      </c>
      <c r="C338" s="172" t="s">
        <v>327</v>
      </c>
      <c r="D338" s="173" t="s">
        <v>707</v>
      </c>
      <c r="E338" s="174"/>
      <c r="F338" s="174"/>
      <c r="G338" s="170" t="s">
        <v>188</v>
      </c>
      <c r="H338" s="172" t="s">
        <v>187</v>
      </c>
      <c r="I338" s="174"/>
      <c r="J338" s="174"/>
      <c r="K338" s="174"/>
      <c r="L338" s="174"/>
      <c r="M338" s="174"/>
      <c r="N338" s="174"/>
      <c r="O338" s="174"/>
      <c r="P338" s="174"/>
    </row>
    <row r="339" outlineLevel="1">
      <c r="A339" s="170" t="s">
        <v>133</v>
      </c>
      <c r="B339" s="171" t="str">
        <f t="shared" si="2"/>
        <v>5.37.4</v>
      </c>
      <c r="C339" s="172" t="s">
        <v>327</v>
      </c>
      <c r="D339" s="173" t="s">
        <v>708</v>
      </c>
      <c r="E339" s="174"/>
      <c r="F339" s="174"/>
      <c r="G339" s="170" t="s">
        <v>188</v>
      </c>
      <c r="H339" s="172" t="s">
        <v>187</v>
      </c>
      <c r="I339" s="174"/>
      <c r="J339" s="174"/>
      <c r="K339" s="174"/>
      <c r="L339" s="174"/>
      <c r="M339" s="174"/>
      <c r="N339" s="174"/>
      <c r="O339" s="174"/>
      <c r="P339" s="174"/>
    </row>
    <row r="340" outlineLevel="1">
      <c r="A340" s="170" t="s">
        <v>133</v>
      </c>
      <c r="B340" s="171" t="str">
        <f t="shared" si="2"/>
        <v>5.37.5</v>
      </c>
      <c r="C340" s="172" t="s">
        <v>327</v>
      </c>
      <c r="D340" s="173" t="s">
        <v>705</v>
      </c>
      <c r="E340" s="174"/>
      <c r="F340" s="174"/>
      <c r="G340" s="170" t="s">
        <v>188</v>
      </c>
      <c r="H340" s="172" t="s">
        <v>187</v>
      </c>
      <c r="I340" s="174"/>
      <c r="J340" s="174"/>
      <c r="K340" s="174"/>
      <c r="L340" s="174"/>
      <c r="M340" s="174"/>
      <c r="N340" s="174"/>
      <c r="O340" s="174"/>
      <c r="P340" s="174"/>
    </row>
    <row r="341">
      <c r="A341" s="170" t="s">
        <v>134</v>
      </c>
      <c r="B341" s="171" t="str">
        <f t="shared" si="2"/>
        <v>5.38.1</v>
      </c>
      <c r="C341" s="172" t="s">
        <v>328</v>
      </c>
      <c r="D341" s="173" t="s">
        <v>709</v>
      </c>
      <c r="E341" s="174"/>
      <c r="F341" s="174"/>
      <c r="G341" s="170" t="s">
        <v>48</v>
      </c>
      <c r="H341" s="172" t="s">
        <v>187</v>
      </c>
      <c r="I341" s="174"/>
      <c r="J341" s="174"/>
      <c r="K341" s="174"/>
      <c r="L341" s="174"/>
      <c r="M341" s="174"/>
      <c r="N341" s="174"/>
      <c r="O341" s="174"/>
      <c r="P341" s="174"/>
    </row>
    <row r="342" outlineLevel="1">
      <c r="A342" s="170" t="s">
        <v>134</v>
      </c>
      <c r="B342" s="171" t="str">
        <f t="shared" si="2"/>
        <v>5.38.2</v>
      </c>
      <c r="C342" s="172" t="s">
        <v>328</v>
      </c>
      <c r="D342" s="173" t="s">
        <v>710</v>
      </c>
      <c r="E342" s="174"/>
      <c r="F342" s="174"/>
      <c r="G342" s="170" t="s">
        <v>48</v>
      </c>
      <c r="H342" s="172" t="s">
        <v>187</v>
      </c>
      <c r="I342" s="174"/>
      <c r="J342" s="174"/>
      <c r="K342" s="174"/>
      <c r="L342" s="174"/>
      <c r="M342" s="174"/>
      <c r="N342" s="174"/>
      <c r="O342" s="174"/>
      <c r="P342" s="174"/>
    </row>
    <row r="343" outlineLevel="1">
      <c r="A343" s="170" t="s">
        <v>134</v>
      </c>
      <c r="B343" s="171" t="str">
        <f t="shared" si="2"/>
        <v>5.38.3</v>
      </c>
      <c r="C343" s="172" t="s">
        <v>328</v>
      </c>
      <c r="D343" s="173" t="s">
        <v>711</v>
      </c>
      <c r="E343" s="174"/>
      <c r="F343" s="174"/>
      <c r="G343" s="170" t="s">
        <v>48</v>
      </c>
      <c r="H343" s="172" t="s">
        <v>187</v>
      </c>
      <c r="I343" s="174"/>
      <c r="J343" s="174"/>
      <c r="K343" s="174"/>
      <c r="L343" s="174"/>
      <c r="M343" s="174"/>
      <c r="N343" s="174"/>
      <c r="O343" s="174"/>
      <c r="P343" s="174"/>
    </row>
    <row r="344" outlineLevel="1">
      <c r="A344" s="170" t="s">
        <v>134</v>
      </c>
      <c r="B344" s="171" t="str">
        <f t="shared" si="2"/>
        <v>5.38.4</v>
      </c>
      <c r="C344" s="172" t="s">
        <v>328</v>
      </c>
      <c r="D344" s="173" t="s">
        <v>712</v>
      </c>
      <c r="E344" s="174"/>
      <c r="F344" s="174"/>
      <c r="G344" s="170" t="s">
        <v>48</v>
      </c>
      <c r="H344" s="172" t="s">
        <v>187</v>
      </c>
      <c r="I344" s="174"/>
      <c r="J344" s="174"/>
      <c r="K344" s="174"/>
      <c r="L344" s="174"/>
      <c r="M344" s="174"/>
      <c r="N344" s="174"/>
      <c r="O344" s="174"/>
      <c r="P344" s="174"/>
    </row>
    <row r="345" outlineLevel="1">
      <c r="A345" s="170" t="s">
        <v>134</v>
      </c>
      <c r="B345" s="171" t="str">
        <f t="shared" si="2"/>
        <v>5.38.5</v>
      </c>
      <c r="C345" s="172" t="s">
        <v>328</v>
      </c>
      <c r="D345" s="173" t="s">
        <v>713</v>
      </c>
      <c r="E345" s="174"/>
      <c r="F345" s="174"/>
      <c r="G345" s="170" t="s">
        <v>48</v>
      </c>
      <c r="H345" s="172" t="s">
        <v>187</v>
      </c>
      <c r="I345" s="174"/>
      <c r="J345" s="174"/>
      <c r="K345" s="174"/>
      <c r="L345" s="174"/>
      <c r="M345" s="174"/>
      <c r="N345" s="174"/>
      <c r="O345" s="174"/>
      <c r="P345" s="174"/>
    </row>
    <row r="346">
      <c r="A346" s="170" t="s">
        <v>135</v>
      </c>
      <c r="B346" s="171" t="str">
        <f t="shared" si="2"/>
        <v>5.39.1</v>
      </c>
      <c r="C346" s="172" t="s">
        <v>329</v>
      </c>
      <c r="D346" s="173" t="s">
        <v>714</v>
      </c>
      <c r="E346" s="174"/>
      <c r="F346" s="174"/>
      <c r="G346" s="170" t="s">
        <v>190</v>
      </c>
      <c r="H346" s="172" t="s">
        <v>187</v>
      </c>
      <c r="I346" s="174"/>
      <c r="J346" s="174"/>
      <c r="K346" s="174"/>
      <c r="L346" s="174"/>
      <c r="M346" s="174"/>
      <c r="N346" s="174"/>
      <c r="O346" s="174"/>
      <c r="P346" s="174"/>
    </row>
    <row r="347" outlineLevel="1">
      <c r="A347" s="170" t="s">
        <v>135</v>
      </c>
      <c r="B347" s="171" t="str">
        <f t="shared" si="2"/>
        <v>5.39.2</v>
      </c>
      <c r="C347" s="172" t="s">
        <v>329</v>
      </c>
      <c r="D347" s="173" t="s">
        <v>715</v>
      </c>
      <c r="E347" s="174"/>
      <c r="F347" s="174"/>
      <c r="G347" s="170" t="s">
        <v>190</v>
      </c>
      <c r="H347" s="172" t="s">
        <v>187</v>
      </c>
      <c r="I347" s="174"/>
      <c r="J347" s="174"/>
      <c r="K347" s="174"/>
      <c r="L347" s="174"/>
      <c r="M347" s="174"/>
      <c r="N347" s="174"/>
      <c r="O347" s="174"/>
      <c r="P347" s="174"/>
    </row>
    <row r="348" outlineLevel="1">
      <c r="A348" s="170" t="s">
        <v>135</v>
      </c>
      <c r="B348" s="171" t="str">
        <f t="shared" si="2"/>
        <v>5.39.3</v>
      </c>
      <c r="C348" s="172" t="s">
        <v>329</v>
      </c>
      <c r="D348" s="173" t="s">
        <v>716</v>
      </c>
      <c r="E348" s="174"/>
      <c r="F348" s="174"/>
      <c r="G348" s="170" t="s">
        <v>190</v>
      </c>
      <c r="H348" s="172" t="s">
        <v>187</v>
      </c>
      <c r="I348" s="174"/>
      <c r="J348" s="174"/>
      <c r="K348" s="174"/>
      <c r="L348" s="174"/>
      <c r="M348" s="174"/>
      <c r="N348" s="174"/>
      <c r="O348" s="174"/>
      <c r="P348" s="174"/>
    </row>
    <row r="349" outlineLevel="1">
      <c r="A349" s="170" t="s">
        <v>135</v>
      </c>
      <c r="B349" s="171" t="str">
        <f t="shared" si="2"/>
        <v>5.39.4</v>
      </c>
      <c r="C349" s="172" t="s">
        <v>329</v>
      </c>
      <c r="D349" s="173" t="s">
        <v>717</v>
      </c>
      <c r="E349" s="174"/>
      <c r="F349" s="174"/>
      <c r="G349" s="170" t="s">
        <v>190</v>
      </c>
      <c r="H349" s="172" t="s">
        <v>187</v>
      </c>
      <c r="I349" s="174"/>
      <c r="J349" s="174"/>
      <c r="K349" s="174"/>
      <c r="L349" s="174"/>
      <c r="M349" s="174"/>
      <c r="N349" s="174"/>
      <c r="O349" s="174"/>
      <c r="P349" s="174"/>
    </row>
    <row r="350" outlineLevel="1">
      <c r="A350" s="170" t="s">
        <v>135</v>
      </c>
      <c r="B350" s="171" t="str">
        <f t="shared" si="2"/>
        <v>5.39.5</v>
      </c>
      <c r="C350" s="172" t="s">
        <v>329</v>
      </c>
      <c r="D350" s="173" t="s">
        <v>718</v>
      </c>
      <c r="E350" s="174"/>
      <c r="F350" s="174"/>
      <c r="G350" s="170" t="s">
        <v>190</v>
      </c>
      <c r="H350" s="172" t="s">
        <v>187</v>
      </c>
      <c r="I350" s="174"/>
      <c r="J350" s="174"/>
      <c r="K350" s="174"/>
      <c r="L350" s="174"/>
      <c r="M350" s="174"/>
      <c r="N350" s="174"/>
      <c r="O350" s="174"/>
      <c r="P350" s="174"/>
    </row>
    <row r="351">
      <c r="A351" s="170" t="s">
        <v>136</v>
      </c>
      <c r="B351" s="171" t="str">
        <f t="shared" si="2"/>
        <v>5.40.1</v>
      </c>
      <c r="C351" s="172" t="s">
        <v>330</v>
      </c>
      <c r="D351" s="173" t="s">
        <v>719</v>
      </c>
      <c r="E351" s="174"/>
      <c r="F351" s="174"/>
      <c r="G351" s="170" t="s">
        <v>190</v>
      </c>
      <c r="H351" s="172" t="s">
        <v>187</v>
      </c>
      <c r="I351" s="174"/>
      <c r="J351" s="174"/>
      <c r="K351" s="174"/>
      <c r="L351" s="174"/>
      <c r="M351" s="174"/>
      <c r="N351" s="174"/>
      <c r="O351" s="174"/>
      <c r="P351" s="174"/>
    </row>
    <row r="352" outlineLevel="1">
      <c r="A352" s="170" t="s">
        <v>136</v>
      </c>
      <c r="B352" s="171" t="str">
        <f t="shared" si="2"/>
        <v>5.40.2</v>
      </c>
      <c r="C352" s="172" t="s">
        <v>330</v>
      </c>
      <c r="D352" s="173" t="s">
        <v>720</v>
      </c>
      <c r="E352" s="174"/>
      <c r="F352" s="174"/>
      <c r="G352" s="170" t="s">
        <v>190</v>
      </c>
      <c r="H352" s="172" t="s">
        <v>187</v>
      </c>
      <c r="I352" s="174"/>
      <c r="J352" s="174"/>
      <c r="K352" s="174"/>
      <c r="L352" s="174"/>
      <c r="M352" s="174"/>
      <c r="N352" s="174"/>
      <c r="O352" s="174"/>
      <c r="P352" s="174"/>
    </row>
    <row r="353" outlineLevel="1">
      <c r="A353" s="170" t="s">
        <v>136</v>
      </c>
      <c r="B353" s="171" t="str">
        <f t="shared" si="2"/>
        <v>5.40.3</v>
      </c>
      <c r="C353" s="172" t="s">
        <v>330</v>
      </c>
      <c r="D353" s="173" t="s">
        <v>721</v>
      </c>
      <c r="E353" s="174"/>
      <c r="F353" s="174"/>
      <c r="G353" s="170" t="s">
        <v>190</v>
      </c>
      <c r="H353" s="172" t="s">
        <v>187</v>
      </c>
      <c r="I353" s="174"/>
      <c r="J353" s="174"/>
      <c r="K353" s="174"/>
      <c r="L353" s="174"/>
      <c r="M353" s="174"/>
      <c r="N353" s="174"/>
      <c r="O353" s="174"/>
      <c r="P353" s="174"/>
    </row>
    <row r="354" outlineLevel="1">
      <c r="A354" s="170" t="s">
        <v>136</v>
      </c>
      <c r="B354" s="171" t="str">
        <f t="shared" si="2"/>
        <v>5.40.4</v>
      </c>
      <c r="C354" s="172" t="s">
        <v>330</v>
      </c>
      <c r="D354" s="173" t="s">
        <v>716</v>
      </c>
      <c r="E354" s="174"/>
      <c r="F354" s="174"/>
      <c r="G354" s="170" t="s">
        <v>190</v>
      </c>
      <c r="H354" s="172" t="s">
        <v>187</v>
      </c>
      <c r="I354" s="174"/>
      <c r="J354" s="174"/>
      <c r="K354" s="174"/>
      <c r="L354" s="174"/>
      <c r="M354" s="174"/>
      <c r="N354" s="174"/>
      <c r="O354" s="174"/>
      <c r="P354" s="174"/>
    </row>
    <row r="355" outlineLevel="1">
      <c r="A355" s="170" t="s">
        <v>136</v>
      </c>
      <c r="B355" s="171" t="str">
        <f t="shared" si="2"/>
        <v>5.40.5</v>
      </c>
      <c r="C355" s="172" t="s">
        <v>330</v>
      </c>
      <c r="D355" s="173" t="s">
        <v>722</v>
      </c>
      <c r="E355" s="174"/>
      <c r="F355" s="174"/>
      <c r="G355" s="170" t="s">
        <v>190</v>
      </c>
      <c r="H355" s="172" t="s">
        <v>187</v>
      </c>
      <c r="I355" s="174"/>
      <c r="J355" s="174"/>
      <c r="K355" s="174"/>
      <c r="L355" s="174"/>
      <c r="M355" s="174"/>
      <c r="N355" s="174"/>
      <c r="O355" s="174"/>
      <c r="P355" s="174"/>
    </row>
    <row r="356">
      <c r="A356" s="170" t="s">
        <v>137</v>
      </c>
      <c r="B356" s="171" t="str">
        <f t="shared" si="2"/>
        <v>5.41.1</v>
      </c>
      <c r="C356" s="172" t="s">
        <v>331</v>
      </c>
      <c r="D356" s="173" t="s">
        <v>723</v>
      </c>
      <c r="E356" s="174"/>
      <c r="F356" s="174"/>
      <c r="G356" s="170" t="s">
        <v>190</v>
      </c>
      <c r="H356" s="172" t="s">
        <v>187</v>
      </c>
      <c r="I356" s="174"/>
      <c r="J356" s="174"/>
      <c r="K356" s="174"/>
      <c r="L356" s="174"/>
      <c r="M356" s="174"/>
      <c r="N356" s="174"/>
      <c r="O356" s="174"/>
      <c r="P356" s="174"/>
    </row>
    <row r="357" outlineLevel="1">
      <c r="A357" s="170" t="s">
        <v>137</v>
      </c>
      <c r="B357" s="171" t="str">
        <f t="shared" si="2"/>
        <v>5.41.2</v>
      </c>
      <c r="C357" s="172" t="s">
        <v>331</v>
      </c>
      <c r="D357" s="173" t="s">
        <v>724</v>
      </c>
      <c r="E357" s="174"/>
      <c r="F357" s="174"/>
      <c r="G357" s="170" t="s">
        <v>190</v>
      </c>
      <c r="H357" s="172" t="s">
        <v>187</v>
      </c>
      <c r="I357" s="174"/>
      <c r="J357" s="174"/>
      <c r="K357" s="174"/>
      <c r="L357" s="174"/>
      <c r="M357" s="174"/>
      <c r="N357" s="174"/>
      <c r="O357" s="174"/>
      <c r="P357" s="174"/>
    </row>
    <row r="358" outlineLevel="1">
      <c r="A358" s="170" t="s">
        <v>137</v>
      </c>
      <c r="B358" s="171" t="str">
        <f t="shared" si="2"/>
        <v>5.41.3</v>
      </c>
      <c r="C358" s="172" t="s">
        <v>331</v>
      </c>
      <c r="D358" s="173" t="s">
        <v>725</v>
      </c>
      <c r="E358" s="174"/>
      <c r="F358" s="174"/>
      <c r="G358" s="170" t="s">
        <v>190</v>
      </c>
      <c r="H358" s="172" t="s">
        <v>187</v>
      </c>
      <c r="I358" s="174"/>
      <c r="J358" s="174"/>
      <c r="K358" s="174"/>
      <c r="L358" s="174"/>
      <c r="M358" s="174"/>
      <c r="N358" s="174"/>
      <c r="O358" s="174"/>
      <c r="P358" s="174"/>
    </row>
    <row r="359" outlineLevel="1">
      <c r="A359" s="170" t="s">
        <v>137</v>
      </c>
      <c r="B359" s="171" t="str">
        <f t="shared" si="2"/>
        <v>5.41.4</v>
      </c>
      <c r="C359" s="172" t="s">
        <v>331</v>
      </c>
      <c r="D359" s="173" t="s">
        <v>726</v>
      </c>
      <c r="E359" s="174"/>
      <c r="F359" s="174"/>
      <c r="G359" s="170" t="s">
        <v>190</v>
      </c>
      <c r="H359" s="172" t="s">
        <v>187</v>
      </c>
      <c r="I359" s="174"/>
      <c r="J359" s="174"/>
      <c r="K359" s="174"/>
      <c r="L359" s="174"/>
      <c r="M359" s="174"/>
      <c r="N359" s="174"/>
      <c r="O359" s="174"/>
      <c r="P359" s="174"/>
    </row>
    <row r="360" outlineLevel="1">
      <c r="A360" s="170" t="s">
        <v>137</v>
      </c>
      <c r="B360" s="171" t="str">
        <f t="shared" si="2"/>
        <v>5.41.5</v>
      </c>
      <c r="C360" s="172" t="s">
        <v>331</v>
      </c>
      <c r="D360" s="173" t="s">
        <v>727</v>
      </c>
      <c r="E360" s="174"/>
      <c r="F360" s="174"/>
      <c r="G360" s="170" t="s">
        <v>190</v>
      </c>
      <c r="H360" s="172" t="s">
        <v>187</v>
      </c>
      <c r="I360" s="174"/>
      <c r="J360" s="174"/>
      <c r="K360" s="174"/>
      <c r="L360" s="174"/>
      <c r="M360" s="174"/>
      <c r="N360" s="174"/>
      <c r="O360" s="174"/>
      <c r="P360" s="174"/>
    </row>
    <row r="361">
      <c r="A361" s="170" t="s">
        <v>138</v>
      </c>
      <c r="B361" s="171" t="str">
        <f t="shared" si="2"/>
        <v>5.42.1</v>
      </c>
      <c r="C361" s="172" t="s">
        <v>332</v>
      </c>
      <c r="D361" s="173" t="s">
        <v>728</v>
      </c>
      <c r="E361" s="174"/>
      <c r="F361" s="174"/>
      <c r="G361" s="170" t="s">
        <v>190</v>
      </c>
      <c r="H361" s="172" t="s">
        <v>187</v>
      </c>
      <c r="I361" s="174"/>
      <c r="J361" s="174"/>
      <c r="K361" s="174"/>
      <c r="L361" s="174"/>
      <c r="M361" s="174"/>
      <c r="N361" s="174"/>
      <c r="O361" s="174"/>
      <c r="P361" s="174"/>
    </row>
    <row r="362" outlineLevel="1">
      <c r="A362" s="170" t="s">
        <v>138</v>
      </c>
      <c r="B362" s="171" t="str">
        <f t="shared" si="2"/>
        <v>5.42.2</v>
      </c>
      <c r="C362" s="172" t="s">
        <v>332</v>
      </c>
      <c r="D362" s="173" t="s">
        <v>729</v>
      </c>
      <c r="E362" s="174"/>
      <c r="F362" s="174"/>
      <c r="G362" s="170" t="s">
        <v>190</v>
      </c>
      <c r="H362" s="172" t="s">
        <v>187</v>
      </c>
      <c r="I362" s="174"/>
      <c r="J362" s="174"/>
      <c r="K362" s="174"/>
      <c r="L362" s="174"/>
      <c r="M362" s="174"/>
      <c r="N362" s="174"/>
      <c r="O362" s="174"/>
      <c r="P362" s="174"/>
    </row>
    <row r="363" outlineLevel="1">
      <c r="A363" s="170" t="s">
        <v>138</v>
      </c>
      <c r="B363" s="171" t="str">
        <f t="shared" si="2"/>
        <v>5.42.3</v>
      </c>
      <c r="C363" s="172" t="s">
        <v>332</v>
      </c>
      <c r="D363" s="173" t="s">
        <v>730</v>
      </c>
      <c r="E363" s="174"/>
      <c r="F363" s="174"/>
      <c r="G363" s="170" t="s">
        <v>190</v>
      </c>
      <c r="H363" s="172" t="s">
        <v>187</v>
      </c>
      <c r="I363" s="174"/>
      <c r="J363" s="174"/>
      <c r="K363" s="174"/>
      <c r="L363" s="174"/>
      <c r="M363" s="174"/>
      <c r="N363" s="174"/>
      <c r="O363" s="174"/>
      <c r="P363" s="174"/>
    </row>
    <row r="364" outlineLevel="1">
      <c r="A364" s="170" t="s">
        <v>138</v>
      </c>
      <c r="B364" s="171" t="str">
        <f t="shared" si="2"/>
        <v>5.42.4</v>
      </c>
      <c r="C364" s="172" t="s">
        <v>332</v>
      </c>
      <c r="D364" s="173" t="s">
        <v>731</v>
      </c>
      <c r="E364" s="174"/>
      <c r="F364" s="174"/>
      <c r="G364" s="170" t="s">
        <v>190</v>
      </c>
      <c r="H364" s="172" t="s">
        <v>187</v>
      </c>
      <c r="I364" s="174"/>
      <c r="J364" s="174"/>
      <c r="K364" s="174"/>
      <c r="L364" s="174"/>
      <c r="M364" s="174"/>
      <c r="N364" s="174"/>
      <c r="O364" s="174"/>
      <c r="P364" s="174"/>
    </row>
    <row r="365" outlineLevel="1">
      <c r="A365" s="170" t="s">
        <v>138</v>
      </c>
      <c r="B365" s="171" t="str">
        <f t="shared" si="2"/>
        <v>5.42.5</v>
      </c>
      <c r="C365" s="172" t="s">
        <v>332</v>
      </c>
      <c r="D365" s="173" t="s">
        <v>732</v>
      </c>
      <c r="E365" s="174"/>
      <c r="F365" s="174"/>
      <c r="G365" s="170" t="s">
        <v>190</v>
      </c>
      <c r="H365" s="172" t="s">
        <v>187</v>
      </c>
      <c r="I365" s="174"/>
      <c r="J365" s="174"/>
      <c r="K365" s="174"/>
      <c r="L365" s="174"/>
      <c r="M365" s="174"/>
      <c r="N365" s="174"/>
      <c r="O365" s="174"/>
      <c r="P365" s="174"/>
    </row>
    <row r="366">
      <c r="A366" s="170" t="s">
        <v>139</v>
      </c>
      <c r="B366" s="171" t="str">
        <f t="shared" si="2"/>
        <v>5.43.1</v>
      </c>
      <c r="C366" s="172" t="s">
        <v>333</v>
      </c>
      <c r="D366" s="173" t="s">
        <v>733</v>
      </c>
      <c r="E366" s="174"/>
      <c r="F366" s="174"/>
      <c r="G366" s="170" t="s">
        <v>65</v>
      </c>
      <c r="H366" s="172" t="s">
        <v>187</v>
      </c>
      <c r="I366" s="174"/>
      <c r="J366" s="174"/>
      <c r="K366" s="174"/>
      <c r="L366" s="174"/>
      <c r="M366" s="174"/>
      <c r="N366" s="174"/>
      <c r="O366" s="174"/>
      <c r="P366" s="174"/>
    </row>
    <row r="367" outlineLevel="1">
      <c r="A367" s="170" t="s">
        <v>139</v>
      </c>
      <c r="B367" s="171" t="str">
        <f t="shared" si="2"/>
        <v>5.43.2</v>
      </c>
      <c r="C367" s="172" t="s">
        <v>333</v>
      </c>
      <c r="D367" s="173" t="s">
        <v>734</v>
      </c>
      <c r="E367" s="174"/>
      <c r="F367" s="174"/>
      <c r="G367" s="170" t="s">
        <v>65</v>
      </c>
      <c r="H367" s="172" t="s">
        <v>187</v>
      </c>
      <c r="I367" s="174"/>
      <c r="J367" s="174"/>
      <c r="K367" s="174"/>
      <c r="L367" s="174"/>
      <c r="M367" s="174"/>
      <c r="N367" s="174"/>
      <c r="O367" s="174"/>
      <c r="P367" s="174"/>
    </row>
    <row r="368" outlineLevel="1">
      <c r="A368" s="170" t="s">
        <v>139</v>
      </c>
      <c r="B368" s="171" t="str">
        <f t="shared" si="2"/>
        <v>5.43.3</v>
      </c>
      <c r="C368" s="172" t="s">
        <v>333</v>
      </c>
      <c r="D368" s="173" t="s">
        <v>735</v>
      </c>
      <c r="E368" s="174"/>
      <c r="F368" s="174"/>
      <c r="G368" s="170" t="s">
        <v>65</v>
      </c>
      <c r="H368" s="172" t="s">
        <v>187</v>
      </c>
      <c r="I368" s="174"/>
      <c r="J368" s="174"/>
      <c r="K368" s="174"/>
      <c r="L368" s="174"/>
      <c r="M368" s="174"/>
      <c r="N368" s="174"/>
      <c r="O368" s="174"/>
      <c r="P368" s="174"/>
    </row>
    <row r="369" outlineLevel="1">
      <c r="A369" s="170" t="s">
        <v>139</v>
      </c>
      <c r="B369" s="171" t="str">
        <f t="shared" si="2"/>
        <v>5.43.4</v>
      </c>
      <c r="C369" s="172" t="s">
        <v>333</v>
      </c>
      <c r="D369" s="173" t="s">
        <v>736</v>
      </c>
      <c r="E369" s="174"/>
      <c r="F369" s="174"/>
      <c r="G369" s="170" t="s">
        <v>65</v>
      </c>
      <c r="H369" s="172" t="s">
        <v>187</v>
      </c>
      <c r="I369" s="174"/>
      <c r="J369" s="174"/>
      <c r="K369" s="174"/>
      <c r="L369" s="174"/>
      <c r="M369" s="174"/>
      <c r="N369" s="174"/>
      <c r="O369" s="174"/>
      <c r="P369" s="174"/>
    </row>
    <row r="370" outlineLevel="1">
      <c r="A370" s="170" t="s">
        <v>139</v>
      </c>
      <c r="B370" s="171" t="str">
        <f t="shared" si="2"/>
        <v>5.43.5</v>
      </c>
      <c r="C370" s="172" t="s">
        <v>333</v>
      </c>
      <c r="D370" s="173" t="s">
        <v>737</v>
      </c>
      <c r="E370" s="174"/>
      <c r="F370" s="174"/>
      <c r="G370" s="170" t="s">
        <v>65</v>
      </c>
      <c r="H370" s="172" t="s">
        <v>187</v>
      </c>
      <c r="I370" s="174"/>
      <c r="J370" s="174"/>
      <c r="K370" s="174"/>
      <c r="L370" s="174"/>
      <c r="M370" s="174"/>
      <c r="N370" s="174"/>
      <c r="O370" s="174"/>
      <c r="P370" s="174"/>
    </row>
    <row r="371">
      <c r="A371" s="170" t="s">
        <v>140</v>
      </c>
      <c r="B371" s="171" t="str">
        <f t="shared" si="2"/>
        <v>5.44.1</v>
      </c>
      <c r="C371" s="172" t="s">
        <v>334</v>
      </c>
      <c r="D371" s="173" t="s">
        <v>738</v>
      </c>
      <c r="E371" s="174"/>
      <c r="F371" s="174"/>
      <c r="G371" s="170" t="s">
        <v>71</v>
      </c>
      <c r="H371" s="172" t="s">
        <v>187</v>
      </c>
      <c r="I371" s="174"/>
      <c r="J371" s="174"/>
      <c r="K371" s="174"/>
      <c r="L371" s="174"/>
      <c r="M371" s="174"/>
      <c r="N371" s="174"/>
      <c r="O371" s="174"/>
      <c r="P371" s="174"/>
    </row>
    <row r="372" outlineLevel="1">
      <c r="A372" s="170" t="s">
        <v>140</v>
      </c>
      <c r="B372" s="171" t="str">
        <f t="shared" si="2"/>
        <v>5.44.2</v>
      </c>
      <c r="C372" s="172" t="s">
        <v>334</v>
      </c>
      <c r="D372" s="173" t="s">
        <v>739</v>
      </c>
      <c r="E372" s="174"/>
      <c r="F372" s="174"/>
      <c r="G372" s="170" t="s">
        <v>71</v>
      </c>
      <c r="H372" s="172" t="s">
        <v>187</v>
      </c>
      <c r="I372" s="174"/>
      <c r="J372" s="174"/>
      <c r="K372" s="174"/>
      <c r="L372" s="174"/>
      <c r="M372" s="174"/>
      <c r="N372" s="174"/>
      <c r="O372" s="174"/>
      <c r="P372" s="174"/>
    </row>
    <row r="373" outlineLevel="1">
      <c r="A373" s="170" t="s">
        <v>140</v>
      </c>
      <c r="B373" s="171" t="str">
        <f t="shared" si="2"/>
        <v>5.44.3</v>
      </c>
      <c r="C373" s="172" t="s">
        <v>334</v>
      </c>
      <c r="D373" s="173" t="s">
        <v>740</v>
      </c>
      <c r="E373" s="174"/>
      <c r="F373" s="174"/>
      <c r="G373" s="170" t="s">
        <v>71</v>
      </c>
      <c r="H373" s="172" t="s">
        <v>187</v>
      </c>
      <c r="I373" s="174"/>
      <c r="J373" s="174"/>
      <c r="K373" s="174"/>
      <c r="L373" s="174"/>
      <c r="M373" s="174"/>
      <c r="N373" s="174"/>
      <c r="O373" s="174"/>
      <c r="P373" s="174"/>
    </row>
    <row r="374" outlineLevel="1">
      <c r="A374" s="170" t="s">
        <v>140</v>
      </c>
      <c r="B374" s="171" t="str">
        <f t="shared" si="2"/>
        <v>5.44.4</v>
      </c>
      <c r="C374" s="172" t="s">
        <v>334</v>
      </c>
      <c r="D374" s="173" t="s">
        <v>741</v>
      </c>
      <c r="E374" s="174"/>
      <c r="F374" s="174"/>
      <c r="G374" s="170" t="s">
        <v>71</v>
      </c>
      <c r="H374" s="172" t="s">
        <v>187</v>
      </c>
      <c r="I374" s="174"/>
      <c r="J374" s="174"/>
      <c r="K374" s="174"/>
      <c r="L374" s="174"/>
      <c r="M374" s="174"/>
      <c r="N374" s="174"/>
      <c r="O374" s="174"/>
      <c r="P374" s="174"/>
    </row>
    <row r="375" outlineLevel="1">
      <c r="A375" s="170" t="s">
        <v>140</v>
      </c>
      <c r="B375" s="171" t="str">
        <f t="shared" si="2"/>
        <v>5.44.5</v>
      </c>
      <c r="C375" s="172" t="s">
        <v>334</v>
      </c>
      <c r="D375" s="173" t="s">
        <v>742</v>
      </c>
      <c r="E375" s="174"/>
      <c r="F375" s="174"/>
      <c r="G375" s="170" t="s">
        <v>71</v>
      </c>
      <c r="H375" s="172" t="s">
        <v>187</v>
      </c>
      <c r="I375" s="174"/>
      <c r="J375" s="174"/>
      <c r="K375" s="174"/>
      <c r="L375" s="174"/>
      <c r="M375" s="174"/>
      <c r="N375" s="174"/>
      <c r="O375" s="174"/>
      <c r="P375" s="174"/>
    </row>
    <row r="376" outlineLevel="1">
      <c r="A376" s="170" t="s">
        <v>140</v>
      </c>
      <c r="B376" s="171" t="str">
        <f t="shared" si="2"/>
        <v>5.44.6</v>
      </c>
      <c r="C376" s="172" t="s">
        <v>334</v>
      </c>
      <c r="D376" s="173" t="s">
        <v>743</v>
      </c>
      <c r="E376" s="174"/>
      <c r="F376" s="174"/>
      <c r="G376" s="170" t="s">
        <v>71</v>
      </c>
      <c r="H376" s="172" t="s">
        <v>187</v>
      </c>
      <c r="I376" s="174"/>
      <c r="J376" s="174"/>
      <c r="K376" s="174"/>
      <c r="L376" s="174"/>
      <c r="M376" s="174"/>
      <c r="N376" s="174"/>
      <c r="O376" s="174"/>
      <c r="P376" s="174"/>
    </row>
    <row r="377" outlineLevel="1">
      <c r="A377" s="170" t="s">
        <v>140</v>
      </c>
      <c r="B377" s="171" t="str">
        <f t="shared" si="2"/>
        <v>5.44.7</v>
      </c>
      <c r="C377" s="172" t="s">
        <v>334</v>
      </c>
      <c r="D377" s="173" t="s">
        <v>744</v>
      </c>
      <c r="E377" s="174"/>
      <c r="F377" s="174"/>
      <c r="G377" s="170" t="s">
        <v>71</v>
      </c>
      <c r="H377" s="172" t="s">
        <v>187</v>
      </c>
      <c r="I377" s="174"/>
      <c r="J377" s="174"/>
      <c r="K377" s="174"/>
      <c r="L377" s="174"/>
      <c r="M377" s="174"/>
      <c r="N377" s="174"/>
      <c r="O377" s="174"/>
      <c r="P377" s="174"/>
    </row>
    <row r="378" outlineLevel="1">
      <c r="A378" s="170" t="s">
        <v>140</v>
      </c>
      <c r="B378" s="171" t="str">
        <f t="shared" si="2"/>
        <v>5.44.8</v>
      </c>
      <c r="C378" s="172" t="s">
        <v>334</v>
      </c>
      <c r="D378" s="173" t="s">
        <v>745</v>
      </c>
      <c r="E378" s="174"/>
      <c r="F378" s="174"/>
      <c r="G378" s="170" t="s">
        <v>71</v>
      </c>
      <c r="H378" s="172" t="s">
        <v>187</v>
      </c>
      <c r="I378" s="174"/>
      <c r="J378" s="174"/>
      <c r="K378" s="174"/>
      <c r="L378" s="174"/>
      <c r="M378" s="174"/>
      <c r="N378" s="174"/>
      <c r="O378" s="174"/>
      <c r="P378" s="174"/>
    </row>
    <row r="379">
      <c r="A379" s="170" t="s">
        <v>141</v>
      </c>
      <c r="B379" s="171" t="str">
        <f t="shared" si="2"/>
        <v>5.45.1</v>
      </c>
      <c r="C379" s="172" t="s">
        <v>335</v>
      </c>
      <c r="D379" s="173" t="s">
        <v>746</v>
      </c>
      <c r="E379" s="174"/>
      <c r="F379" s="174"/>
      <c r="G379" s="170" t="s">
        <v>71</v>
      </c>
      <c r="H379" s="172" t="s">
        <v>187</v>
      </c>
      <c r="I379" s="174"/>
      <c r="J379" s="174"/>
      <c r="K379" s="174"/>
      <c r="L379" s="174"/>
      <c r="M379" s="174"/>
      <c r="N379" s="174"/>
      <c r="O379" s="174"/>
      <c r="P379" s="174"/>
    </row>
    <row r="380" outlineLevel="1">
      <c r="A380" s="170" t="s">
        <v>141</v>
      </c>
      <c r="B380" s="171" t="str">
        <f t="shared" si="2"/>
        <v>5.45.2</v>
      </c>
      <c r="C380" s="172" t="s">
        <v>335</v>
      </c>
      <c r="D380" s="173" t="s">
        <v>747</v>
      </c>
      <c r="E380" s="174"/>
      <c r="F380" s="174"/>
      <c r="G380" s="170" t="s">
        <v>71</v>
      </c>
      <c r="H380" s="172" t="s">
        <v>187</v>
      </c>
      <c r="I380" s="174"/>
      <c r="J380" s="174"/>
      <c r="K380" s="174"/>
      <c r="L380" s="174"/>
      <c r="M380" s="174"/>
      <c r="N380" s="174"/>
      <c r="O380" s="174"/>
      <c r="P380" s="174"/>
    </row>
    <row r="381" outlineLevel="1">
      <c r="A381" s="170" t="s">
        <v>141</v>
      </c>
      <c r="B381" s="171" t="str">
        <f t="shared" si="2"/>
        <v>5.45.3</v>
      </c>
      <c r="C381" s="172" t="s">
        <v>335</v>
      </c>
      <c r="D381" s="173" t="s">
        <v>748</v>
      </c>
      <c r="E381" s="174"/>
      <c r="F381" s="174"/>
      <c r="G381" s="170" t="s">
        <v>71</v>
      </c>
      <c r="H381" s="172" t="s">
        <v>187</v>
      </c>
      <c r="I381" s="174"/>
      <c r="J381" s="174"/>
      <c r="K381" s="174"/>
      <c r="L381" s="174"/>
      <c r="M381" s="174"/>
      <c r="N381" s="174"/>
      <c r="O381" s="174"/>
      <c r="P381" s="174"/>
    </row>
    <row r="382" outlineLevel="1">
      <c r="A382" s="170" t="s">
        <v>141</v>
      </c>
      <c r="B382" s="171" t="str">
        <f t="shared" si="2"/>
        <v>5.45.4</v>
      </c>
      <c r="C382" s="172" t="s">
        <v>335</v>
      </c>
      <c r="D382" s="173" t="s">
        <v>749</v>
      </c>
      <c r="E382" s="174"/>
      <c r="F382" s="174"/>
      <c r="G382" s="170" t="s">
        <v>71</v>
      </c>
      <c r="H382" s="172" t="s">
        <v>187</v>
      </c>
      <c r="I382" s="174"/>
      <c r="J382" s="174"/>
      <c r="K382" s="174"/>
      <c r="L382" s="174"/>
      <c r="M382" s="174"/>
      <c r="N382" s="174"/>
      <c r="O382" s="174"/>
      <c r="P382" s="174"/>
    </row>
    <row r="383" outlineLevel="1">
      <c r="A383" s="170" t="s">
        <v>141</v>
      </c>
      <c r="B383" s="171" t="str">
        <f t="shared" si="2"/>
        <v>5.45.5</v>
      </c>
      <c r="C383" s="172" t="s">
        <v>335</v>
      </c>
      <c r="D383" s="173" t="s">
        <v>750</v>
      </c>
      <c r="E383" s="174"/>
      <c r="F383" s="174"/>
      <c r="G383" s="170" t="s">
        <v>71</v>
      </c>
      <c r="H383" s="172" t="s">
        <v>187</v>
      </c>
      <c r="I383" s="174"/>
      <c r="J383" s="174"/>
      <c r="K383" s="174"/>
      <c r="L383" s="174"/>
      <c r="M383" s="174"/>
      <c r="N383" s="174"/>
      <c r="O383" s="174"/>
      <c r="P383" s="174"/>
    </row>
    <row r="384" outlineLevel="1">
      <c r="A384" s="170" t="s">
        <v>141</v>
      </c>
      <c r="B384" s="171" t="str">
        <f t="shared" si="2"/>
        <v>5.45.6</v>
      </c>
      <c r="C384" s="172" t="s">
        <v>335</v>
      </c>
      <c r="D384" s="173" t="s">
        <v>751</v>
      </c>
      <c r="E384" s="174"/>
      <c r="F384" s="174"/>
      <c r="G384" s="170" t="s">
        <v>71</v>
      </c>
      <c r="H384" s="172" t="s">
        <v>187</v>
      </c>
      <c r="I384" s="174"/>
      <c r="J384" s="174"/>
      <c r="K384" s="174"/>
      <c r="L384" s="174"/>
      <c r="M384" s="174"/>
      <c r="N384" s="174"/>
      <c r="O384" s="174"/>
      <c r="P384" s="174"/>
    </row>
    <row r="385" outlineLevel="1">
      <c r="A385" s="170" t="s">
        <v>141</v>
      </c>
      <c r="B385" s="171" t="str">
        <f t="shared" si="2"/>
        <v>5.45.7</v>
      </c>
      <c r="C385" s="172" t="s">
        <v>335</v>
      </c>
      <c r="D385" s="173" t="s">
        <v>752</v>
      </c>
      <c r="E385" s="174"/>
      <c r="F385" s="174"/>
      <c r="G385" s="170" t="s">
        <v>71</v>
      </c>
      <c r="H385" s="172" t="s">
        <v>187</v>
      </c>
      <c r="I385" s="174"/>
      <c r="J385" s="174"/>
      <c r="K385" s="174"/>
      <c r="L385" s="174"/>
      <c r="M385" s="174"/>
      <c r="N385" s="174"/>
      <c r="O385" s="174"/>
      <c r="P385" s="174"/>
    </row>
    <row r="386">
      <c r="A386" s="170" t="s">
        <v>142</v>
      </c>
      <c r="B386" s="171" t="str">
        <f t="shared" si="2"/>
        <v>5.46.1</v>
      </c>
      <c r="C386" s="172" t="s">
        <v>336</v>
      </c>
      <c r="D386" s="173" t="s">
        <v>753</v>
      </c>
      <c r="E386" s="174"/>
      <c r="F386" s="174"/>
      <c r="G386" s="170" t="s">
        <v>74</v>
      </c>
      <c r="H386" s="172" t="s">
        <v>187</v>
      </c>
      <c r="I386" s="174"/>
      <c r="J386" s="174"/>
      <c r="K386" s="174"/>
      <c r="L386" s="174"/>
      <c r="M386" s="174"/>
      <c r="N386" s="174"/>
      <c r="O386" s="174"/>
      <c r="P386" s="174"/>
    </row>
    <row r="387" outlineLevel="1">
      <c r="A387" s="170" t="s">
        <v>142</v>
      </c>
      <c r="B387" s="171" t="str">
        <f t="shared" si="2"/>
        <v>5.46.2</v>
      </c>
      <c r="C387" s="172" t="s">
        <v>336</v>
      </c>
      <c r="D387" s="173" t="s">
        <v>754</v>
      </c>
      <c r="E387" s="174"/>
      <c r="F387" s="174"/>
      <c r="G387" s="170" t="s">
        <v>74</v>
      </c>
      <c r="H387" s="172" t="s">
        <v>187</v>
      </c>
      <c r="I387" s="174"/>
      <c r="J387" s="174"/>
      <c r="K387" s="174"/>
      <c r="L387" s="174"/>
      <c r="M387" s="174"/>
      <c r="N387" s="174"/>
      <c r="O387" s="174"/>
      <c r="P387" s="174"/>
    </row>
    <row r="388" outlineLevel="1">
      <c r="A388" s="170" t="s">
        <v>142</v>
      </c>
      <c r="B388" s="171" t="str">
        <f t="shared" si="2"/>
        <v>5.46.3</v>
      </c>
      <c r="C388" s="172" t="s">
        <v>336</v>
      </c>
      <c r="D388" s="173" t="s">
        <v>755</v>
      </c>
      <c r="E388" s="174"/>
      <c r="F388" s="174"/>
      <c r="G388" s="170" t="s">
        <v>74</v>
      </c>
      <c r="H388" s="172" t="s">
        <v>187</v>
      </c>
      <c r="I388" s="174"/>
      <c r="J388" s="174"/>
      <c r="K388" s="174"/>
      <c r="L388" s="174"/>
      <c r="M388" s="174"/>
      <c r="N388" s="174"/>
      <c r="O388" s="174"/>
      <c r="P388" s="174"/>
    </row>
    <row r="389" outlineLevel="1">
      <c r="A389" s="170" t="s">
        <v>142</v>
      </c>
      <c r="B389" s="171" t="str">
        <f t="shared" si="2"/>
        <v>5.46.4</v>
      </c>
      <c r="C389" s="172" t="s">
        <v>336</v>
      </c>
      <c r="D389" s="173" t="s">
        <v>756</v>
      </c>
      <c r="E389" s="174"/>
      <c r="F389" s="174"/>
      <c r="G389" s="170" t="s">
        <v>74</v>
      </c>
      <c r="H389" s="172" t="s">
        <v>187</v>
      </c>
      <c r="I389" s="174"/>
      <c r="J389" s="174"/>
      <c r="K389" s="174"/>
      <c r="L389" s="174"/>
      <c r="M389" s="174"/>
      <c r="N389" s="174"/>
      <c r="O389" s="174"/>
      <c r="P389" s="174"/>
    </row>
    <row r="390" outlineLevel="1">
      <c r="A390" s="170" t="s">
        <v>142</v>
      </c>
      <c r="B390" s="171" t="str">
        <f t="shared" si="2"/>
        <v>5.46.5</v>
      </c>
      <c r="C390" s="172" t="s">
        <v>336</v>
      </c>
      <c r="D390" s="173" t="s">
        <v>757</v>
      </c>
      <c r="E390" s="174"/>
      <c r="F390" s="174"/>
      <c r="G390" s="170" t="s">
        <v>74</v>
      </c>
      <c r="H390" s="172" t="s">
        <v>187</v>
      </c>
      <c r="I390" s="174"/>
      <c r="J390" s="174"/>
      <c r="K390" s="174"/>
      <c r="L390" s="174"/>
      <c r="M390" s="174"/>
      <c r="N390" s="174"/>
      <c r="O390" s="174"/>
      <c r="P390" s="174"/>
    </row>
    <row r="391" outlineLevel="1">
      <c r="A391" s="170" t="s">
        <v>142</v>
      </c>
      <c r="B391" s="171" t="str">
        <f t="shared" si="2"/>
        <v>5.46.6</v>
      </c>
      <c r="C391" s="172" t="s">
        <v>336</v>
      </c>
      <c r="D391" s="173" t="s">
        <v>758</v>
      </c>
      <c r="E391" s="174"/>
      <c r="F391" s="174"/>
      <c r="G391" s="170" t="s">
        <v>74</v>
      </c>
      <c r="H391" s="172" t="s">
        <v>187</v>
      </c>
      <c r="I391" s="174"/>
      <c r="J391" s="174"/>
      <c r="K391" s="174"/>
      <c r="L391" s="174"/>
      <c r="M391" s="174"/>
      <c r="N391" s="174"/>
      <c r="O391" s="174"/>
      <c r="P391" s="174"/>
    </row>
    <row r="392" outlineLevel="1">
      <c r="A392" s="170" t="s">
        <v>142</v>
      </c>
      <c r="B392" s="171" t="str">
        <f t="shared" si="2"/>
        <v>5.46.7</v>
      </c>
      <c r="C392" s="172" t="s">
        <v>336</v>
      </c>
      <c r="D392" s="173" t="s">
        <v>759</v>
      </c>
      <c r="E392" s="174"/>
      <c r="F392" s="174"/>
      <c r="G392" s="170" t="s">
        <v>74</v>
      </c>
      <c r="H392" s="172" t="s">
        <v>187</v>
      </c>
      <c r="I392" s="174"/>
      <c r="J392" s="174"/>
      <c r="K392" s="174"/>
      <c r="L392" s="174"/>
      <c r="M392" s="174"/>
      <c r="N392" s="174"/>
      <c r="O392" s="174"/>
      <c r="P392" s="174"/>
    </row>
    <row r="393" outlineLevel="1">
      <c r="A393" s="170" t="s">
        <v>142</v>
      </c>
      <c r="B393" s="171" t="str">
        <f t="shared" si="2"/>
        <v>5.46.8</v>
      </c>
      <c r="C393" s="172" t="s">
        <v>336</v>
      </c>
      <c r="D393" s="173" t="s">
        <v>760</v>
      </c>
      <c r="E393" s="174"/>
      <c r="F393" s="174"/>
      <c r="G393" s="170" t="s">
        <v>74</v>
      </c>
      <c r="H393" s="172" t="s">
        <v>187</v>
      </c>
      <c r="I393" s="174"/>
      <c r="J393" s="174"/>
      <c r="K393" s="174"/>
      <c r="L393" s="174"/>
      <c r="M393" s="174"/>
      <c r="N393" s="174"/>
      <c r="O393" s="174"/>
      <c r="P393" s="174"/>
    </row>
    <row r="394">
      <c r="A394" s="170" t="s">
        <v>143</v>
      </c>
      <c r="B394" s="171" t="str">
        <f t="shared" si="2"/>
        <v>5.47.1</v>
      </c>
      <c r="C394" s="172" t="s">
        <v>337</v>
      </c>
      <c r="D394" s="173" t="s">
        <v>761</v>
      </c>
      <c r="E394" s="174"/>
      <c r="F394" s="174"/>
      <c r="G394" s="170" t="s">
        <v>41</v>
      </c>
      <c r="H394" s="172" t="s">
        <v>187</v>
      </c>
      <c r="I394" s="174"/>
      <c r="J394" s="174"/>
      <c r="K394" s="174"/>
      <c r="L394" s="174"/>
      <c r="M394" s="174"/>
      <c r="N394" s="174"/>
      <c r="O394" s="174"/>
      <c r="P394" s="174"/>
    </row>
    <row r="395" outlineLevel="1">
      <c r="A395" s="170" t="s">
        <v>143</v>
      </c>
      <c r="B395" s="171" t="str">
        <f t="shared" si="2"/>
        <v>5.47.2</v>
      </c>
      <c r="C395" s="172" t="s">
        <v>337</v>
      </c>
      <c r="D395" s="173" t="s">
        <v>762</v>
      </c>
      <c r="E395" s="174"/>
      <c r="F395" s="174"/>
      <c r="G395" s="170" t="s">
        <v>41</v>
      </c>
      <c r="H395" s="172" t="s">
        <v>187</v>
      </c>
      <c r="I395" s="174"/>
      <c r="J395" s="174"/>
      <c r="K395" s="174"/>
      <c r="L395" s="174"/>
      <c r="M395" s="174"/>
      <c r="N395" s="174"/>
      <c r="O395" s="174"/>
      <c r="P395" s="174"/>
    </row>
    <row r="396" outlineLevel="1">
      <c r="A396" s="170" t="s">
        <v>143</v>
      </c>
      <c r="B396" s="171" t="str">
        <f t="shared" si="2"/>
        <v>5.47.3</v>
      </c>
      <c r="C396" s="172" t="s">
        <v>337</v>
      </c>
      <c r="D396" s="173" t="s">
        <v>763</v>
      </c>
      <c r="E396" s="174"/>
      <c r="F396" s="174"/>
      <c r="G396" s="170" t="s">
        <v>41</v>
      </c>
      <c r="H396" s="172" t="s">
        <v>187</v>
      </c>
      <c r="I396" s="174"/>
      <c r="J396" s="174"/>
      <c r="K396" s="174"/>
      <c r="L396" s="174"/>
      <c r="M396" s="174"/>
      <c r="N396" s="174"/>
      <c r="O396" s="174"/>
      <c r="P396" s="174"/>
    </row>
    <row r="397" outlineLevel="1">
      <c r="A397" s="170" t="s">
        <v>143</v>
      </c>
      <c r="B397" s="171" t="str">
        <f t="shared" si="2"/>
        <v>5.47.4</v>
      </c>
      <c r="C397" s="172" t="s">
        <v>337</v>
      </c>
      <c r="D397" s="173" t="s">
        <v>764</v>
      </c>
      <c r="E397" s="174"/>
      <c r="F397" s="174"/>
      <c r="G397" s="170" t="s">
        <v>41</v>
      </c>
      <c r="H397" s="172" t="s">
        <v>187</v>
      </c>
      <c r="I397" s="174"/>
      <c r="J397" s="174"/>
      <c r="K397" s="174"/>
      <c r="L397" s="174"/>
      <c r="M397" s="174"/>
      <c r="N397" s="174"/>
      <c r="O397" s="174"/>
      <c r="P397" s="174"/>
    </row>
    <row r="398" outlineLevel="1">
      <c r="A398" s="170" t="s">
        <v>143</v>
      </c>
      <c r="B398" s="171" t="str">
        <f t="shared" si="2"/>
        <v>5.47.5</v>
      </c>
      <c r="C398" s="172" t="s">
        <v>337</v>
      </c>
      <c r="D398" s="173" t="s">
        <v>765</v>
      </c>
      <c r="E398" s="174"/>
      <c r="F398" s="174"/>
      <c r="G398" s="170" t="s">
        <v>41</v>
      </c>
      <c r="H398" s="172" t="s">
        <v>187</v>
      </c>
      <c r="I398" s="174"/>
      <c r="J398" s="174"/>
      <c r="K398" s="174"/>
      <c r="L398" s="174"/>
      <c r="M398" s="174"/>
      <c r="N398" s="174"/>
      <c r="O398" s="174"/>
      <c r="P398" s="174"/>
    </row>
    <row r="399" outlineLevel="1">
      <c r="A399" s="170" t="s">
        <v>143</v>
      </c>
      <c r="B399" s="171" t="str">
        <f t="shared" si="2"/>
        <v>5.47.6</v>
      </c>
      <c r="C399" s="172" t="s">
        <v>337</v>
      </c>
      <c r="D399" s="173" t="s">
        <v>737</v>
      </c>
      <c r="E399" s="174"/>
      <c r="F399" s="174"/>
      <c r="G399" s="170" t="s">
        <v>41</v>
      </c>
      <c r="H399" s="172" t="s">
        <v>187</v>
      </c>
      <c r="I399" s="174"/>
      <c r="J399" s="174"/>
      <c r="K399" s="174"/>
      <c r="L399" s="174"/>
      <c r="M399" s="174"/>
      <c r="N399" s="174"/>
      <c r="O399" s="174"/>
      <c r="P399" s="174"/>
    </row>
    <row r="400">
      <c r="A400" s="170" t="s">
        <v>144</v>
      </c>
      <c r="B400" s="171" t="str">
        <f t="shared" si="2"/>
        <v>5.48.1</v>
      </c>
      <c r="C400" s="172" t="s">
        <v>338</v>
      </c>
      <c r="D400" s="173" t="s">
        <v>766</v>
      </c>
      <c r="E400" s="174"/>
      <c r="F400" s="174"/>
      <c r="G400" s="170" t="s">
        <v>51</v>
      </c>
      <c r="H400" s="172" t="s">
        <v>187</v>
      </c>
      <c r="I400" s="174"/>
      <c r="J400" s="174"/>
      <c r="K400" s="174"/>
      <c r="L400" s="174"/>
      <c r="M400" s="174"/>
      <c r="N400" s="174"/>
      <c r="O400" s="174"/>
      <c r="P400" s="174"/>
    </row>
    <row r="401" outlineLevel="1">
      <c r="A401" s="170" t="s">
        <v>144</v>
      </c>
      <c r="B401" s="171" t="str">
        <f t="shared" si="2"/>
        <v>5.48.2</v>
      </c>
      <c r="C401" s="172" t="s">
        <v>338</v>
      </c>
      <c r="D401" s="173" t="s">
        <v>767</v>
      </c>
      <c r="E401" s="174"/>
      <c r="F401" s="174"/>
      <c r="G401" s="170" t="s">
        <v>51</v>
      </c>
      <c r="H401" s="172" t="s">
        <v>187</v>
      </c>
      <c r="I401" s="174"/>
      <c r="J401" s="174"/>
      <c r="K401" s="174"/>
      <c r="L401" s="174"/>
      <c r="M401" s="174"/>
      <c r="N401" s="174"/>
      <c r="O401" s="174"/>
      <c r="P401" s="174"/>
    </row>
    <row r="402" outlineLevel="1">
      <c r="A402" s="170" t="s">
        <v>144</v>
      </c>
      <c r="B402" s="171" t="str">
        <f t="shared" si="2"/>
        <v>5.48.3</v>
      </c>
      <c r="C402" s="172" t="s">
        <v>338</v>
      </c>
      <c r="D402" s="173" t="s">
        <v>768</v>
      </c>
      <c r="E402" s="174"/>
      <c r="F402" s="174"/>
      <c r="G402" s="170" t="s">
        <v>51</v>
      </c>
      <c r="H402" s="172" t="s">
        <v>187</v>
      </c>
      <c r="I402" s="174"/>
      <c r="J402" s="174"/>
      <c r="K402" s="174"/>
      <c r="L402" s="174"/>
      <c r="M402" s="174"/>
      <c r="N402" s="174"/>
      <c r="O402" s="174"/>
      <c r="P402" s="174"/>
    </row>
    <row r="403" outlineLevel="1">
      <c r="A403" s="170" t="s">
        <v>144</v>
      </c>
      <c r="B403" s="171" t="str">
        <f t="shared" si="2"/>
        <v>5.48.4</v>
      </c>
      <c r="C403" s="172" t="s">
        <v>338</v>
      </c>
      <c r="D403" s="173" t="s">
        <v>769</v>
      </c>
      <c r="E403" s="174"/>
      <c r="F403" s="174"/>
      <c r="G403" s="170" t="s">
        <v>51</v>
      </c>
      <c r="H403" s="172" t="s">
        <v>187</v>
      </c>
      <c r="I403" s="174"/>
      <c r="J403" s="174"/>
      <c r="K403" s="174"/>
      <c r="L403" s="174"/>
      <c r="M403" s="174"/>
      <c r="N403" s="174"/>
      <c r="O403" s="174"/>
      <c r="P403" s="174"/>
    </row>
    <row r="404" outlineLevel="1">
      <c r="A404" s="170" t="s">
        <v>144</v>
      </c>
      <c r="B404" s="171" t="str">
        <f t="shared" si="2"/>
        <v>5.48.5</v>
      </c>
      <c r="C404" s="172" t="s">
        <v>338</v>
      </c>
      <c r="D404" s="173" t="s">
        <v>770</v>
      </c>
      <c r="E404" s="174"/>
      <c r="F404" s="174"/>
      <c r="G404" s="170" t="s">
        <v>51</v>
      </c>
      <c r="H404" s="172" t="s">
        <v>187</v>
      </c>
      <c r="I404" s="174"/>
      <c r="J404" s="174"/>
      <c r="K404" s="174"/>
      <c r="L404" s="174"/>
      <c r="M404" s="174"/>
      <c r="N404" s="174"/>
      <c r="O404" s="174"/>
      <c r="P404" s="174"/>
    </row>
    <row r="405" outlineLevel="1">
      <c r="A405" s="170" t="s">
        <v>144</v>
      </c>
      <c r="B405" s="171" t="str">
        <f t="shared" si="2"/>
        <v>5.48.6</v>
      </c>
      <c r="C405" s="172" t="s">
        <v>338</v>
      </c>
      <c r="D405" s="173" t="s">
        <v>771</v>
      </c>
      <c r="E405" s="174"/>
      <c r="F405" s="174"/>
      <c r="G405" s="170" t="s">
        <v>51</v>
      </c>
      <c r="H405" s="172" t="s">
        <v>187</v>
      </c>
      <c r="I405" s="174"/>
      <c r="J405" s="174"/>
      <c r="K405" s="174"/>
      <c r="L405" s="174"/>
      <c r="M405" s="174"/>
      <c r="N405" s="174"/>
      <c r="O405" s="174"/>
      <c r="P405" s="174"/>
    </row>
    <row r="406">
      <c r="A406" s="170" t="s">
        <v>145</v>
      </c>
      <c r="B406" s="171" t="str">
        <f t="shared" si="2"/>
        <v>5.49.1</v>
      </c>
      <c r="C406" s="172" t="s">
        <v>339</v>
      </c>
      <c r="D406" s="173" t="s">
        <v>772</v>
      </c>
      <c r="E406" s="174"/>
      <c r="F406" s="174"/>
      <c r="G406" s="170" t="s">
        <v>80</v>
      </c>
      <c r="H406" s="172" t="s">
        <v>187</v>
      </c>
      <c r="I406" s="174"/>
      <c r="J406" s="174"/>
      <c r="K406" s="174"/>
      <c r="L406" s="174"/>
      <c r="M406" s="174"/>
      <c r="N406" s="174"/>
      <c r="O406" s="174"/>
      <c r="P406" s="174"/>
    </row>
    <row r="407" outlineLevel="1">
      <c r="A407" s="170" t="s">
        <v>145</v>
      </c>
      <c r="B407" s="171" t="str">
        <f t="shared" si="2"/>
        <v>5.49.2</v>
      </c>
      <c r="C407" s="172" t="s">
        <v>339</v>
      </c>
      <c r="D407" s="173" t="s">
        <v>773</v>
      </c>
      <c r="E407" s="174"/>
      <c r="F407" s="174"/>
      <c r="G407" s="170" t="s">
        <v>80</v>
      </c>
      <c r="H407" s="172" t="s">
        <v>187</v>
      </c>
      <c r="I407" s="174"/>
      <c r="J407" s="174"/>
      <c r="K407" s="174"/>
      <c r="L407" s="174"/>
      <c r="M407" s="174"/>
      <c r="N407" s="174"/>
      <c r="O407" s="174"/>
      <c r="P407" s="174"/>
    </row>
    <row r="408" outlineLevel="1">
      <c r="A408" s="170" t="s">
        <v>145</v>
      </c>
      <c r="B408" s="171" t="str">
        <f t="shared" si="2"/>
        <v>5.49.3</v>
      </c>
      <c r="C408" s="172" t="s">
        <v>339</v>
      </c>
      <c r="D408" s="173" t="s">
        <v>774</v>
      </c>
      <c r="E408" s="174"/>
      <c r="F408" s="174"/>
      <c r="G408" s="170" t="s">
        <v>80</v>
      </c>
      <c r="H408" s="172" t="s">
        <v>187</v>
      </c>
      <c r="I408" s="174"/>
      <c r="J408" s="174"/>
      <c r="K408" s="174"/>
      <c r="L408" s="174"/>
      <c r="M408" s="174"/>
      <c r="N408" s="174"/>
      <c r="O408" s="174"/>
      <c r="P408" s="174"/>
    </row>
    <row r="409" outlineLevel="1">
      <c r="A409" s="170" t="s">
        <v>145</v>
      </c>
      <c r="B409" s="171" t="str">
        <f t="shared" si="2"/>
        <v>5.49.4</v>
      </c>
      <c r="C409" s="172" t="s">
        <v>339</v>
      </c>
      <c r="D409" s="173" t="s">
        <v>775</v>
      </c>
      <c r="E409" s="174"/>
      <c r="F409" s="174"/>
      <c r="G409" s="170" t="s">
        <v>80</v>
      </c>
      <c r="H409" s="172" t="s">
        <v>187</v>
      </c>
      <c r="I409" s="174"/>
      <c r="J409" s="174"/>
      <c r="K409" s="174"/>
      <c r="L409" s="174"/>
      <c r="M409" s="174"/>
      <c r="N409" s="174"/>
      <c r="O409" s="174"/>
      <c r="P409" s="174"/>
    </row>
    <row r="410" outlineLevel="1">
      <c r="A410" s="170" t="s">
        <v>145</v>
      </c>
      <c r="B410" s="171" t="str">
        <f t="shared" si="2"/>
        <v>5.49.5</v>
      </c>
      <c r="C410" s="172" t="s">
        <v>339</v>
      </c>
      <c r="D410" s="173" t="s">
        <v>776</v>
      </c>
      <c r="E410" s="174"/>
      <c r="F410" s="174"/>
      <c r="G410" s="170" t="s">
        <v>80</v>
      </c>
      <c r="H410" s="172" t="s">
        <v>187</v>
      </c>
      <c r="I410" s="174"/>
      <c r="J410" s="174"/>
      <c r="K410" s="174"/>
      <c r="L410" s="174"/>
      <c r="M410" s="174"/>
      <c r="N410" s="174"/>
      <c r="O410" s="174"/>
      <c r="P410" s="174"/>
    </row>
    <row r="411">
      <c r="A411" s="170" t="s">
        <v>340</v>
      </c>
      <c r="B411" s="171" t="str">
        <f t="shared" si="2"/>
        <v>6.1.1</v>
      </c>
      <c r="C411" s="172" t="s">
        <v>234</v>
      </c>
      <c r="D411" s="152" t="s">
        <v>440</v>
      </c>
      <c r="E411" s="174"/>
      <c r="F411" s="174"/>
      <c r="G411" s="170" t="s">
        <v>41</v>
      </c>
      <c r="H411" s="172" t="s">
        <v>187</v>
      </c>
      <c r="I411" s="174"/>
      <c r="J411" s="174"/>
      <c r="K411" s="174"/>
      <c r="L411" s="174"/>
      <c r="M411" s="174"/>
      <c r="N411" s="174"/>
      <c r="O411" s="174"/>
      <c r="P411" s="174"/>
    </row>
    <row r="412" outlineLevel="1">
      <c r="A412" s="170" t="s">
        <v>340</v>
      </c>
      <c r="B412" s="171" t="str">
        <f t="shared" si="2"/>
        <v>6.1.2</v>
      </c>
      <c r="C412" s="172" t="s">
        <v>234</v>
      </c>
      <c r="D412" s="152" t="s">
        <v>441</v>
      </c>
      <c r="E412" s="174"/>
      <c r="F412" s="174"/>
      <c r="G412" s="170" t="s">
        <v>41</v>
      </c>
      <c r="H412" s="172" t="s">
        <v>187</v>
      </c>
      <c r="I412" s="174"/>
      <c r="J412" s="174"/>
      <c r="K412" s="174"/>
      <c r="L412" s="174"/>
      <c r="M412" s="174"/>
      <c r="N412" s="174"/>
      <c r="O412" s="174"/>
      <c r="P412" s="174"/>
    </row>
    <row r="413" outlineLevel="1">
      <c r="A413" s="170" t="s">
        <v>340</v>
      </c>
      <c r="B413" s="171" t="str">
        <f t="shared" si="2"/>
        <v>6.1.3</v>
      </c>
      <c r="C413" s="172" t="s">
        <v>234</v>
      </c>
      <c r="D413" s="152" t="s">
        <v>442</v>
      </c>
      <c r="E413" s="174"/>
      <c r="F413" s="174"/>
      <c r="G413" s="170" t="s">
        <v>41</v>
      </c>
      <c r="H413" s="172" t="s">
        <v>187</v>
      </c>
      <c r="I413" s="174"/>
      <c r="J413" s="174"/>
      <c r="K413" s="174"/>
      <c r="L413" s="174"/>
      <c r="M413" s="174"/>
      <c r="N413" s="174"/>
      <c r="O413" s="174"/>
      <c r="P413" s="174"/>
    </row>
    <row r="414" outlineLevel="1">
      <c r="A414" s="170" t="s">
        <v>340</v>
      </c>
      <c r="B414" s="171" t="str">
        <f t="shared" si="2"/>
        <v>6.1.4</v>
      </c>
      <c r="C414" s="172" t="s">
        <v>234</v>
      </c>
      <c r="D414" s="152" t="s">
        <v>443</v>
      </c>
      <c r="E414" s="174"/>
      <c r="F414" s="174"/>
      <c r="G414" s="170" t="s">
        <v>41</v>
      </c>
      <c r="H414" s="172" t="s">
        <v>187</v>
      </c>
      <c r="I414" s="174"/>
      <c r="J414" s="174"/>
      <c r="K414" s="174"/>
      <c r="L414" s="174"/>
      <c r="M414" s="174"/>
      <c r="N414" s="174"/>
      <c r="O414" s="174"/>
      <c r="P414" s="174"/>
    </row>
    <row r="415" outlineLevel="1">
      <c r="A415" s="170" t="s">
        <v>340</v>
      </c>
      <c r="B415" s="171" t="str">
        <f t="shared" si="2"/>
        <v>6.1.5</v>
      </c>
      <c r="C415" s="172" t="s">
        <v>234</v>
      </c>
      <c r="D415" s="152" t="s">
        <v>444</v>
      </c>
      <c r="E415" s="174"/>
      <c r="F415" s="174"/>
      <c r="G415" s="170" t="s">
        <v>41</v>
      </c>
      <c r="H415" s="172" t="s">
        <v>187</v>
      </c>
      <c r="I415" s="174"/>
      <c r="J415" s="174"/>
      <c r="K415" s="174"/>
      <c r="L415" s="174"/>
      <c r="M415" s="174"/>
      <c r="N415" s="174"/>
      <c r="O415" s="174"/>
      <c r="P415" s="174"/>
    </row>
    <row r="416" outlineLevel="1">
      <c r="A416" s="170" t="s">
        <v>340</v>
      </c>
      <c r="B416" s="171" t="str">
        <f t="shared" si="2"/>
        <v>6.1.6</v>
      </c>
      <c r="C416" s="172" t="s">
        <v>234</v>
      </c>
      <c r="D416" s="152" t="s">
        <v>540</v>
      </c>
      <c r="E416" s="174"/>
      <c r="F416" s="174"/>
      <c r="G416" s="170" t="s">
        <v>41</v>
      </c>
      <c r="H416" s="172" t="s">
        <v>187</v>
      </c>
      <c r="I416" s="174"/>
      <c r="J416" s="174"/>
      <c r="K416" s="174"/>
      <c r="L416" s="174"/>
      <c r="M416" s="174"/>
      <c r="N416" s="174"/>
      <c r="O416" s="174"/>
      <c r="P416" s="174"/>
    </row>
    <row r="417" outlineLevel="1">
      <c r="A417" s="170" t="s">
        <v>340</v>
      </c>
      <c r="B417" s="171" t="str">
        <f t="shared" si="2"/>
        <v>6.1.7</v>
      </c>
      <c r="C417" s="172" t="s">
        <v>234</v>
      </c>
      <c r="D417" s="152" t="s">
        <v>446</v>
      </c>
      <c r="E417" s="174"/>
      <c r="F417" s="174"/>
      <c r="G417" s="170" t="s">
        <v>41</v>
      </c>
      <c r="H417" s="172" t="s">
        <v>187</v>
      </c>
      <c r="I417" s="174"/>
      <c r="J417" s="174"/>
      <c r="K417" s="174"/>
      <c r="L417" s="174"/>
      <c r="M417" s="174"/>
      <c r="N417" s="174"/>
      <c r="O417" s="174"/>
      <c r="P417" s="174"/>
    </row>
    <row r="418">
      <c r="A418" s="170" t="s">
        <v>341</v>
      </c>
      <c r="B418" s="171" t="str">
        <f t="shared" si="2"/>
        <v>6.2.1</v>
      </c>
      <c r="C418" s="172" t="s">
        <v>285</v>
      </c>
      <c r="D418" s="152" t="s">
        <v>447</v>
      </c>
      <c r="E418" s="174"/>
      <c r="F418" s="174"/>
      <c r="G418" s="170" t="s">
        <v>41</v>
      </c>
      <c r="H418" s="172" t="s">
        <v>187</v>
      </c>
      <c r="I418" s="174"/>
      <c r="J418" s="174"/>
      <c r="K418" s="174"/>
      <c r="L418" s="174"/>
      <c r="M418" s="174"/>
      <c r="N418" s="174"/>
      <c r="O418" s="174"/>
      <c r="P418" s="174"/>
    </row>
    <row r="419" outlineLevel="1">
      <c r="A419" s="170" t="s">
        <v>341</v>
      </c>
      <c r="B419" s="171" t="str">
        <f t="shared" si="2"/>
        <v>6.2.2</v>
      </c>
      <c r="C419" s="172" t="s">
        <v>285</v>
      </c>
      <c r="D419" s="152" t="s">
        <v>448</v>
      </c>
      <c r="E419" s="174"/>
      <c r="F419" s="174"/>
      <c r="G419" s="170" t="s">
        <v>41</v>
      </c>
      <c r="H419" s="172" t="s">
        <v>187</v>
      </c>
      <c r="I419" s="174"/>
      <c r="J419" s="174"/>
      <c r="K419" s="174"/>
      <c r="L419" s="174"/>
      <c r="M419" s="174"/>
      <c r="N419" s="174"/>
      <c r="O419" s="174"/>
      <c r="P419" s="174"/>
    </row>
    <row r="420" outlineLevel="1">
      <c r="A420" s="170" t="s">
        <v>341</v>
      </c>
      <c r="B420" s="171" t="str">
        <f t="shared" si="2"/>
        <v>6.2.3</v>
      </c>
      <c r="C420" s="172" t="s">
        <v>285</v>
      </c>
      <c r="D420" s="152" t="s">
        <v>449</v>
      </c>
      <c r="E420" s="174"/>
      <c r="F420" s="174"/>
      <c r="G420" s="170" t="s">
        <v>41</v>
      </c>
      <c r="H420" s="172" t="s">
        <v>187</v>
      </c>
      <c r="I420" s="174"/>
      <c r="J420" s="174"/>
      <c r="K420" s="174"/>
      <c r="L420" s="174"/>
      <c r="M420" s="174"/>
      <c r="N420" s="174"/>
      <c r="O420" s="174"/>
      <c r="P420" s="174"/>
    </row>
    <row r="421" outlineLevel="1">
      <c r="A421" s="170" t="s">
        <v>341</v>
      </c>
      <c r="B421" s="171" t="str">
        <f t="shared" si="2"/>
        <v>6.2.4</v>
      </c>
      <c r="C421" s="172" t="s">
        <v>285</v>
      </c>
      <c r="D421" s="152" t="s">
        <v>450</v>
      </c>
      <c r="E421" s="174"/>
      <c r="F421" s="174"/>
      <c r="G421" s="170" t="s">
        <v>41</v>
      </c>
      <c r="H421" s="172" t="s">
        <v>187</v>
      </c>
      <c r="I421" s="174"/>
      <c r="J421" s="174"/>
      <c r="K421" s="174"/>
      <c r="L421" s="174"/>
      <c r="M421" s="174"/>
      <c r="N421" s="174"/>
      <c r="O421" s="174"/>
      <c r="P421" s="174"/>
    </row>
    <row r="422" outlineLevel="1">
      <c r="A422" s="170" t="s">
        <v>341</v>
      </c>
      <c r="B422" s="171" t="str">
        <f t="shared" si="2"/>
        <v>6.2.5</v>
      </c>
      <c r="C422" s="172" t="s">
        <v>285</v>
      </c>
      <c r="D422" s="152" t="s">
        <v>451</v>
      </c>
      <c r="E422" s="174"/>
      <c r="F422" s="174"/>
      <c r="G422" s="170" t="s">
        <v>41</v>
      </c>
      <c r="H422" s="172" t="s">
        <v>187</v>
      </c>
      <c r="I422" s="174"/>
      <c r="J422" s="174"/>
      <c r="K422" s="174"/>
      <c r="L422" s="174"/>
      <c r="M422" s="174"/>
      <c r="N422" s="174"/>
      <c r="O422" s="174"/>
      <c r="P422" s="174"/>
    </row>
    <row r="423" outlineLevel="1">
      <c r="A423" s="170" t="s">
        <v>341</v>
      </c>
      <c r="B423" s="171" t="str">
        <f t="shared" si="2"/>
        <v>6.2.6</v>
      </c>
      <c r="C423" s="172" t="s">
        <v>285</v>
      </c>
      <c r="D423" s="152" t="s">
        <v>452</v>
      </c>
      <c r="E423" s="174"/>
      <c r="F423" s="174"/>
      <c r="G423" s="170" t="s">
        <v>41</v>
      </c>
      <c r="H423" s="172" t="s">
        <v>187</v>
      </c>
      <c r="I423" s="174"/>
      <c r="J423" s="174"/>
      <c r="K423" s="174"/>
      <c r="L423" s="174"/>
      <c r="M423" s="174"/>
      <c r="N423" s="174"/>
      <c r="O423" s="174"/>
      <c r="P423" s="174"/>
    </row>
    <row r="424" outlineLevel="1">
      <c r="A424" s="170" t="s">
        <v>341</v>
      </c>
      <c r="B424" s="171" t="str">
        <f t="shared" si="2"/>
        <v>6.2.7</v>
      </c>
      <c r="C424" s="172" t="s">
        <v>285</v>
      </c>
      <c r="D424" s="152" t="s">
        <v>453</v>
      </c>
      <c r="E424" s="174"/>
      <c r="F424" s="174"/>
      <c r="G424" s="170" t="s">
        <v>41</v>
      </c>
      <c r="H424" s="172" t="s">
        <v>187</v>
      </c>
      <c r="I424" s="174"/>
      <c r="J424" s="174"/>
      <c r="K424" s="174"/>
      <c r="L424" s="174"/>
      <c r="M424" s="174"/>
      <c r="N424" s="174"/>
      <c r="O424" s="174"/>
      <c r="P424" s="174"/>
    </row>
    <row r="425" outlineLevel="1">
      <c r="A425" s="170" t="s">
        <v>341</v>
      </c>
      <c r="B425" s="171" t="str">
        <f t="shared" si="2"/>
        <v>6.2.8</v>
      </c>
      <c r="C425" s="172" t="s">
        <v>285</v>
      </c>
      <c r="D425" s="152" t="s">
        <v>454</v>
      </c>
      <c r="E425" s="174"/>
      <c r="F425" s="174"/>
      <c r="G425" s="170" t="s">
        <v>41</v>
      </c>
      <c r="H425" s="172" t="s">
        <v>187</v>
      </c>
      <c r="I425" s="174"/>
      <c r="J425" s="174"/>
      <c r="K425" s="174"/>
      <c r="L425" s="174"/>
      <c r="M425" s="174"/>
      <c r="N425" s="174"/>
      <c r="O425" s="174"/>
      <c r="P425" s="174"/>
    </row>
    <row r="426">
      <c r="A426" s="170" t="s">
        <v>342</v>
      </c>
      <c r="B426" s="171" t="str">
        <f t="shared" si="2"/>
        <v>6.3.1</v>
      </c>
      <c r="C426" s="172" t="s">
        <v>62</v>
      </c>
      <c r="D426" s="152" t="s">
        <v>460</v>
      </c>
      <c r="E426" s="174"/>
      <c r="F426" s="174"/>
      <c r="G426" s="170" t="s">
        <v>41</v>
      </c>
      <c r="H426" s="172" t="s">
        <v>187</v>
      </c>
      <c r="I426" s="174"/>
      <c r="J426" s="174"/>
      <c r="K426" s="174"/>
      <c r="L426" s="174"/>
      <c r="M426" s="174"/>
      <c r="N426" s="174"/>
      <c r="O426" s="174"/>
      <c r="P426" s="174"/>
    </row>
    <row r="427" outlineLevel="1">
      <c r="A427" s="170" t="s">
        <v>342</v>
      </c>
      <c r="B427" s="171" t="str">
        <f t="shared" si="2"/>
        <v>6.3.2</v>
      </c>
      <c r="C427" s="172" t="s">
        <v>62</v>
      </c>
      <c r="D427" s="152" t="s">
        <v>541</v>
      </c>
      <c r="E427" s="174"/>
      <c r="F427" s="174"/>
      <c r="G427" s="170" t="s">
        <v>41</v>
      </c>
      <c r="H427" s="172" t="s">
        <v>187</v>
      </c>
      <c r="I427" s="174"/>
      <c r="J427" s="174"/>
      <c r="K427" s="174"/>
      <c r="L427" s="174"/>
      <c r="M427" s="174"/>
      <c r="N427" s="174"/>
      <c r="O427" s="174"/>
      <c r="P427" s="174"/>
    </row>
    <row r="428" outlineLevel="1">
      <c r="A428" s="170" t="s">
        <v>342</v>
      </c>
      <c r="B428" s="171" t="str">
        <f t="shared" si="2"/>
        <v>6.3.3</v>
      </c>
      <c r="C428" s="172" t="s">
        <v>62</v>
      </c>
      <c r="D428" s="152" t="s">
        <v>462</v>
      </c>
      <c r="E428" s="174"/>
      <c r="F428" s="174"/>
      <c r="G428" s="170" t="s">
        <v>41</v>
      </c>
      <c r="H428" s="172" t="s">
        <v>187</v>
      </c>
      <c r="I428" s="174"/>
      <c r="J428" s="174"/>
      <c r="K428" s="174"/>
      <c r="L428" s="174"/>
      <c r="M428" s="174"/>
      <c r="N428" s="174"/>
      <c r="O428" s="174"/>
      <c r="P428" s="174"/>
    </row>
    <row r="429" outlineLevel="1">
      <c r="A429" s="170" t="s">
        <v>342</v>
      </c>
      <c r="B429" s="171" t="str">
        <f t="shared" si="2"/>
        <v>6.3.4</v>
      </c>
      <c r="C429" s="172" t="s">
        <v>62</v>
      </c>
      <c r="D429" s="152" t="s">
        <v>542</v>
      </c>
      <c r="E429" s="174"/>
      <c r="F429" s="174"/>
      <c r="G429" s="170" t="s">
        <v>41</v>
      </c>
      <c r="H429" s="172" t="s">
        <v>187</v>
      </c>
      <c r="I429" s="174"/>
      <c r="J429" s="174"/>
      <c r="K429" s="174"/>
      <c r="L429" s="174"/>
      <c r="M429" s="174"/>
      <c r="N429" s="174"/>
      <c r="O429" s="174"/>
      <c r="P429" s="174"/>
    </row>
    <row r="430" outlineLevel="1">
      <c r="A430" s="170" t="s">
        <v>342</v>
      </c>
      <c r="B430" s="171" t="str">
        <f t="shared" si="2"/>
        <v>6.3.5</v>
      </c>
      <c r="C430" s="172" t="s">
        <v>62</v>
      </c>
      <c r="D430" s="152" t="s">
        <v>464</v>
      </c>
      <c r="E430" s="174"/>
      <c r="F430" s="174"/>
      <c r="G430" s="170" t="s">
        <v>41</v>
      </c>
      <c r="H430" s="172" t="s">
        <v>187</v>
      </c>
      <c r="I430" s="174"/>
      <c r="J430" s="174"/>
      <c r="K430" s="174"/>
      <c r="L430" s="174"/>
      <c r="M430" s="174"/>
      <c r="N430" s="174"/>
      <c r="O430" s="174"/>
      <c r="P430" s="174"/>
    </row>
    <row r="431">
      <c r="A431" s="170" t="s">
        <v>343</v>
      </c>
      <c r="B431" s="171" t="str">
        <f t="shared" si="2"/>
        <v>6.4.1</v>
      </c>
      <c r="C431" s="172" t="s">
        <v>59</v>
      </c>
      <c r="D431" s="152" t="s">
        <v>455</v>
      </c>
      <c r="E431" s="174"/>
      <c r="F431" s="174"/>
      <c r="G431" s="170" t="s">
        <v>41</v>
      </c>
      <c r="H431" s="172" t="s">
        <v>187</v>
      </c>
      <c r="I431" s="174"/>
      <c r="J431" s="174"/>
      <c r="K431" s="174"/>
      <c r="L431" s="174"/>
      <c r="M431" s="174"/>
      <c r="N431" s="174"/>
      <c r="O431" s="174"/>
      <c r="P431" s="174"/>
    </row>
    <row r="432" outlineLevel="1">
      <c r="A432" s="170" t="s">
        <v>343</v>
      </c>
      <c r="B432" s="171" t="str">
        <f t="shared" si="2"/>
        <v>6.4.2</v>
      </c>
      <c r="C432" s="172" t="s">
        <v>59</v>
      </c>
      <c r="D432" s="152" t="s">
        <v>456</v>
      </c>
      <c r="E432" s="174"/>
      <c r="F432" s="174"/>
      <c r="G432" s="170" t="s">
        <v>41</v>
      </c>
      <c r="H432" s="172" t="s">
        <v>187</v>
      </c>
      <c r="I432" s="174"/>
      <c r="J432" s="174"/>
      <c r="K432" s="174"/>
      <c r="L432" s="174"/>
      <c r="M432" s="174"/>
      <c r="N432" s="174"/>
      <c r="O432" s="174"/>
      <c r="P432" s="174"/>
    </row>
    <row r="433" outlineLevel="1">
      <c r="A433" s="170" t="s">
        <v>343</v>
      </c>
      <c r="B433" s="171" t="str">
        <f t="shared" si="2"/>
        <v>6.4.3</v>
      </c>
      <c r="C433" s="172" t="s">
        <v>59</v>
      </c>
      <c r="D433" s="152" t="s">
        <v>457</v>
      </c>
      <c r="E433" s="174"/>
      <c r="F433" s="174"/>
      <c r="G433" s="170" t="s">
        <v>41</v>
      </c>
      <c r="H433" s="172" t="s">
        <v>187</v>
      </c>
      <c r="I433" s="174"/>
      <c r="J433" s="174"/>
      <c r="K433" s="174"/>
      <c r="L433" s="174"/>
      <c r="M433" s="174"/>
      <c r="N433" s="174"/>
      <c r="O433" s="174"/>
      <c r="P433" s="174"/>
    </row>
    <row r="434" outlineLevel="1">
      <c r="A434" s="170" t="s">
        <v>343</v>
      </c>
      <c r="B434" s="171" t="str">
        <f t="shared" si="2"/>
        <v>6.4.4</v>
      </c>
      <c r="C434" s="172" t="s">
        <v>59</v>
      </c>
      <c r="D434" s="152" t="s">
        <v>458</v>
      </c>
      <c r="E434" s="174"/>
      <c r="F434" s="174"/>
      <c r="G434" s="170" t="s">
        <v>41</v>
      </c>
      <c r="H434" s="172" t="s">
        <v>187</v>
      </c>
      <c r="I434" s="174"/>
      <c r="J434" s="174"/>
      <c r="K434" s="174"/>
      <c r="L434" s="174"/>
      <c r="M434" s="174"/>
      <c r="N434" s="174"/>
      <c r="O434" s="174"/>
      <c r="P434" s="174"/>
    </row>
    <row r="435" outlineLevel="1">
      <c r="A435" s="170" t="s">
        <v>343</v>
      </c>
      <c r="B435" s="171" t="str">
        <f t="shared" si="2"/>
        <v>6.4.5</v>
      </c>
      <c r="C435" s="172" t="s">
        <v>59</v>
      </c>
      <c r="D435" s="152" t="s">
        <v>459</v>
      </c>
      <c r="E435" s="174"/>
      <c r="F435" s="174"/>
      <c r="G435" s="170" t="s">
        <v>41</v>
      </c>
      <c r="H435" s="172" t="s">
        <v>187</v>
      </c>
      <c r="I435" s="174"/>
      <c r="J435" s="174"/>
      <c r="K435" s="174"/>
      <c r="L435" s="174"/>
      <c r="M435" s="174"/>
      <c r="N435" s="174"/>
      <c r="O435" s="174"/>
      <c r="P435" s="174"/>
    </row>
    <row r="436">
      <c r="A436" s="170" t="s">
        <v>344</v>
      </c>
      <c r="B436" s="171" t="str">
        <f t="shared" si="2"/>
        <v>6.5.1</v>
      </c>
      <c r="C436" s="172" t="s">
        <v>67</v>
      </c>
      <c r="D436" s="152" t="s">
        <v>465</v>
      </c>
      <c r="E436" s="174"/>
      <c r="F436" s="174"/>
      <c r="G436" s="170" t="s">
        <v>41</v>
      </c>
      <c r="H436" s="172" t="s">
        <v>187</v>
      </c>
      <c r="I436" s="174"/>
      <c r="J436" s="174"/>
      <c r="K436" s="174"/>
      <c r="L436" s="174"/>
      <c r="M436" s="174"/>
      <c r="N436" s="174"/>
      <c r="O436" s="174"/>
      <c r="P436" s="174"/>
    </row>
    <row r="437" outlineLevel="1">
      <c r="A437" s="170" t="s">
        <v>344</v>
      </c>
      <c r="B437" s="171" t="str">
        <f t="shared" si="2"/>
        <v>6.5.2</v>
      </c>
      <c r="C437" s="172" t="s">
        <v>67</v>
      </c>
      <c r="D437" s="152" t="s">
        <v>541</v>
      </c>
      <c r="E437" s="174"/>
      <c r="F437" s="174"/>
      <c r="G437" s="170" t="s">
        <v>41</v>
      </c>
      <c r="H437" s="172" t="s">
        <v>187</v>
      </c>
      <c r="I437" s="174"/>
      <c r="J437" s="174"/>
      <c r="K437" s="174"/>
      <c r="L437" s="174"/>
      <c r="M437" s="174"/>
      <c r="N437" s="174"/>
      <c r="O437" s="174"/>
      <c r="P437" s="174"/>
    </row>
    <row r="438" outlineLevel="1">
      <c r="A438" s="170" t="s">
        <v>344</v>
      </c>
      <c r="B438" s="171" t="str">
        <f t="shared" si="2"/>
        <v>6.5.3</v>
      </c>
      <c r="C438" s="172" t="s">
        <v>67</v>
      </c>
      <c r="D438" s="152" t="s">
        <v>462</v>
      </c>
      <c r="E438" s="174"/>
      <c r="F438" s="174"/>
      <c r="G438" s="170" t="s">
        <v>41</v>
      </c>
      <c r="H438" s="172" t="s">
        <v>187</v>
      </c>
      <c r="I438" s="174"/>
      <c r="J438" s="174"/>
      <c r="K438" s="174"/>
      <c r="L438" s="174"/>
      <c r="M438" s="174"/>
      <c r="N438" s="174"/>
      <c r="O438" s="174"/>
      <c r="P438" s="174"/>
    </row>
    <row r="439" outlineLevel="1">
      <c r="A439" s="170" t="s">
        <v>344</v>
      </c>
      <c r="B439" s="171" t="str">
        <f t="shared" si="2"/>
        <v>6.5.4</v>
      </c>
      <c r="C439" s="172" t="s">
        <v>67</v>
      </c>
      <c r="D439" s="152" t="s">
        <v>542</v>
      </c>
      <c r="E439" s="174"/>
      <c r="F439" s="174"/>
      <c r="G439" s="170" t="s">
        <v>41</v>
      </c>
      <c r="H439" s="172" t="s">
        <v>187</v>
      </c>
      <c r="I439" s="174"/>
      <c r="J439" s="174"/>
      <c r="K439" s="174"/>
      <c r="L439" s="174"/>
      <c r="M439" s="174"/>
      <c r="N439" s="174"/>
      <c r="O439" s="174"/>
      <c r="P439" s="174"/>
    </row>
    <row r="440" outlineLevel="1">
      <c r="A440" s="170" t="s">
        <v>344</v>
      </c>
      <c r="B440" s="171" t="str">
        <f t="shared" si="2"/>
        <v>6.5.5</v>
      </c>
      <c r="C440" s="172" t="s">
        <v>67</v>
      </c>
      <c r="D440" s="152" t="s">
        <v>466</v>
      </c>
      <c r="E440" s="174"/>
      <c r="F440" s="174"/>
      <c r="G440" s="170" t="s">
        <v>41</v>
      </c>
      <c r="H440" s="172" t="s">
        <v>187</v>
      </c>
      <c r="I440" s="174"/>
      <c r="J440" s="174"/>
      <c r="K440" s="174"/>
      <c r="L440" s="174"/>
      <c r="M440" s="174"/>
      <c r="N440" s="174"/>
      <c r="O440" s="174"/>
      <c r="P440" s="174"/>
    </row>
    <row r="441">
      <c r="A441" s="170" t="s">
        <v>345</v>
      </c>
      <c r="B441" s="171" t="str">
        <f t="shared" si="2"/>
        <v>6.6.1</v>
      </c>
      <c r="C441" s="172" t="s">
        <v>292</v>
      </c>
      <c r="D441" s="152" t="s">
        <v>777</v>
      </c>
      <c r="E441" s="174"/>
      <c r="F441" s="174"/>
      <c r="G441" s="170" t="s">
        <v>41</v>
      </c>
      <c r="H441" s="172" t="s">
        <v>187</v>
      </c>
      <c r="I441" s="174"/>
      <c r="J441" s="174"/>
      <c r="K441" s="174"/>
      <c r="L441" s="174"/>
      <c r="M441" s="174"/>
      <c r="N441" s="174"/>
      <c r="O441" s="174"/>
      <c r="P441" s="174"/>
    </row>
    <row r="442" outlineLevel="1">
      <c r="A442" s="170" t="s">
        <v>345</v>
      </c>
      <c r="B442" s="171" t="str">
        <f t="shared" si="2"/>
        <v>6.6.2</v>
      </c>
      <c r="C442" s="172" t="s">
        <v>292</v>
      </c>
      <c r="D442" s="152" t="s">
        <v>778</v>
      </c>
      <c r="E442" s="174"/>
      <c r="F442" s="174"/>
      <c r="G442" s="170" t="s">
        <v>41</v>
      </c>
      <c r="H442" s="172" t="s">
        <v>187</v>
      </c>
      <c r="I442" s="174"/>
      <c r="J442" s="174"/>
      <c r="K442" s="174"/>
      <c r="L442" s="174"/>
      <c r="M442" s="174"/>
      <c r="N442" s="174"/>
      <c r="O442" s="174"/>
      <c r="P442" s="174"/>
    </row>
    <row r="443" outlineLevel="1">
      <c r="A443" s="170" t="s">
        <v>345</v>
      </c>
      <c r="B443" s="171" t="str">
        <f t="shared" si="2"/>
        <v>6.6.3</v>
      </c>
      <c r="C443" s="172" t="s">
        <v>292</v>
      </c>
      <c r="D443" s="152" t="s">
        <v>779</v>
      </c>
      <c r="E443" s="174"/>
      <c r="F443" s="174"/>
      <c r="G443" s="170" t="s">
        <v>41</v>
      </c>
      <c r="H443" s="172" t="s">
        <v>187</v>
      </c>
      <c r="I443" s="174"/>
      <c r="J443" s="174"/>
      <c r="K443" s="174"/>
      <c r="L443" s="174"/>
      <c r="M443" s="174"/>
      <c r="N443" s="174"/>
      <c r="O443" s="174"/>
      <c r="P443" s="174"/>
    </row>
    <row r="444" outlineLevel="1">
      <c r="A444" s="175" t="s">
        <v>345</v>
      </c>
      <c r="B444" s="175" t="str">
        <f t="shared" si="2"/>
        <v>6.6.4</v>
      </c>
      <c r="C444" s="176" t="s">
        <v>292</v>
      </c>
      <c r="D444" s="152" t="s">
        <v>546</v>
      </c>
      <c r="E444" s="177"/>
      <c r="F444" s="177"/>
      <c r="G444" s="178" t="s">
        <v>41</v>
      </c>
      <c r="H444" s="176" t="s">
        <v>187</v>
      </c>
      <c r="I444" s="177"/>
      <c r="J444" s="177"/>
      <c r="K444" s="177"/>
      <c r="L444" s="177"/>
      <c r="M444" s="177"/>
      <c r="N444" s="177"/>
      <c r="O444" s="177"/>
      <c r="P444" s="177"/>
      <c r="Q444" s="169"/>
      <c r="R444" s="169"/>
      <c r="S444" s="169"/>
      <c r="T444" s="169"/>
      <c r="U444" s="169"/>
      <c r="V444" s="169"/>
      <c r="W444" s="169"/>
      <c r="X444" s="169"/>
    </row>
    <row r="445" outlineLevel="1">
      <c r="A445" s="175" t="s">
        <v>345</v>
      </c>
      <c r="B445" s="175" t="str">
        <f t="shared" si="2"/>
        <v>6.6.5</v>
      </c>
      <c r="C445" s="176" t="s">
        <v>292</v>
      </c>
      <c r="D445" s="152" t="s">
        <v>547</v>
      </c>
      <c r="E445" s="177"/>
      <c r="F445" s="177"/>
      <c r="G445" s="178" t="s">
        <v>41</v>
      </c>
      <c r="H445" s="176" t="s">
        <v>187</v>
      </c>
      <c r="I445" s="177"/>
      <c r="J445" s="177"/>
      <c r="K445" s="177"/>
      <c r="L445" s="177"/>
      <c r="M445" s="177"/>
      <c r="N445" s="177"/>
      <c r="O445" s="177"/>
      <c r="P445" s="177"/>
      <c r="Q445" s="169"/>
      <c r="R445" s="169"/>
      <c r="S445" s="169"/>
      <c r="T445" s="169"/>
      <c r="U445" s="169"/>
      <c r="V445" s="169"/>
      <c r="W445" s="169"/>
      <c r="X445" s="169"/>
    </row>
    <row r="446" outlineLevel="1">
      <c r="A446" s="170" t="s">
        <v>345</v>
      </c>
      <c r="B446" s="171" t="str">
        <f t="shared" si="2"/>
        <v>6.6.6</v>
      </c>
      <c r="C446" s="172" t="s">
        <v>292</v>
      </c>
      <c r="D446" s="152" t="s">
        <v>446</v>
      </c>
      <c r="E446" s="174"/>
      <c r="F446" s="174"/>
      <c r="G446" s="170" t="s">
        <v>41</v>
      </c>
      <c r="H446" s="172" t="s">
        <v>187</v>
      </c>
      <c r="I446" s="174"/>
      <c r="J446" s="174"/>
      <c r="K446" s="174"/>
      <c r="L446" s="174"/>
      <c r="M446" s="174"/>
      <c r="N446" s="174"/>
      <c r="O446" s="174"/>
      <c r="P446" s="174"/>
    </row>
    <row r="447">
      <c r="A447" s="170" t="s">
        <v>346</v>
      </c>
      <c r="B447" s="171" t="str">
        <f t="shared" si="2"/>
        <v>6.7.1</v>
      </c>
      <c r="C447" s="172" t="s">
        <v>305</v>
      </c>
      <c r="D447" s="152" t="s">
        <v>580</v>
      </c>
      <c r="E447" s="174"/>
      <c r="F447" s="174"/>
      <c r="G447" s="170" t="s">
        <v>41</v>
      </c>
      <c r="H447" s="172" t="s">
        <v>187</v>
      </c>
      <c r="I447" s="174"/>
      <c r="J447" s="174"/>
      <c r="K447" s="174"/>
      <c r="L447" s="174"/>
      <c r="M447" s="174"/>
      <c r="N447" s="174"/>
      <c r="O447" s="174"/>
      <c r="P447" s="174"/>
    </row>
    <row r="448" outlineLevel="1">
      <c r="A448" s="170" t="s">
        <v>346</v>
      </c>
      <c r="B448" s="171" t="str">
        <f t="shared" si="2"/>
        <v>6.7.2</v>
      </c>
      <c r="C448" s="172" t="s">
        <v>305</v>
      </c>
      <c r="D448" s="152" t="s">
        <v>780</v>
      </c>
      <c r="E448" s="174"/>
      <c r="F448" s="174"/>
      <c r="G448" s="170" t="s">
        <v>41</v>
      </c>
      <c r="H448" s="172" t="s">
        <v>187</v>
      </c>
      <c r="I448" s="174"/>
      <c r="J448" s="174"/>
      <c r="K448" s="174"/>
      <c r="L448" s="174"/>
      <c r="M448" s="174"/>
      <c r="N448" s="174"/>
      <c r="O448" s="174"/>
      <c r="P448" s="174"/>
    </row>
    <row r="449" outlineLevel="1">
      <c r="A449" s="170" t="s">
        <v>346</v>
      </c>
      <c r="B449" s="171" t="str">
        <f t="shared" si="2"/>
        <v>6.7.3</v>
      </c>
      <c r="C449" s="172" t="s">
        <v>305</v>
      </c>
      <c r="D449" s="152" t="s">
        <v>781</v>
      </c>
      <c r="E449" s="174"/>
      <c r="F449" s="174"/>
      <c r="G449" s="170" t="s">
        <v>41</v>
      </c>
      <c r="H449" s="172" t="s">
        <v>187</v>
      </c>
      <c r="I449" s="174"/>
      <c r="J449" s="174"/>
      <c r="K449" s="174"/>
      <c r="L449" s="174"/>
      <c r="M449" s="174"/>
      <c r="N449" s="174"/>
      <c r="O449" s="174"/>
      <c r="P449" s="174"/>
    </row>
    <row r="450" outlineLevel="1">
      <c r="A450" s="170" t="s">
        <v>346</v>
      </c>
      <c r="B450" s="171" t="str">
        <f t="shared" si="2"/>
        <v>6.7.4</v>
      </c>
      <c r="C450" s="172" t="s">
        <v>305</v>
      </c>
      <c r="D450" s="152" t="s">
        <v>782</v>
      </c>
      <c r="E450" s="174"/>
      <c r="F450" s="174"/>
      <c r="G450" s="170" t="s">
        <v>41</v>
      </c>
      <c r="H450" s="172" t="s">
        <v>187</v>
      </c>
      <c r="I450" s="174"/>
      <c r="J450" s="174"/>
      <c r="K450" s="174"/>
      <c r="L450" s="174"/>
      <c r="M450" s="174"/>
      <c r="N450" s="174"/>
      <c r="O450" s="174"/>
      <c r="P450" s="174"/>
    </row>
    <row r="451" outlineLevel="1">
      <c r="A451" s="170" t="s">
        <v>346</v>
      </c>
      <c r="B451" s="171" t="str">
        <f t="shared" si="2"/>
        <v>6.7.5</v>
      </c>
      <c r="C451" s="172" t="s">
        <v>305</v>
      </c>
      <c r="D451" s="152" t="s">
        <v>583</v>
      </c>
      <c r="E451" s="174"/>
      <c r="F451" s="174"/>
      <c r="G451" s="170" t="s">
        <v>41</v>
      </c>
      <c r="H451" s="172" t="s">
        <v>187</v>
      </c>
      <c r="I451" s="174"/>
      <c r="J451" s="174"/>
      <c r="K451" s="174"/>
      <c r="L451" s="174"/>
      <c r="M451" s="174"/>
      <c r="N451" s="174"/>
      <c r="O451" s="174"/>
      <c r="P451" s="174"/>
    </row>
    <row r="452" outlineLevel="1">
      <c r="A452" s="170" t="s">
        <v>346</v>
      </c>
      <c r="B452" s="171" t="str">
        <f t="shared" si="2"/>
        <v>6.7.6</v>
      </c>
      <c r="C452" s="172" t="s">
        <v>305</v>
      </c>
      <c r="D452" s="152" t="s">
        <v>584</v>
      </c>
      <c r="E452" s="174"/>
      <c r="F452" s="174"/>
      <c r="G452" s="170" t="s">
        <v>41</v>
      </c>
      <c r="H452" s="172" t="s">
        <v>187</v>
      </c>
      <c r="I452" s="174"/>
      <c r="J452" s="174"/>
      <c r="K452" s="174"/>
      <c r="L452" s="174"/>
      <c r="M452" s="174"/>
      <c r="N452" s="174"/>
      <c r="O452" s="174"/>
      <c r="P452" s="174"/>
    </row>
    <row r="453" outlineLevel="1">
      <c r="A453" s="170" t="s">
        <v>346</v>
      </c>
      <c r="B453" s="171" t="str">
        <f t="shared" si="2"/>
        <v>6.7.7</v>
      </c>
      <c r="C453" s="172" t="s">
        <v>305</v>
      </c>
      <c r="D453" s="152" t="s">
        <v>585</v>
      </c>
      <c r="E453" s="174"/>
      <c r="F453" s="174"/>
      <c r="G453" s="170" t="s">
        <v>41</v>
      </c>
      <c r="H453" s="172" t="s">
        <v>187</v>
      </c>
      <c r="I453" s="174"/>
      <c r="J453" s="174"/>
      <c r="K453" s="174"/>
      <c r="L453" s="174"/>
      <c r="M453" s="174"/>
      <c r="N453" s="174"/>
      <c r="O453" s="174"/>
      <c r="P453" s="174"/>
    </row>
    <row r="454" outlineLevel="1">
      <c r="A454" s="170" t="s">
        <v>346</v>
      </c>
      <c r="B454" s="171" t="str">
        <f t="shared" si="2"/>
        <v>6.7.8</v>
      </c>
      <c r="C454" s="172" t="s">
        <v>305</v>
      </c>
      <c r="D454" s="152" t="s">
        <v>783</v>
      </c>
      <c r="E454" s="174"/>
      <c r="F454" s="174"/>
      <c r="G454" s="170" t="s">
        <v>41</v>
      </c>
      <c r="H454" s="172" t="s">
        <v>187</v>
      </c>
      <c r="I454" s="174"/>
      <c r="J454" s="174"/>
      <c r="K454" s="174"/>
      <c r="L454" s="174"/>
      <c r="M454" s="174"/>
      <c r="N454" s="174"/>
      <c r="O454" s="174"/>
      <c r="P454" s="174"/>
    </row>
    <row r="455" outlineLevel="1">
      <c r="A455" s="170" t="s">
        <v>346</v>
      </c>
      <c r="B455" s="171" t="str">
        <f t="shared" si="2"/>
        <v>6.7.9</v>
      </c>
      <c r="C455" s="172" t="s">
        <v>305</v>
      </c>
      <c r="D455" s="152" t="s">
        <v>586</v>
      </c>
      <c r="E455" s="174"/>
      <c r="F455" s="174"/>
      <c r="G455" s="170" t="s">
        <v>41</v>
      </c>
      <c r="H455" s="172" t="s">
        <v>187</v>
      </c>
      <c r="I455" s="174"/>
      <c r="J455" s="174"/>
      <c r="K455" s="174"/>
      <c r="L455" s="174"/>
      <c r="M455" s="174"/>
      <c r="N455" s="174"/>
      <c r="O455" s="174"/>
      <c r="P455" s="174"/>
    </row>
    <row r="456">
      <c r="A456" s="170" t="s">
        <v>347</v>
      </c>
      <c r="B456" s="171" t="str">
        <f t="shared" si="2"/>
        <v>6.8.1</v>
      </c>
      <c r="C456" s="172" t="s">
        <v>306</v>
      </c>
      <c r="D456" s="152" t="s">
        <v>603</v>
      </c>
      <c r="E456" s="174"/>
      <c r="F456" s="174"/>
      <c r="G456" s="170" t="s">
        <v>68</v>
      </c>
      <c r="H456" s="172" t="s">
        <v>187</v>
      </c>
      <c r="I456" s="174"/>
      <c r="J456" s="174"/>
      <c r="K456" s="174"/>
      <c r="L456" s="174"/>
      <c r="M456" s="174"/>
      <c r="N456" s="174"/>
      <c r="O456" s="174"/>
      <c r="P456" s="174"/>
    </row>
    <row r="457" outlineLevel="1">
      <c r="A457" s="170" t="s">
        <v>347</v>
      </c>
      <c r="B457" s="171" t="str">
        <f t="shared" si="2"/>
        <v>6.8.2</v>
      </c>
      <c r="C457" s="172" t="s">
        <v>306</v>
      </c>
      <c r="D457" s="152" t="s">
        <v>604</v>
      </c>
      <c r="E457" s="174"/>
      <c r="F457" s="174"/>
      <c r="G457" s="170" t="s">
        <v>68</v>
      </c>
      <c r="H457" s="172" t="s">
        <v>187</v>
      </c>
      <c r="I457" s="174"/>
      <c r="J457" s="174"/>
      <c r="K457" s="174"/>
      <c r="L457" s="174"/>
      <c r="M457" s="174"/>
      <c r="N457" s="174"/>
      <c r="O457" s="174"/>
      <c r="P457" s="174"/>
    </row>
    <row r="458" outlineLevel="1">
      <c r="A458" s="170" t="s">
        <v>347</v>
      </c>
      <c r="B458" s="171" t="str">
        <f t="shared" si="2"/>
        <v>6.8.3</v>
      </c>
      <c r="C458" s="172" t="s">
        <v>306</v>
      </c>
      <c r="D458" s="152" t="s">
        <v>605</v>
      </c>
      <c r="E458" s="174"/>
      <c r="F458" s="174"/>
      <c r="G458" s="170" t="s">
        <v>68</v>
      </c>
      <c r="H458" s="172" t="s">
        <v>187</v>
      </c>
      <c r="I458" s="174"/>
      <c r="J458" s="174"/>
      <c r="K458" s="174"/>
      <c r="L458" s="174"/>
      <c r="M458" s="174"/>
      <c r="N458" s="174"/>
      <c r="O458" s="174"/>
      <c r="P458" s="174"/>
    </row>
    <row r="459" outlineLevel="1">
      <c r="A459" s="170" t="s">
        <v>347</v>
      </c>
      <c r="B459" s="171" t="str">
        <f t="shared" si="2"/>
        <v>6.8.4</v>
      </c>
      <c r="C459" s="172" t="s">
        <v>306</v>
      </c>
      <c r="D459" s="152" t="s">
        <v>606</v>
      </c>
      <c r="E459" s="174"/>
      <c r="F459" s="174"/>
      <c r="G459" s="170" t="s">
        <v>68</v>
      </c>
      <c r="H459" s="172" t="s">
        <v>187</v>
      </c>
      <c r="I459" s="174"/>
      <c r="J459" s="174"/>
      <c r="K459" s="174"/>
      <c r="L459" s="174"/>
      <c r="M459" s="174"/>
      <c r="N459" s="174"/>
      <c r="O459" s="174"/>
      <c r="P459" s="174"/>
    </row>
    <row r="460" outlineLevel="1">
      <c r="A460" s="175" t="s">
        <v>347</v>
      </c>
      <c r="B460" s="175" t="str">
        <f t="shared" si="2"/>
        <v>6.8.5</v>
      </c>
      <c r="C460" s="176" t="s">
        <v>306</v>
      </c>
      <c r="D460" s="152" t="s">
        <v>607</v>
      </c>
      <c r="E460" s="177"/>
      <c r="F460" s="177"/>
      <c r="G460" s="178" t="s">
        <v>68</v>
      </c>
      <c r="H460" s="176" t="s">
        <v>187</v>
      </c>
      <c r="I460" s="177"/>
      <c r="J460" s="177"/>
      <c r="K460" s="177"/>
      <c r="L460" s="177"/>
      <c r="M460" s="177"/>
      <c r="N460" s="177"/>
      <c r="O460" s="177"/>
      <c r="P460" s="177"/>
      <c r="Q460" s="169"/>
      <c r="R460" s="169"/>
      <c r="S460" s="169"/>
      <c r="T460" s="169"/>
      <c r="U460" s="169"/>
      <c r="V460" s="169"/>
      <c r="W460" s="169"/>
      <c r="X460" s="169"/>
    </row>
    <row r="461" outlineLevel="1">
      <c r="A461" s="175" t="s">
        <v>347</v>
      </c>
      <c r="B461" s="175" t="str">
        <f t="shared" si="2"/>
        <v>6.8.6</v>
      </c>
      <c r="C461" s="176" t="s">
        <v>306</v>
      </c>
      <c r="D461" s="152" t="s">
        <v>608</v>
      </c>
      <c r="E461" s="177"/>
      <c r="F461" s="177"/>
      <c r="G461" s="178" t="s">
        <v>68</v>
      </c>
      <c r="H461" s="176" t="s">
        <v>187</v>
      </c>
      <c r="I461" s="177"/>
      <c r="J461" s="177"/>
      <c r="K461" s="177"/>
      <c r="L461" s="177"/>
      <c r="M461" s="177"/>
      <c r="N461" s="177"/>
      <c r="O461" s="177"/>
      <c r="P461" s="177"/>
      <c r="Q461" s="169"/>
      <c r="R461" s="169"/>
      <c r="S461" s="169"/>
      <c r="T461" s="169"/>
      <c r="U461" s="169"/>
      <c r="V461" s="169"/>
      <c r="W461" s="169"/>
      <c r="X461" s="169"/>
    </row>
    <row r="462" outlineLevel="1">
      <c r="A462" s="175" t="s">
        <v>347</v>
      </c>
      <c r="B462" s="175" t="str">
        <f t="shared" si="2"/>
        <v>6.8.7</v>
      </c>
      <c r="C462" s="176" t="s">
        <v>306</v>
      </c>
      <c r="D462" s="152" t="s">
        <v>609</v>
      </c>
      <c r="E462" s="177"/>
      <c r="F462" s="177"/>
      <c r="G462" s="178" t="s">
        <v>68</v>
      </c>
      <c r="H462" s="176" t="s">
        <v>187</v>
      </c>
      <c r="I462" s="177"/>
      <c r="J462" s="177"/>
      <c r="K462" s="177"/>
      <c r="L462" s="177"/>
      <c r="M462" s="177"/>
      <c r="N462" s="177"/>
      <c r="O462" s="177"/>
      <c r="P462" s="177"/>
      <c r="Q462" s="169"/>
      <c r="R462" s="169"/>
      <c r="S462" s="169"/>
      <c r="T462" s="169"/>
      <c r="U462" s="169"/>
      <c r="V462" s="169"/>
      <c r="W462" s="169"/>
      <c r="X462" s="169"/>
    </row>
    <row r="463" outlineLevel="1">
      <c r="A463" s="170" t="s">
        <v>347</v>
      </c>
      <c r="B463" s="171" t="str">
        <f t="shared" si="2"/>
        <v>6.8.8</v>
      </c>
      <c r="C463" s="172" t="s">
        <v>306</v>
      </c>
      <c r="D463" s="152" t="s">
        <v>610</v>
      </c>
      <c r="E463" s="174"/>
      <c r="F463" s="174"/>
      <c r="G463" s="170" t="s">
        <v>68</v>
      </c>
      <c r="H463" s="172" t="s">
        <v>187</v>
      </c>
      <c r="I463" s="174"/>
      <c r="J463" s="174"/>
      <c r="K463" s="174"/>
      <c r="L463" s="174"/>
      <c r="M463" s="174"/>
      <c r="N463" s="174"/>
      <c r="O463" s="174"/>
      <c r="P463" s="174"/>
    </row>
    <row r="464" outlineLevel="1">
      <c r="A464" s="170" t="s">
        <v>347</v>
      </c>
      <c r="B464" s="171" t="str">
        <f t="shared" si="2"/>
        <v>6.8.9</v>
      </c>
      <c r="C464" s="172" t="s">
        <v>306</v>
      </c>
      <c r="D464" s="152" t="s">
        <v>611</v>
      </c>
      <c r="E464" s="174"/>
      <c r="F464" s="174"/>
      <c r="G464" s="170" t="s">
        <v>68</v>
      </c>
      <c r="H464" s="172" t="s">
        <v>187</v>
      </c>
      <c r="I464" s="174"/>
      <c r="J464" s="174"/>
      <c r="K464" s="174"/>
      <c r="L464" s="174"/>
      <c r="M464" s="174"/>
      <c r="N464" s="174"/>
      <c r="O464" s="174"/>
      <c r="P464" s="174"/>
    </row>
    <row r="465" outlineLevel="1">
      <c r="A465" s="170" t="s">
        <v>347</v>
      </c>
      <c r="B465" s="171" t="str">
        <f t="shared" si="2"/>
        <v>6.8.10</v>
      </c>
      <c r="C465" s="172" t="s">
        <v>306</v>
      </c>
      <c r="D465" s="152" t="s">
        <v>586</v>
      </c>
      <c r="E465" s="174"/>
      <c r="F465" s="174"/>
      <c r="G465" s="170" t="s">
        <v>68</v>
      </c>
      <c r="H465" s="172" t="s">
        <v>187</v>
      </c>
      <c r="I465" s="174"/>
      <c r="J465" s="174"/>
      <c r="K465" s="174"/>
      <c r="L465" s="174"/>
      <c r="M465" s="174"/>
      <c r="N465" s="174"/>
      <c r="O465" s="174"/>
      <c r="P465" s="174"/>
    </row>
    <row r="466">
      <c r="A466" s="170" t="s">
        <v>348</v>
      </c>
      <c r="B466" s="171" t="str">
        <f t="shared" si="2"/>
        <v>6.9.1</v>
      </c>
      <c r="C466" s="172" t="s">
        <v>307</v>
      </c>
      <c r="D466" s="152" t="s">
        <v>603</v>
      </c>
      <c r="E466" s="174"/>
      <c r="F466" s="174"/>
      <c r="G466" s="170" t="s">
        <v>68</v>
      </c>
      <c r="H466" s="172" t="s">
        <v>187</v>
      </c>
      <c r="I466" s="174"/>
      <c r="J466" s="174"/>
      <c r="K466" s="174"/>
      <c r="L466" s="174"/>
      <c r="M466" s="174"/>
      <c r="N466" s="174"/>
      <c r="O466" s="174"/>
      <c r="P466" s="174"/>
    </row>
    <row r="467" outlineLevel="1">
      <c r="A467" s="170" t="s">
        <v>348</v>
      </c>
      <c r="B467" s="171" t="str">
        <f t="shared" si="2"/>
        <v>6.9.2</v>
      </c>
      <c r="C467" s="172" t="s">
        <v>307</v>
      </c>
      <c r="D467" s="152" t="s">
        <v>612</v>
      </c>
      <c r="E467" s="174"/>
      <c r="F467" s="174"/>
      <c r="G467" s="170" t="s">
        <v>68</v>
      </c>
      <c r="H467" s="172" t="s">
        <v>187</v>
      </c>
      <c r="I467" s="174"/>
      <c r="J467" s="174"/>
      <c r="K467" s="174"/>
      <c r="L467" s="174"/>
      <c r="M467" s="174"/>
      <c r="N467" s="174"/>
      <c r="O467" s="174"/>
      <c r="P467" s="174"/>
    </row>
    <row r="468" outlineLevel="1">
      <c r="A468" s="170" t="s">
        <v>348</v>
      </c>
      <c r="B468" s="171" t="str">
        <f t="shared" si="2"/>
        <v>6.9.3</v>
      </c>
      <c r="C468" s="172" t="s">
        <v>307</v>
      </c>
      <c r="D468" s="152" t="s">
        <v>613</v>
      </c>
      <c r="E468" s="174"/>
      <c r="F468" s="174"/>
      <c r="G468" s="170" t="s">
        <v>68</v>
      </c>
      <c r="H468" s="172" t="s">
        <v>187</v>
      </c>
      <c r="I468" s="174"/>
      <c r="J468" s="174"/>
      <c r="K468" s="174"/>
      <c r="L468" s="174"/>
      <c r="M468" s="174"/>
      <c r="N468" s="174"/>
      <c r="O468" s="174"/>
      <c r="P468" s="174"/>
    </row>
    <row r="469" outlineLevel="1">
      <c r="A469" s="175" t="s">
        <v>348</v>
      </c>
      <c r="B469" s="175" t="str">
        <f t="shared" si="2"/>
        <v>6.9.4</v>
      </c>
      <c r="C469" s="176" t="s">
        <v>307</v>
      </c>
      <c r="D469" s="152" t="s">
        <v>614</v>
      </c>
      <c r="E469" s="177"/>
      <c r="F469" s="177"/>
      <c r="G469" s="178" t="s">
        <v>68</v>
      </c>
      <c r="H469" s="176" t="s">
        <v>187</v>
      </c>
      <c r="I469" s="177"/>
      <c r="J469" s="177"/>
      <c r="K469" s="177"/>
      <c r="L469" s="177"/>
      <c r="M469" s="177"/>
      <c r="N469" s="177"/>
      <c r="O469" s="177"/>
      <c r="P469" s="177"/>
      <c r="Q469" s="169"/>
      <c r="R469" s="169"/>
      <c r="S469" s="169"/>
      <c r="T469" s="169"/>
      <c r="U469" s="169"/>
      <c r="V469" s="169"/>
      <c r="W469" s="169"/>
      <c r="X469" s="169"/>
    </row>
    <row r="470" outlineLevel="1">
      <c r="A470" s="175" t="s">
        <v>348</v>
      </c>
      <c r="B470" s="175" t="str">
        <f t="shared" si="2"/>
        <v>6.9.5</v>
      </c>
      <c r="C470" s="176" t="s">
        <v>307</v>
      </c>
      <c r="D470" s="152" t="s">
        <v>615</v>
      </c>
      <c r="E470" s="177"/>
      <c r="F470" s="177"/>
      <c r="G470" s="178" t="s">
        <v>68</v>
      </c>
      <c r="H470" s="176" t="s">
        <v>187</v>
      </c>
      <c r="I470" s="177"/>
      <c r="J470" s="177"/>
      <c r="K470" s="177"/>
      <c r="L470" s="177"/>
      <c r="M470" s="177"/>
      <c r="N470" s="177"/>
      <c r="O470" s="177"/>
      <c r="P470" s="177"/>
      <c r="Q470" s="169"/>
      <c r="R470" s="169"/>
      <c r="S470" s="169"/>
      <c r="T470" s="169"/>
      <c r="U470" s="169"/>
      <c r="V470" s="169"/>
      <c r="W470" s="169"/>
      <c r="X470" s="169"/>
    </row>
    <row r="471" outlineLevel="1">
      <c r="A471" s="170" t="s">
        <v>348</v>
      </c>
      <c r="B471" s="171" t="str">
        <f t="shared" si="2"/>
        <v>6.9.6</v>
      </c>
      <c r="C471" s="172" t="s">
        <v>307</v>
      </c>
      <c r="D471" s="152" t="s">
        <v>616</v>
      </c>
      <c r="E471" s="174"/>
      <c r="F471" s="174"/>
      <c r="G471" s="170" t="s">
        <v>68</v>
      </c>
      <c r="H471" s="172" t="s">
        <v>187</v>
      </c>
      <c r="I471" s="174"/>
      <c r="J471" s="174"/>
      <c r="K471" s="174"/>
      <c r="L471" s="174"/>
      <c r="M471" s="174"/>
      <c r="N471" s="174"/>
      <c r="O471" s="174"/>
      <c r="P471" s="174"/>
    </row>
    <row r="472" outlineLevel="1">
      <c r="A472" s="170" t="s">
        <v>348</v>
      </c>
      <c r="B472" s="171" t="str">
        <f t="shared" si="2"/>
        <v>6.9.7</v>
      </c>
      <c r="C472" s="172" t="s">
        <v>307</v>
      </c>
      <c r="D472" s="152" t="s">
        <v>784</v>
      </c>
      <c r="E472" s="174"/>
      <c r="F472" s="174"/>
      <c r="G472" s="170" t="s">
        <v>68</v>
      </c>
      <c r="H472" s="172" t="s">
        <v>187</v>
      </c>
      <c r="I472" s="174"/>
      <c r="J472" s="174"/>
      <c r="K472" s="174"/>
      <c r="L472" s="174"/>
      <c r="M472" s="174"/>
      <c r="N472" s="174"/>
      <c r="O472" s="174"/>
      <c r="P472" s="174"/>
    </row>
    <row r="473" outlineLevel="1">
      <c r="A473" s="170" t="s">
        <v>348</v>
      </c>
      <c r="B473" s="171" t="str">
        <f t="shared" si="2"/>
        <v>6.9.8</v>
      </c>
      <c r="C473" s="172" t="s">
        <v>307</v>
      </c>
      <c r="D473" s="152" t="s">
        <v>618</v>
      </c>
      <c r="E473" s="174"/>
      <c r="F473" s="174"/>
      <c r="G473" s="170" t="s">
        <v>68</v>
      </c>
      <c r="H473" s="172" t="s">
        <v>187</v>
      </c>
      <c r="I473" s="174"/>
      <c r="J473" s="174"/>
      <c r="K473" s="174"/>
      <c r="L473" s="174"/>
      <c r="M473" s="174"/>
      <c r="N473" s="174"/>
      <c r="O473" s="174"/>
      <c r="P473" s="174"/>
    </row>
    <row r="474" outlineLevel="1">
      <c r="A474" s="170" t="s">
        <v>348</v>
      </c>
      <c r="B474" s="171" t="str">
        <f t="shared" si="2"/>
        <v>6.9.9</v>
      </c>
      <c r="C474" s="172" t="s">
        <v>307</v>
      </c>
      <c r="D474" s="152" t="s">
        <v>619</v>
      </c>
      <c r="E474" s="174"/>
      <c r="F474" s="174"/>
      <c r="G474" s="170" t="s">
        <v>68</v>
      </c>
      <c r="H474" s="172" t="s">
        <v>187</v>
      </c>
      <c r="I474" s="174"/>
      <c r="J474" s="174"/>
      <c r="K474" s="174"/>
      <c r="L474" s="174"/>
      <c r="M474" s="174"/>
      <c r="N474" s="174"/>
      <c r="O474" s="174"/>
      <c r="P474" s="174"/>
    </row>
    <row r="475">
      <c r="A475" s="170" t="s">
        <v>349</v>
      </c>
      <c r="B475" s="171" t="str">
        <f t="shared" si="2"/>
        <v>6.10.1</v>
      </c>
      <c r="C475" s="172" t="s">
        <v>308</v>
      </c>
      <c r="D475" s="173" t="s">
        <v>620</v>
      </c>
      <c r="E475" s="174"/>
      <c r="F475" s="174"/>
      <c r="G475" s="170" t="s">
        <v>41</v>
      </c>
      <c r="H475" s="172" t="s">
        <v>187</v>
      </c>
      <c r="I475" s="174"/>
      <c r="J475" s="174"/>
      <c r="K475" s="174"/>
      <c r="L475" s="174"/>
      <c r="M475" s="174"/>
      <c r="N475" s="174"/>
      <c r="O475" s="174"/>
      <c r="P475" s="174"/>
    </row>
    <row r="476" outlineLevel="1">
      <c r="A476" s="170" t="s">
        <v>349</v>
      </c>
      <c r="B476" s="171" t="str">
        <f t="shared" si="2"/>
        <v>6.10.2</v>
      </c>
      <c r="C476" s="172" t="s">
        <v>308</v>
      </c>
      <c r="D476" s="173" t="s">
        <v>785</v>
      </c>
      <c r="E476" s="174"/>
      <c r="F476" s="174"/>
      <c r="G476" s="170" t="s">
        <v>41</v>
      </c>
      <c r="H476" s="172" t="s">
        <v>187</v>
      </c>
      <c r="I476" s="174"/>
      <c r="J476" s="174"/>
      <c r="K476" s="174"/>
      <c r="L476" s="174"/>
      <c r="M476" s="174"/>
      <c r="N476" s="174"/>
      <c r="O476" s="174"/>
      <c r="P476" s="174"/>
    </row>
    <row r="477">
      <c r="A477" s="170" t="s">
        <v>350</v>
      </c>
      <c r="B477" s="171" t="str">
        <f t="shared" si="2"/>
        <v>6.11.1</v>
      </c>
      <c r="C477" s="172" t="s">
        <v>309</v>
      </c>
      <c r="D477" s="152" t="s">
        <v>622</v>
      </c>
      <c r="E477" s="174"/>
      <c r="F477" s="174"/>
      <c r="G477" s="170" t="s">
        <v>41</v>
      </c>
      <c r="H477" s="172" t="s">
        <v>187</v>
      </c>
      <c r="I477" s="174"/>
      <c r="J477" s="174"/>
      <c r="K477" s="174"/>
      <c r="L477" s="174"/>
      <c r="M477" s="174"/>
      <c r="N477" s="174"/>
      <c r="O477" s="174"/>
      <c r="P477" s="174"/>
    </row>
    <row r="478" outlineLevel="1">
      <c r="A478" s="170" t="s">
        <v>350</v>
      </c>
      <c r="B478" s="171" t="str">
        <f t="shared" si="2"/>
        <v>6.11.2</v>
      </c>
      <c r="C478" s="172" t="s">
        <v>309</v>
      </c>
      <c r="D478" s="152" t="s">
        <v>623</v>
      </c>
      <c r="E478" s="174"/>
      <c r="F478" s="174"/>
      <c r="G478" s="170" t="s">
        <v>41</v>
      </c>
      <c r="H478" s="172" t="s">
        <v>187</v>
      </c>
      <c r="I478" s="174"/>
      <c r="J478" s="174"/>
      <c r="K478" s="174"/>
      <c r="L478" s="174"/>
      <c r="M478" s="174"/>
      <c r="N478" s="174"/>
      <c r="O478" s="174"/>
      <c r="P478" s="174"/>
    </row>
    <row r="479" outlineLevel="1">
      <c r="A479" s="170" t="s">
        <v>350</v>
      </c>
      <c r="B479" s="171" t="str">
        <f t="shared" si="2"/>
        <v>6.11.3</v>
      </c>
      <c r="C479" s="172" t="s">
        <v>309</v>
      </c>
      <c r="D479" s="152" t="s">
        <v>624</v>
      </c>
      <c r="E479" s="174"/>
      <c r="F479" s="174"/>
      <c r="G479" s="170" t="s">
        <v>41</v>
      </c>
      <c r="H479" s="172" t="s">
        <v>187</v>
      </c>
      <c r="I479" s="174"/>
      <c r="J479" s="174"/>
      <c r="K479" s="174"/>
      <c r="L479" s="174"/>
      <c r="M479" s="174"/>
      <c r="N479" s="174"/>
      <c r="O479" s="174"/>
      <c r="P479" s="174"/>
    </row>
    <row r="480" outlineLevel="1">
      <c r="A480" s="175" t="s">
        <v>350</v>
      </c>
      <c r="B480" s="175" t="str">
        <f t="shared" si="2"/>
        <v>6.11.4</v>
      </c>
      <c r="C480" s="176" t="s">
        <v>309</v>
      </c>
      <c r="D480" s="152" t="s">
        <v>625</v>
      </c>
      <c r="E480" s="177"/>
      <c r="F480" s="177"/>
      <c r="G480" s="178" t="s">
        <v>41</v>
      </c>
      <c r="H480" s="176" t="s">
        <v>187</v>
      </c>
      <c r="I480" s="177"/>
      <c r="J480" s="177"/>
      <c r="K480" s="177"/>
      <c r="L480" s="177"/>
      <c r="M480" s="177"/>
      <c r="N480" s="177"/>
      <c r="O480" s="177"/>
      <c r="P480" s="177"/>
      <c r="Q480" s="169"/>
      <c r="R480" s="169"/>
      <c r="S480" s="169"/>
      <c r="T480" s="169"/>
      <c r="U480" s="169"/>
      <c r="V480" s="169"/>
      <c r="W480" s="169"/>
      <c r="X480" s="169"/>
    </row>
    <row r="481" outlineLevel="1">
      <c r="A481" s="175" t="s">
        <v>350</v>
      </c>
      <c r="B481" s="175" t="str">
        <f t="shared" si="2"/>
        <v>6.11.5</v>
      </c>
      <c r="C481" s="176" t="s">
        <v>309</v>
      </c>
      <c r="D481" s="152" t="s">
        <v>626</v>
      </c>
      <c r="E481" s="177"/>
      <c r="F481" s="177"/>
      <c r="G481" s="178" t="s">
        <v>41</v>
      </c>
      <c r="H481" s="176" t="s">
        <v>187</v>
      </c>
      <c r="I481" s="177"/>
      <c r="J481" s="177"/>
      <c r="K481" s="177"/>
      <c r="L481" s="177"/>
      <c r="M481" s="177"/>
      <c r="N481" s="177"/>
      <c r="O481" s="177"/>
      <c r="P481" s="177"/>
      <c r="Q481" s="169"/>
      <c r="R481" s="169"/>
      <c r="S481" s="169"/>
      <c r="T481" s="169"/>
      <c r="U481" s="169"/>
      <c r="V481" s="169"/>
      <c r="W481" s="169"/>
      <c r="X481" s="169"/>
    </row>
    <row r="482" outlineLevel="1">
      <c r="A482" s="170" t="s">
        <v>350</v>
      </c>
      <c r="B482" s="171" t="str">
        <f t="shared" si="2"/>
        <v>6.11.6</v>
      </c>
      <c r="C482" s="172" t="s">
        <v>309</v>
      </c>
      <c r="D482" s="152" t="s">
        <v>627</v>
      </c>
      <c r="E482" s="174"/>
      <c r="F482" s="174"/>
      <c r="G482" s="170" t="s">
        <v>41</v>
      </c>
      <c r="H482" s="172" t="s">
        <v>187</v>
      </c>
      <c r="I482" s="174"/>
      <c r="J482" s="174"/>
      <c r="K482" s="174"/>
      <c r="L482" s="174"/>
      <c r="M482" s="174"/>
      <c r="N482" s="174"/>
      <c r="O482" s="174"/>
      <c r="P482" s="174"/>
    </row>
    <row r="483" outlineLevel="1">
      <c r="A483" s="170" t="s">
        <v>350</v>
      </c>
      <c r="B483" s="171" t="str">
        <f t="shared" si="2"/>
        <v>6.11.7</v>
      </c>
      <c r="C483" s="172" t="s">
        <v>309</v>
      </c>
      <c r="D483" s="152" t="s">
        <v>628</v>
      </c>
      <c r="E483" s="174"/>
      <c r="F483" s="174"/>
      <c r="G483" s="170" t="s">
        <v>41</v>
      </c>
      <c r="H483" s="172" t="s">
        <v>187</v>
      </c>
      <c r="I483" s="174"/>
      <c r="J483" s="174"/>
      <c r="K483" s="174"/>
      <c r="L483" s="174"/>
      <c r="M483" s="174"/>
      <c r="N483" s="174"/>
      <c r="O483" s="174"/>
      <c r="P483" s="174"/>
    </row>
    <row r="484">
      <c r="A484" s="170" t="s">
        <v>351</v>
      </c>
      <c r="B484" s="171" t="str">
        <f t="shared" si="2"/>
        <v>6.12.1</v>
      </c>
      <c r="C484" s="172" t="s">
        <v>310</v>
      </c>
      <c r="D484" s="152" t="s">
        <v>629</v>
      </c>
      <c r="E484" s="174"/>
      <c r="F484" s="174"/>
      <c r="G484" s="170" t="s">
        <v>48</v>
      </c>
      <c r="H484" s="172" t="s">
        <v>187</v>
      </c>
      <c r="I484" s="174"/>
      <c r="J484" s="174"/>
      <c r="K484" s="174"/>
      <c r="L484" s="174"/>
      <c r="M484" s="174"/>
      <c r="N484" s="174"/>
      <c r="O484" s="174"/>
      <c r="P484" s="174"/>
    </row>
    <row r="485" outlineLevel="1">
      <c r="A485" s="170" t="s">
        <v>351</v>
      </c>
      <c r="B485" s="171" t="str">
        <f t="shared" si="2"/>
        <v>6.12.2</v>
      </c>
      <c r="C485" s="172" t="s">
        <v>310</v>
      </c>
      <c r="D485" s="152" t="s">
        <v>630</v>
      </c>
      <c r="E485" s="174"/>
      <c r="F485" s="174"/>
      <c r="G485" s="170" t="s">
        <v>48</v>
      </c>
      <c r="H485" s="172" t="s">
        <v>187</v>
      </c>
      <c r="I485" s="174"/>
      <c r="J485" s="174"/>
      <c r="K485" s="174"/>
      <c r="L485" s="174"/>
      <c r="M485" s="174"/>
      <c r="N485" s="174"/>
      <c r="O485" s="174"/>
      <c r="P485" s="174"/>
    </row>
    <row r="486" outlineLevel="1">
      <c r="A486" s="170" t="s">
        <v>351</v>
      </c>
      <c r="B486" s="171" t="str">
        <f t="shared" si="2"/>
        <v>6.12.3</v>
      </c>
      <c r="C486" s="172" t="s">
        <v>310</v>
      </c>
      <c r="D486" s="152" t="s">
        <v>631</v>
      </c>
      <c r="E486" s="174"/>
      <c r="F486" s="174"/>
      <c r="G486" s="170" t="s">
        <v>48</v>
      </c>
      <c r="H486" s="172" t="s">
        <v>187</v>
      </c>
      <c r="I486" s="174"/>
      <c r="J486" s="174"/>
      <c r="K486" s="174"/>
      <c r="L486" s="174"/>
      <c r="M486" s="174"/>
      <c r="N486" s="174"/>
      <c r="O486" s="174"/>
      <c r="P486" s="174"/>
    </row>
    <row r="487" outlineLevel="1">
      <c r="A487" s="175" t="s">
        <v>351</v>
      </c>
      <c r="B487" s="175" t="str">
        <f t="shared" si="2"/>
        <v>6.12.4</v>
      </c>
      <c r="C487" s="176" t="s">
        <v>310</v>
      </c>
      <c r="D487" s="152" t="s">
        <v>632</v>
      </c>
      <c r="E487" s="177"/>
      <c r="F487" s="177"/>
      <c r="G487" s="178" t="s">
        <v>48</v>
      </c>
      <c r="H487" s="176" t="s">
        <v>187</v>
      </c>
      <c r="I487" s="177"/>
      <c r="J487" s="177"/>
      <c r="K487" s="177"/>
      <c r="L487" s="177"/>
      <c r="M487" s="177"/>
      <c r="N487" s="177"/>
      <c r="O487" s="177"/>
      <c r="P487" s="177"/>
      <c r="Q487" s="169"/>
      <c r="R487" s="169"/>
      <c r="S487" s="169"/>
      <c r="T487" s="169"/>
      <c r="U487" s="169"/>
      <c r="V487" s="169"/>
      <c r="W487" s="169"/>
      <c r="X487" s="169"/>
    </row>
    <row r="488" outlineLevel="1">
      <c r="A488" s="170" t="s">
        <v>351</v>
      </c>
      <c r="B488" s="171" t="str">
        <f t="shared" si="2"/>
        <v>6.12.5</v>
      </c>
      <c r="C488" s="172" t="s">
        <v>310</v>
      </c>
      <c r="D488" s="152" t="s">
        <v>633</v>
      </c>
      <c r="E488" s="174"/>
      <c r="F488" s="174"/>
      <c r="G488" s="170" t="s">
        <v>48</v>
      </c>
      <c r="H488" s="172" t="s">
        <v>187</v>
      </c>
      <c r="I488" s="174"/>
      <c r="J488" s="174"/>
      <c r="K488" s="174"/>
      <c r="L488" s="174"/>
      <c r="M488" s="174"/>
      <c r="N488" s="174"/>
      <c r="O488" s="174"/>
      <c r="P488" s="174"/>
    </row>
    <row r="489" outlineLevel="1">
      <c r="A489" s="170" t="s">
        <v>351</v>
      </c>
      <c r="B489" s="171" t="str">
        <f t="shared" si="2"/>
        <v>6.12.6</v>
      </c>
      <c r="C489" s="172" t="s">
        <v>310</v>
      </c>
      <c r="D489" s="152" t="s">
        <v>634</v>
      </c>
      <c r="E489" s="174"/>
      <c r="F489" s="174"/>
      <c r="G489" s="170" t="s">
        <v>48</v>
      </c>
      <c r="H489" s="172" t="s">
        <v>187</v>
      </c>
      <c r="I489" s="174"/>
      <c r="J489" s="174"/>
      <c r="K489" s="174"/>
      <c r="L489" s="174"/>
      <c r="M489" s="174"/>
      <c r="N489" s="174"/>
      <c r="O489" s="174"/>
      <c r="P489" s="174"/>
    </row>
    <row r="490" outlineLevel="1">
      <c r="A490" s="170" t="s">
        <v>351</v>
      </c>
      <c r="B490" s="171" t="str">
        <f t="shared" si="2"/>
        <v>6.12.7</v>
      </c>
      <c r="C490" s="172" t="s">
        <v>310</v>
      </c>
      <c r="D490" s="152" t="s">
        <v>635</v>
      </c>
      <c r="E490" s="174"/>
      <c r="F490" s="174"/>
      <c r="G490" s="170" t="s">
        <v>48</v>
      </c>
      <c r="H490" s="172" t="s">
        <v>187</v>
      </c>
      <c r="I490" s="174"/>
      <c r="J490" s="174"/>
      <c r="K490" s="174"/>
      <c r="L490" s="174"/>
      <c r="M490" s="174"/>
      <c r="N490" s="174"/>
      <c r="O490" s="174"/>
      <c r="P490" s="174"/>
    </row>
    <row r="491" outlineLevel="1">
      <c r="A491" s="170" t="s">
        <v>351</v>
      </c>
      <c r="B491" s="171" t="str">
        <f t="shared" si="2"/>
        <v>6.12.8</v>
      </c>
      <c r="C491" s="172" t="s">
        <v>310</v>
      </c>
      <c r="D491" s="152" t="s">
        <v>636</v>
      </c>
      <c r="E491" s="174"/>
      <c r="F491" s="174"/>
      <c r="G491" s="170" t="s">
        <v>48</v>
      </c>
      <c r="H491" s="172" t="s">
        <v>187</v>
      </c>
      <c r="I491" s="174"/>
      <c r="J491" s="174"/>
      <c r="K491" s="174"/>
      <c r="L491" s="174"/>
      <c r="M491" s="174"/>
      <c r="N491" s="174"/>
      <c r="O491" s="174"/>
      <c r="P491" s="174"/>
    </row>
    <row r="492">
      <c r="A492" s="170" t="s">
        <v>146</v>
      </c>
      <c r="B492" s="171" t="str">
        <f t="shared" si="2"/>
        <v>6.13.1</v>
      </c>
      <c r="C492" s="172" t="s">
        <v>352</v>
      </c>
      <c r="D492" s="152" t="s">
        <v>629</v>
      </c>
      <c r="E492" s="174"/>
      <c r="F492" s="174"/>
      <c r="G492" s="170" t="s">
        <v>48</v>
      </c>
      <c r="H492" s="172" t="s">
        <v>187</v>
      </c>
      <c r="I492" s="174"/>
      <c r="J492" s="174"/>
      <c r="K492" s="174"/>
      <c r="L492" s="174"/>
      <c r="M492" s="174"/>
      <c r="N492" s="174"/>
      <c r="O492" s="174"/>
      <c r="P492" s="174"/>
    </row>
    <row r="493" outlineLevel="1">
      <c r="A493" s="170" t="s">
        <v>146</v>
      </c>
      <c r="B493" s="171" t="str">
        <f t="shared" si="2"/>
        <v>6.13.2</v>
      </c>
      <c r="C493" s="172" t="s">
        <v>352</v>
      </c>
      <c r="D493" s="152" t="s">
        <v>630</v>
      </c>
      <c r="E493" s="174"/>
      <c r="F493" s="174"/>
      <c r="G493" s="170" t="s">
        <v>48</v>
      </c>
      <c r="H493" s="172" t="s">
        <v>187</v>
      </c>
      <c r="I493" s="174"/>
      <c r="J493" s="174"/>
      <c r="K493" s="174"/>
      <c r="L493" s="174"/>
      <c r="M493" s="174"/>
      <c r="N493" s="174"/>
      <c r="O493" s="174"/>
      <c r="P493" s="174"/>
    </row>
    <row r="494" outlineLevel="1">
      <c r="A494" s="170" t="s">
        <v>146</v>
      </c>
      <c r="B494" s="171" t="str">
        <f t="shared" si="2"/>
        <v>6.13.3</v>
      </c>
      <c r="C494" s="172" t="s">
        <v>352</v>
      </c>
      <c r="D494" s="152" t="s">
        <v>631</v>
      </c>
      <c r="E494" s="174"/>
      <c r="F494" s="174"/>
      <c r="G494" s="170" t="s">
        <v>48</v>
      </c>
      <c r="H494" s="172" t="s">
        <v>187</v>
      </c>
      <c r="I494" s="174"/>
      <c r="J494" s="174"/>
      <c r="K494" s="174"/>
      <c r="L494" s="174"/>
      <c r="M494" s="174"/>
      <c r="N494" s="174"/>
      <c r="O494" s="174"/>
      <c r="P494" s="174"/>
    </row>
    <row r="495" outlineLevel="1">
      <c r="A495" s="170" t="s">
        <v>146</v>
      </c>
      <c r="B495" s="171" t="str">
        <f t="shared" si="2"/>
        <v>6.13.4</v>
      </c>
      <c r="C495" s="172" t="s">
        <v>352</v>
      </c>
      <c r="D495" s="152" t="s">
        <v>632</v>
      </c>
      <c r="E495" s="174"/>
      <c r="F495" s="174"/>
      <c r="G495" s="170" t="s">
        <v>48</v>
      </c>
      <c r="H495" s="172" t="s">
        <v>187</v>
      </c>
      <c r="I495" s="174"/>
      <c r="J495" s="174"/>
      <c r="K495" s="174"/>
      <c r="L495" s="174"/>
      <c r="M495" s="174"/>
      <c r="N495" s="174"/>
      <c r="O495" s="174"/>
      <c r="P495" s="174"/>
    </row>
    <row r="496" outlineLevel="1">
      <c r="A496" s="175" t="s">
        <v>146</v>
      </c>
      <c r="B496" s="175" t="str">
        <f t="shared" si="2"/>
        <v>6.13.5</v>
      </c>
      <c r="C496" s="176" t="s">
        <v>352</v>
      </c>
      <c r="D496" s="152" t="s">
        <v>633</v>
      </c>
      <c r="E496" s="177"/>
      <c r="F496" s="177"/>
      <c r="G496" s="178" t="s">
        <v>48</v>
      </c>
      <c r="H496" s="176" t="s">
        <v>187</v>
      </c>
      <c r="I496" s="177"/>
      <c r="J496" s="177"/>
      <c r="K496" s="177"/>
      <c r="L496" s="177"/>
      <c r="M496" s="177"/>
      <c r="N496" s="177"/>
      <c r="O496" s="177"/>
      <c r="P496" s="177"/>
      <c r="Q496" s="169"/>
      <c r="R496" s="169"/>
      <c r="S496" s="169"/>
      <c r="T496" s="169"/>
      <c r="U496" s="169"/>
      <c r="V496" s="169"/>
      <c r="W496" s="169"/>
      <c r="X496" s="169"/>
    </row>
    <row r="497" outlineLevel="1">
      <c r="A497" s="170" t="s">
        <v>146</v>
      </c>
      <c r="B497" s="171" t="str">
        <f t="shared" si="2"/>
        <v>6.13.6</v>
      </c>
      <c r="C497" s="172" t="s">
        <v>352</v>
      </c>
      <c r="D497" s="152" t="s">
        <v>637</v>
      </c>
      <c r="E497" s="174"/>
      <c r="F497" s="174"/>
      <c r="G497" s="170" t="s">
        <v>48</v>
      </c>
      <c r="H497" s="172" t="s">
        <v>187</v>
      </c>
      <c r="I497" s="174"/>
      <c r="J497" s="174"/>
      <c r="K497" s="174"/>
      <c r="L497" s="174"/>
      <c r="M497" s="174"/>
      <c r="N497" s="174"/>
      <c r="O497" s="174"/>
      <c r="P497" s="174"/>
    </row>
    <row r="498" outlineLevel="1">
      <c r="A498" s="170" t="s">
        <v>146</v>
      </c>
      <c r="B498" s="171" t="str">
        <f t="shared" si="2"/>
        <v>6.13.7</v>
      </c>
      <c r="C498" s="172" t="s">
        <v>352</v>
      </c>
      <c r="D498" s="152" t="s">
        <v>635</v>
      </c>
      <c r="E498" s="174"/>
      <c r="F498" s="174"/>
      <c r="G498" s="170" t="s">
        <v>48</v>
      </c>
      <c r="H498" s="172" t="s">
        <v>187</v>
      </c>
      <c r="I498" s="174"/>
      <c r="J498" s="174"/>
      <c r="K498" s="174"/>
      <c r="L498" s="174"/>
      <c r="M498" s="174"/>
      <c r="N498" s="174"/>
      <c r="O498" s="174"/>
      <c r="P498" s="174"/>
    </row>
    <row r="499" outlineLevel="1">
      <c r="A499" s="170" t="s">
        <v>146</v>
      </c>
      <c r="B499" s="171" t="str">
        <f t="shared" si="2"/>
        <v>6.13.8</v>
      </c>
      <c r="C499" s="172" t="s">
        <v>352</v>
      </c>
      <c r="D499" s="152" t="s">
        <v>636</v>
      </c>
      <c r="E499" s="174"/>
      <c r="F499" s="174"/>
      <c r="G499" s="170" t="s">
        <v>48</v>
      </c>
      <c r="H499" s="172" t="s">
        <v>187</v>
      </c>
      <c r="I499" s="174"/>
      <c r="J499" s="174"/>
      <c r="K499" s="174"/>
      <c r="L499" s="174"/>
      <c r="M499" s="174"/>
      <c r="N499" s="174"/>
      <c r="O499" s="174"/>
      <c r="P499" s="174"/>
    </row>
    <row r="500">
      <c r="A500" s="170" t="s">
        <v>147</v>
      </c>
      <c r="B500" s="171" t="str">
        <f t="shared" si="2"/>
        <v>6.14.1</v>
      </c>
      <c r="C500" s="172" t="s">
        <v>312</v>
      </c>
      <c r="D500" s="152" t="s">
        <v>629</v>
      </c>
      <c r="E500" s="174"/>
      <c r="F500" s="174"/>
      <c r="G500" s="170" t="s">
        <v>48</v>
      </c>
      <c r="H500" s="172" t="s">
        <v>187</v>
      </c>
      <c r="I500" s="174"/>
      <c r="J500" s="174"/>
      <c r="K500" s="174"/>
      <c r="L500" s="174"/>
      <c r="M500" s="174"/>
      <c r="N500" s="174"/>
      <c r="O500" s="174"/>
      <c r="P500" s="174"/>
    </row>
    <row r="501" outlineLevel="1">
      <c r="A501" s="170" t="s">
        <v>147</v>
      </c>
      <c r="B501" s="171" t="str">
        <f t="shared" si="2"/>
        <v>6.14.2</v>
      </c>
      <c r="C501" s="172" t="s">
        <v>312</v>
      </c>
      <c r="D501" s="152" t="s">
        <v>630</v>
      </c>
      <c r="E501" s="174"/>
      <c r="F501" s="174"/>
      <c r="G501" s="170" t="s">
        <v>48</v>
      </c>
      <c r="H501" s="172" t="s">
        <v>187</v>
      </c>
      <c r="I501" s="174"/>
      <c r="J501" s="174"/>
      <c r="K501" s="174"/>
      <c r="L501" s="174"/>
      <c r="M501" s="174"/>
      <c r="N501" s="174"/>
      <c r="O501" s="174"/>
      <c r="P501" s="174"/>
    </row>
    <row r="502" outlineLevel="1">
      <c r="A502" s="170" t="s">
        <v>147</v>
      </c>
      <c r="B502" s="171" t="str">
        <f t="shared" si="2"/>
        <v>6.14.3</v>
      </c>
      <c r="C502" s="172" t="s">
        <v>312</v>
      </c>
      <c r="D502" s="152" t="s">
        <v>631</v>
      </c>
      <c r="E502" s="174"/>
      <c r="F502" s="174"/>
      <c r="G502" s="170" t="s">
        <v>48</v>
      </c>
      <c r="H502" s="172" t="s">
        <v>187</v>
      </c>
      <c r="I502" s="174"/>
      <c r="J502" s="174"/>
      <c r="K502" s="174"/>
      <c r="L502" s="174"/>
      <c r="M502" s="174"/>
      <c r="N502" s="174"/>
      <c r="O502" s="174"/>
      <c r="P502" s="174"/>
    </row>
    <row r="503" outlineLevel="1">
      <c r="A503" s="175" t="s">
        <v>147</v>
      </c>
      <c r="B503" s="175" t="str">
        <f t="shared" si="2"/>
        <v>6.14.4</v>
      </c>
      <c r="C503" s="176" t="s">
        <v>312</v>
      </c>
      <c r="D503" s="152" t="s">
        <v>632</v>
      </c>
      <c r="E503" s="177"/>
      <c r="F503" s="177"/>
      <c r="G503" s="178" t="s">
        <v>48</v>
      </c>
      <c r="H503" s="176" t="s">
        <v>187</v>
      </c>
      <c r="I503" s="177"/>
      <c r="J503" s="177"/>
      <c r="K503" s="177"/>
      <c r="L503" s="177"/>
      <c r="M503" s="177"/>
      <c r="N503" s="177"/>
      <c r="O503" s="177"/>
      <c r="P503" s="177"/>
      <c r="Q503" s="169"/>
      <c r="R503" s="169"/>
      <c r="S503" s="169"/>
      <c r="T503" s="169"/>
      <c r="U503" s="169"/>
      <c r="V503" s="169"/>
      <c r="W503" s="169"/>
      <c r="X503" s="169"/>
    </row>
    <row r="504" outlineLevel="1">
      <c r="A504" s="170" t="s">
        <v>147</v>
      </c>
      <c r="B504" s="171" t="str">
        <f t="shared" si="2"/>
        <v>6.14.5</v>
      </c>
      <c r="C504" s="172" t="s">
        <v>312</v>
      </c>
      <c r="D504" s="152" t="s">
        <v>633</v>
      </c>
      <c r="E504" s="174"/>
      <c r="F504" s="174"/>
      <c r="G504" s="170" t="s">
        <v>48</v>
      </c>
      <c r="H504" s="172" t="s">
        <v>187</v>
      </c>
      <c r="I504" s="174"/>
      <c r="J504" s="174"/>
      <c r="K504" s="174"/>
      <c r="L504" s="174"/>
      <c r="M504" s="174"/>
      <c r="N504" s="174"/>
      <c r="O504" s="174"/>
      <c r="P504" s="174"/>
    </row>
    <row r="505" outlineLevel="1">
      <c r="A505" s="170" t="s">
        <v>147</v>
      </c>
      <c r="B505" s="171" t="str">
        <f t="shared" si="2"/>
        <v>6.14.6</v>
      </c>
      <c r="C505" s="172" t="s">
        <v>312</v>
      </c>
      <c r="D505" s="152" t="s">
        <v>638</v>
      </c>
      <c r="E505" s="174"/>
      <c r="F505" s="174"/>
      <c r="G505" s="170" t="s">
        <v>48</v>
      </c>
      <c r="H505" s="172" t="s">
        <v>187</v>
      </c>
      <c r="I505" s="174"/>
      <c r="J505" s="174"/>
      <c r="K505" s="174"/>
      <c r="L505" s="174"/>
      <c r="M505" s="174"/>
      <c r="N505" s="174"/>
      <c r="O505" s="174"/>
      <c r="P505" s="174"/>
    </row>
    <row r="506" outlineLevel="1">
      <c r="A506" s="170" t="s">
        <v>147</v>
      </c>
      <c r="B506" s="171" t="str">
        <f t="shared" si="2"/>
        <v>6.14.7</v>
      </c>
      <c r="C506" s="172" t="s">
        <v>312</v>
      </c>
      <c r="D506" s="152" t="s">
        <v>635</v>
      </c>
      <c r="E506" s="174"/>
      <c r="F506" s="174"/>
      <c r="G506" s="170" t="s">
        <v>48</v>
      </c>
      <c r="H506" s="172" t="s">
        <v>187</v>
      </c>
      <c r="I506" s="174"/>
      <c r="J506" s="174"/>
      <c r="K506" s="174"/>
      <c r="L506" s="174"/>
      <c r="M506" s="174"/>
      <c r="N506" s="174"/>
      <c r="O506" s="174"/>
      <c r="P506" s="174"/>
    </row>
    <row r="507" outlineLevel="1">
      <c r="A507" s="170" t="s">
        <v>147</v>
      </c>
      <c r="B507" s="171" t="str">
        <f t="shared" si="2"/>
        <v>6.14.8</v>
      </c>
      <c r="C507" s="172" t="s">
        <v>312</v>
      </c>
      <c r="D507" s="152" t="s">
        <v>636</v>
      </c>
      <c r="E507" s="174"/>
      <c r="F507" s="174"/>
      <c r="G507" s="170" t="s">
        <v>48</v>
      </c>
      <c r="H507" s="172" t="s">
        <v>187</v>
      </c>
      <c r="I507" s="174"/>
      <c r="J507" s="174"/>
      <c r="K507" s="174"/>
      <c r="L507" s="174"/>
      <c r="M507" s="174"/>
      <c r="N507" s="174"/>
      <c r="O507" s="174"/>
      <c r="P507" s="174"/>
    </row>
    <row r="508">
      <c r="A508" s="170" t="s">
        <v>148</v>
      </c>
      <c r="B508" s="171" t="str">
        <f t="shared" si="2"/>
        <v>6.15.1</v>
      </c>
      <c r="C508" s="172" t="s">
        <v>313</v>
      </c>
      <c r="D508" s="152" t="s">
        <v>639</v>
      </c>
      <c r="E508" s="174"/>
      <c r="F508" s="174"/>
      <c r="G508" s="170" t="s">
        <v>48</v>
      </c>
      <c r="H508" s="172" t="s">
        <v>187</v>
      </c>
      <c r="I508" s="174"/>
      <c r="J508" s="174"/>
      <c r="K508" s="174"/>
      <c r="L508" s="174"/>
      <c r="M508" s="174"/>
      <c r="N508" s="174"/>
      <c r="O508" s="174"/>
      <c r="P508" s="174"/>
    </row>
    <row r="509" outlineLevel="1">
      <c r="A509" s="170" t="s">
        <v>148</v>
      </c>
      <c r="B509" s="171" t="str">
        <f t="shared" si="2"/>
        <v>6.15.2</v>
      </c>
      <c r="C509" s="172" t="s">
        <v>313</v>
      </c>
      <c r="D509" s="152" t="s">
        <v>640</v>
      </c>
      <c r="E509" s="174"/>
      <c r="F509" s="174"/>
      <c r="G509" s="170" t="s">
        <v>48</v>
      </c>
      <c r="H509" s="172" t="s">
        <v>187</v>
      </c>
      <c r="I509" s="174"/>
      <c r="J509" s="174"/>
      <c r="K509" s="174"/>
      <c r="L509" s="174"/>
      <c r="M509" s="174"/>
      <c r="N509" s="174"/>
      <c r="O509" s="174"/>
      <c r="P509" s="174"/>
    </row>
    <row r="510" outlineLevel="1">
      <c r="A510" s="170" t="s">
        <v>148</v>
      </c>
      <c r="B510" s="171" t="str">
        <f t="shared" si="2"/>
        <v>6.15.3</v>
      </c>
      <c r="C510" s="172" t="s">
        <v>313</v>
      </c>
      <c r="D510" s="152" t="s">
        <v>641</v>
      </c>
      <c r="E510" s="174"/>
      <c r="F510" s="174"/>
      <c r="G510" s="170" t="s">
        <v>48</v>
      </c>
      <c r="H510" s="172" t="s">
        <v>187</v>
      </c>
      <c r="I510" s="174"/>
      <c r="J510" s="174"/>
      <c r="K510" s="174"/>
      <c r="L510" s="174"/>
      <c r="M510" s="174"/>
      <c r="N510" s="174"/>
      <c r="O510" s="174"/>
      <c r="P510" s="174"/>
    </row>
    <row r="511" outlineLevel="1">
      <c r="A511" s="175" t="s">
        <v>148</v>
      </c>
      <c r="B511" s="175" t="str">
        <f t="shared" si="2"/>
        <v>6.15.4</v>
      </c>
      <c r="C511" s="176" t="s">
        <v>313</v>
      </c>
      <c r="D511" s="152" t="s">
        <v>642</v>
      </c>
      <c r="E511" s="177"/>
      <c r="F511" s="177"/>
      <c r="G511" s="178" t="s">
        <v>48</v>
      </c>
      <c r="H511" s="176" t="s">
        <v>187</v>
      </c>
      <c r="I511" s="177"/>
      <c r="J511" s="177"/>
      <c r="K511" s="177"/>
      <c r="L511" s="177"/>
      <c r="M511" s="177"/>
      <c r="N511" s="177"/>
      <c r="O511" s="177"/>
      <c r="P511" s="177"/>
      <c r="Q511" s="169"/>
      <c r="R511" s="169"/>
      <c r="S511" s="169"/>
      <c r="T511" s="169"/>
      <c r="U511" s="169"/>
      <c r="V511" s="169"/>
      <c r="W511" s="169"/>
      <c r="X511" s="169"/>
    </row>
    <row r="512" outlineLevel="1">
      <c r="A512" s="175" t="s">
        <v>148</v>
      </c>
      <c r="B512" s="175" t="str">
        <f t="shared" si="2"/>
        <v>6.15.5</v>
      </c>
      <c r="C512" s="176" t="s">
        <v>313</v>
      </c>
      <c r="D512" s="152" t="s">
        <v>643</v>
      </c>
      <c r="E512" s="177"/>
      <c r="F512" s="177"/>
      <c r="G512" s="178" t="s">
        <v>48</v>
      </c>
      <c r="H512" s="176" t="s">
        <v>187</v>
      </c>
      <c r="I512" s="177"/>
      <c r="J512" s="177"/>
      <c r="K512" s="177"/>
      <c r="L512" s="177"/>
      <c r="M512" s="177"/>
      <c r="N512" s="177"/>
      <c r="O512" s="177"/>
      <c r="P512" s="177"/>
      <c r="Q512" s="169"/>
      <c r="R512" s="169"/>
      <c r="S512" s="169"/>
      <c r="T512" s="169"/>
      <c r="U512" s="169"/>
      <c r="V512" s="169"/>
      <c r="W512" s="169"/>
      <c r="X512" s="169"/>
    </row>
    <row r="513" outlineLevel="1">
      <c r="A513" s="175" t="s">
        <v>148</v>
      </c>
      <c r="B513" s="175" t="str">
        <f t="shared" si="2"/>
        <v>6.15.6</v>
      </c>
      <c r="C513" s="176" t="s">
        <v>313</v>
      </c>
      <c r="D513" s="152" t="s">
        <v>644</v>
      </c>
      <c r="E513" s="177"/>
      <c r="F513" s="177"/>
      <c r="G513" s="178" t="s">
        <v>48</v>
      </c>
      <c r="H513" s="176" t="s">
        <v>187</v>
      </c>
      <c r="I513" s="177"/>
      <c r="J513" s="177"/>
      <c r="K513" s="177"/>
      <c r="L513" s="177"/>
      <c r="M513" s="177"/>
      <c r="N513" s="177"/>
      <c r="O513" s="177"/>
      <c r="P513" s="177"/>
      <c r="Q513" s="169"/>
      <c r="R513" s="169"/>
      <c r="S513" s="169"/>
      <c r="T513" s="169"/>
      <c r="U513" s="169"/>
      <c r="V513" s="169"/>
      <c r="W513" s="169"/>
      <c r="X513" s="169"/>
    </row>
    <row r="514" outlineLevel="1">
      <c r="A514" s="170" t="s">
        <v>148</v>
      </c>
      <c r="B514" s="171" t="str">
        <f t="shared" si="2"/>
        <v>6.15.7</v>
      </c>
      <c r="C514" s="172" t="s">
        <v>313</v>
      </c>
      <c r="D514" s="152" t="s">
        <v>645</v>
      </c>
      <c r="E514" s="174"/>
      <c r="F514" s="174"/>
      <c r="G514" s="170" t="s">
        <v>48</v>
      </c>
      <c r="H514" s="172" t="s">
        <v>187</v>
      </c>
      <c r="I514" s="174"/>
      <c r="J514" s="174"/>
      <c r="K514" s="174"/>
      <c r="L514" s="174"/>
      <c r="M514" s="174"/>
      <c r="N514" s="174"/>
      <c r="O514" s="174"/>
      <c r="P514" s="174"/>
    </row>
    <row r="515" outlineLevel="1">
      <c r="A515" s="170" t="s">
        <v>148</v>
      </c>
      <c r="B515" s="171" t="str">
        <f t="shared" si="2"/>
        <v>6.15.8</v>
      </c>
      <c r="C515" s="172" t="s">
        <v>313</v>
      </c>
      <c r="D515" s="152" t="s">
        <v>646</v>
      </c>
      <c r="E515" s="174"/>
      <c r="F515" s="174"/>
      <c r="G515" s="170" t="s">
        <v>48</v>
      </c>
      <c r="H515" s="172" t="s">
        <v>187</v>
      </c>
      <c r="I515" s="174"/>
      <c r="J515" s="174"/>
      <c r="K515" s="174"/>
      <c r="L515" s="174"/>
      <c r="M515" s="174"/>
      <c r="N515" s="174"/>
      <c r="O515" s="174"/>
      <c r="P515" s="174"/>
    </row>
    <row r="516" outlineLevel="1">
      <c r="A516" s="170" t="s">
        <v>148</v>
      </c>
      <c r="B516" s="171" t="str">
        <f t="shared" si="2"/>
        <v>6.15.9</v>
      </c>
      <c r="C516" s="172" t="s">
        <v>313</v>
      </c>
      <c r="D516" s="152" t="s">
        <v>636</v>
      </c>
      <c r="E516" s="174"/>
      <c r="F516" s="174"/>
      <c r="G516" s="170" t="s">
        <v>48</v>
      </c>
      <c r="H516" s="172" t="s">
        <v>187</v>
      </c>
      <c r="I516" s="174"/>
      <c r="J516" s="174"/>
      <c r="K516" s="174"/>
      <c r="L516" s="174"/>
      <c r="M516" s="174"/>
      <c r="N516" s="174"/>
      <c r="O516" s="174"/>
      <c r="P516" s="174"/>
    </row>
    <row r="517">
      <c r="A517" s="170" t="s">
        <v>149</v>
      </c>
      <c r="B517" s="171" t="str">
        <f t="shared" si="2"/>
        <v>6.16.1</v>
      </c>
      <c r="C517" s="172" t="s">
        <v>314</v>
      </c>
      <c r="D517" s="152" t="s">
        <v>647</v>
      </c>
      <c r="E517" s="174"/>
      <c r="F517" s="174"/>
      <c r="G517" s="170" t="s">
        <v>51</v>
      </c>
      <c r="H517" s="172" t="s">
        <v>187</v>
      </c>
      <c r="I517" s="174"/>
      <c r="J517" s="174"/>
      <c r="K517" s="174"/>
      <c r="L517" s="174"/>
      <c r="M517" s="174"/>
      <c r="N517" s="174"/>
      <c r="O517" s="174"/>
      <c r="P517" s="174"/>
    </row>
    <row r="518" outlineLevel="1">
      <c r="A518" s="170" t="s">
        <v>149</v>
      </c>
      <c r="B518" s="171" t="str">
        <f t="shared" si="2"/>
        <v>6.16.2</v>
      </c>
      <c r="C518" s="172" t="s">
        <v>314</v>
      </c>
      <c r="D518" s="152" t="s">
        <v>648</v>
      </c>
      <c r="E518" s="174"/>
      <c r="F518" s="174"/>
      <c r="G518" s="170" t="s">
        <v>51</v>
      </c>
      <c r="H518" s="172" t="s">
        <v>187</v>
      </c>
      <c r="I518" s="174"/>
      <c r="J518" s="174"/>
      <c r="K518" s="174"/>
      <c r="L518" s="174"/>
      <c r="M518" s="174"/>
      <c r="N518" s="174"/>
      <c r="O518" s="174"/>
      <c r="P518" s="174"/>
    </row>
    <row r="519" outlineLevel="1">
      <c r="A519" s="170" t="s">
        <v>149</v>
      </c>
      <c r="B519" s="171" t="str">
        <f t="shared" si="2"/>
        <v>6.16.3</v>
      </c>
      <c r="C519" s="172" t="s">
        <v>314</v>
      </c>
      <c r="D519" s="152" t="s">
        <v>649</v>
      </c>
      <c r="E519" s="174"/>
      <c r="F519" s="174"/>
      <c r="G519" s="170" t="s">
        <v>51</v>
      </c>
      <c r="H519" s="172" t="s">
        <v>187</v>
      </c>
      <c r="I519" s="174"/>
      <c r="J519" s="174"/>
      <c r="K519" s="174"/>
      <c r="L519" s="174"/>
      <c r="M519" s="174"/>
      <c r="N519" s="174"/>
      <c r="O519" s="174"/>
      <c r="P519" s="174"/>
    </row>
    <row r="520" outlineLevel="1">
      <c r="A520" s="175" t="s">
        <v>149</v>
      </c>
      <c r="B520" s="175" t="str">
        <f t="shared" si="2"/>
        <v>6.16.4</v>
      </c>
      <c r="C520" s="176" t="s">
        <v>314</v>
      </c>
      <c r="D520" s="152" t="s">
        <v>650</v>
      </c>
      <c r="E520" s="177"/>
      <c r="F520" s="177"/>
      <c r="G520" s="178" t="s">
        <v>51</v>
      </c>
      <c r="H520" s="176" t="s">
        <v>187</v>
      </c>
      <c r="I520" s="177"/>
      <c r="J520" s="177"/>
      <c r="K520" s="177"/>
      <c r="L520" s="177"/>
      <c r="M520" s="177"/>
      <c r="N520" s="177"/>
      <c r="O520" s="177"/>
      <c r="P520" s="177"/>
      <c r="Q520" s="169"/>
      <c r="R520" s="169"/>
      <c r="S520" s="169"/>
      <c r="T520" s="169"/>
      <c r="U520" s="169"/>
      <c r="V520" s="169"/>
      <c r="W520" s="169"/>
      <c r="X520" s="169"/>
    </row>
    <row r="521" outlineLevel="1">
      <c r="A521" s="175" t="s">
        <v>149</v>
      </c>
      <c r="B521" s="175" t="str">
        <f t="shared" si="2"/>
        <v>6.16.5</v>
      </c>
      <c r="C521" s="176" t="s">
        <v>314</v>
      </c>
      <c r="D521" s="152" t="s">
        <v>651</v>
      </c>
      <c r="E521" s="177"/>
      <c r="F521" s="177"/>
      <c r="G521" s="178" t="s">
        <v>51</v>
      </c>
      <c r="H521" s="176" t="s">
        <v>187</v>
      </c>
      <c r="I521" s="177"/>
      <c r="J521" s="177"/>
      <c r="K521" s="177"/>
      <c r="L521" s="177"/>
      <c r="M521" s="177"/>
      <c r="N521" s="177"/>
      <c r="O521" s="177"/>
      <c r="P521" s="177"/>
      <c r="Q521" s="169"/>
      <c r="R521" s="169"/>
      <c r="S521" s="169"/>
      <c r="T521" s="169"/>
      <c r="U521" s="169"/>
      <c r="V521" s="169"/>
      <c r="W521" s="169"/>
      <c r="X521" s="169"/>
    </row>
    <row r="522" outlineLevel="1">
      <c r="A522" s="170" t="s">
        <v>149</v>
      </c>
      <c r="B522" s="171" t="str">
        <f t="shared" si="2"/>
        <v>6.16.6</v>
      </c>
      <c r="C522" s="172" t="s">
        <v>314</v>
      </c>
      <c r="D522" s="152" t="s">
        <v>652</v>
      </c>
      <c r="E522" s="174"/>
      <c r="F522" s="174"/>
      <c r="G522" s="170" t="s">
        <v>51</v>
      </c>
      <c r="H522" s="172" t="s">
        <v>187</v>
      </c>
      <c r="I522" s="174"/>
      <c r="J522" s="174"/>
      <c r="K522" s="174"/>
      <c r="L522" s="174"/>
      <c r="M522" s="174"/>
      <c r="N522" s="174"/>
      <c r="O522" s="174"/>
      <c r="P522" s="174"/>
    </row>
    <row r="523" outlineLevel="1">
      <c r="A523" s="170" t="s">
        <v>149</v>
      </c>
      <c r="B523" s="171" t="str">
        <f t="shared" si="2"/>
        <v>6.16.7</v>
      </c>
      <c r="C523" s="172" t="s">
        <v>314</v>
      </c>
      <c r="D523" s="152" t="s">
        <v>653</v>
      </c>
      <c r="E523" s="174"/>
      <c r="F523" s="174"/>
      <c r="G523" s="170" t="s">
        <v>51</v>
      </c>
      <c r="H523" s="172" t="s">
        <v>187</v>
      </c>
      <c r="I523" s="174"/>
      <c r="J523" s="174"/>
      <c r="K523" s="174"/>
      <c r="L523" s="174"/>
      <c r="M523" s="174"/>
      <c r="N523" s="174"/>
      <c r="O523" s="174"/>
      <c r="P523" s="174"/>
    </row>
    <row r="524" outlineLevel="1">
      <c r="A524" s="170" t="s">
        <v>149</v>
      </c>
      <c r="B524" s="171" t="str">
        <f t="shared" si="2"/>
        <v>6.16.8</v>
      </c>
      <c r="C524" s="172" t="s">
        <v>314</v>
      </c>
      <c r="D524" s="152" t="s">
        <v>654</v>
      </c>
      <c r="E524" s="174"/>
      <c r="F524" s="174"/>
      <c r="G524" s="170" t="s">
        <v>51</v>
      </c>
      <c r="H524" s="172" t="s">
        <v>187</v>
      </c>
      <c r="I524" s="174"/>
      <c r="J524" s="174"/>
      <c r="K524" s="174"/>
      <c r="L524" s="174"/>
      <c r="M524" s="174"/>
      <c r="N524" s="174"/>
      <c r="O524" s="174"/>
      <c r="P524" s="174"/>
    </row>
    <row r="525">
      <c r="A525" s="170" t="s">
        <v>150</v>
      </c>
      <c r="B525" s="171" t="str">
        <f t="shared" si="2"/>
        <v>6.17.1</v>
      </c>
      <c r="C525" s="172" t="s">
        <v>315</v>
      </c>
      <c r="D525" s="152" t="s">
        <v>786</v>
      </c>
      <c r="E525" s="174"/>
      <c r="F525" s="174"/>
      <c r="G525" s="170" t="s">
        <v>51</v>
      </c>
      <c r="H525" s="172" t="s">
        <v>187</v>
      </c>
      <c r="I525" s="174"/>
      <c r="J525" s="174"/>
      <c r="K525" s="174"/>
      <c r="L525" s="174"/>
      <c r="M525" s="174"/>
      <c r="N525" s="174"/>
      <c r="O525" s="174"/>
      <c r="P525" s="174"/>
    </row>
    <row r="526" outlineLevel="1">
      <c r="A526" s="170" t="s">
        <v>150</v>
      </c>
      <c r="B526" s="171" t="str">
        <f t="shared" si="2"/>
        <v>6.17.2</v>
      </c>
      <c r="C526" s="172" t="s">
        <v>315</v>
      </c>
      <c r="D526" s="152" t="s">
        <v>661</v>
      </c>
      <c r="E526" s="174"/>
      <c r="F526" s="174"/>
      <c r="G526" s="170" t="s">
        <v>51</v>
      </c>
      <c r="H526" s="172" t="s">
        <v>187</v>
      </c>
      <c r="I526" s="174"/>
      <c r="J526" s="174"/>
      <c r="K526" s="174"/>
      <c r="L526" s="174"/>
      <c r="M526" s="174"/>
      <c r="N526" s="174"/>
      <c r="O526" s="174"/>
      <c r="P526" s="174"/>
    </row>
    <row r="527" outlineLevel="1">
      <c r="A527" s="170" t="s">
        <v>150</v>
      </c>
      <c r="B527" s="171" t="str">
        <f t="shared" si="2"/>
        <v>6.17.3</v>
      </c>
      <c r="C527" s="172" t="s">
        <v>315</v>
      </c>
      <c r="D527" s="152" t="s">
        <v>657</v>
      </c>
      <c r="E527" s="174"/>
      <c r="F527" s="174"/>
      <c r="G527" s="170" t="s">
        <v>51</v>
      </c>
      <c r="H527" s="172" t="s">
        <v>187</v>
      </c>
      <c r="I527" s="174"/>
      <c r="J527" s="174"/>
      <c r="K527" s="174"/>
      <c r="L527" s="174"/>
      <c r="M527" s="174"/>
      <c r="N527" s="174"/>
      <c r="O527" s="174"/>
      <c r="P527" s="174"/>
    </row>
    <row r="528" outlineLevel="1">
      <c r="A528" s="170" t="s">
        <v>150</v>
      </c>
      <c r="B528" s="171" t="str">
        <f t="shared" si="2"/>
        <v>6.17.4</v>
      </c>
      <c r="C528" s="172" t="s">
        <v>315</v>
      </c>
      <c r="D528" s="152" t="s">
        <v>663</v>
      </c>
      <c r="E528" s="174"/>
      <c r="F528" s="174"/>
      <c r="G528" s="170" t="s">
        <v>51</v>
      </c>
      <c r="H528" s="172" t="s">
        <v>187</v>
      </c>
      <c r="I528" s="174"/>
      <c r="J528" s="174"/>
      <c r="K528" s="174"/>
      <c r="L528" s="174"/>
      <c r="M528" s="174"/>
      <c r="N528" s="174"/>
      <c r="O528" s="174"/>
      <c r="P528" s="174"/>
    </row>
    <row r="529">
      <c r="A529" s="170" t="s">
        <v>151</v>
      </c>
      <c r="B529" s="171" t="str">
        <f t="shared" si="2"/>
        <v>6.18.1</v>
      </c>
      <c r="C529" s="172" t="s">
        <v>316</v>
      </c>
      <c r="D529" s="152" t="s">
        <v>647</v>
      </c>
      <c r="E529" s="174"/>
      <c r="F529" s="174"/>
      <c r="G529" s="170" t="s">
        <v>51</v>
      </c>
      <c r="H529" s="172" t="s">
        <v>187</v>
      </c>
      <c r="I529" s="174"/>
      <c r="J529" s="174"/>
      <c r="K529" s="174"/>
      <c r="L529" s="174"/>
      <c r="M529" s="174"/>
      <c r="N529" s="174"/>
      <c r="O529" s="174"/>
      <c r="P529" s="174"/>
    </row>
    <row r="530" outlineLevel="2">
      <c r="A530" s="170" t="s">
        <v>151</v>
      </c>
      <c r="B530" s="171" t="str">
        <f t="shared" si="2"/>
        <v>6.18.2</v>
      </c>
      <c r="C530" s="172" t="s">
        <v>316</v>
      </c>
      <c r="D530" s="152" t="s">
        <v>648</v>
      </c>
      <c r="E530" s="174"/>
      <c r="F530" s="174"/>
      <c r="G530" s="170" t="s">
        <v>51</v>
      </c>
      <c r="H530" s="172" t="s">
        <v>187</v>
      </c>
      <c r="I530" s="174"/>
      <c r="J530" s="174"/>
      <c r="K530" s="174"/>
      <c r="L530" s="174"/>
      <c r="M530" s="174"/>
      <c r="N530" s="174"/>
      <c r="O530" s="174"/>
      <c r="P530" s="174"/>
    </row>
    <row r="531" outlineLevel="2">
      <c r="A531" s="170" t="s">
        <v>151</v>
      </c>
      <c r="B531" s="171" t="str">
        <f t="shared" si="2"/>
        <v>6.18.3</v>
      </c>
      <c r="C531" s="172" t="s">
        <v>316</v>
      </c>
      <c r="D531" s="152" t="s">
        <v>649</v>
      </c>
      <c r="E531" s="174"/>
      <c r="F531" s="174"/>
      <c r="G531" s="170" t="s">
        <v>51</v>
      </c>
      <c r="H531" s="172" t="s">
        <v>187</v>
      </c>
      <c r="I531" s="174"/>
      <c r="J531" s="174"/>
      <c r="K531" s="174"/>
      <c r="L531" s="174"/>
      <c r="M531" s="174"/>
      <c r="N531" s="174"/>
      <c r="O531" s="174"/>
      <c r="P531" s="174"/>
    </row>
    <row r="532" outlineLevel="2">
      <c r="A532" s="170" t="s">
        <v>151</v>
      </c>
      <c r="B532" s="171" t="str">
        <f t="shared" si="2"/>
        <v>6.18.4</v>
      </c>
      <c r="C532" s="172" t="s">
        <v>316</v>
      </c>
      <c r="D532" s="152" t="s">
        <v>659</v>
      </c>
      <c r="E532" s="174"/>
      <c r="F532" s="174"/>
      <c r="G532" s="170" t="s">
        <v>51</v>
      </c>
      <c r="H532" s="172" t="s">
        <v>187</v>
      </c>
      <c r="I532" s="174"/>
      <c r="J532" s="174"/>
      <c r="K532" s="174"/>
      <c r="L532" s="174"/>
      <c r="M532" s="174"/>
      <c r="N532" s="174"/>
      <c r="O532" s="174"/>
      <c r="P532" s="174"/>
    </row>
    <row r="533" outlineLevel="2">
      <c r="A533" s="175" t="s">
        <v>151</v>
      </c>
      <c r="B533" s="175" t="str">
        <f t="shared" si="2"/>
        <v>6.18.5</v>
      </c>
      <c r="C533" s="176" t="s">
        <v>316</v>
      </c>
      <c r="D533" s="152" t="s">
        <v>651</v>
      </c>
      <c r="E533" s="177"/>
      <c r="F533" s="177"/>
      <c r="G533" s="178" t="s">
        <v>51</v>
      </c>
      <c r="H533" s="176" t="s">
        <v>187</v>
      </c>
      <c r="I533" s="177"/>
      <c r="J533" s="177"/>
      <c r="K533" s="177"/>
      <c r="L533" s="177"/>
      <c r="M533" s="177"/>
      <c r="N533" s="177"/>
      <c r="O533" s="177"/>
      <c r="P533" s="177"/>
      <c r="Q533" s="169"/>
      <c r="R533" s="169"/>
      <c r="S533" s="169"/>
      <c r="T533" s="169"/>
      <c r="U533" s="169"/>
      <c r="V533" s="169"/>
      <c r="W533" s="169"/>
      <c r="X533" s="169"/>
    </row>
    <row r="534" outlineLevel="2">
      <c r="A534" s="175" t="s">
        <v>151</v>
      </c>
      <c r="B534" s="175" t="str">
        <f t="shared" si="2"/>
        <v>6.18.6</v>
      </c>
      <c r="C534" s="176" t="s">
        <v>316</v>
      </c>
      <c r="D534" s="152" t="s">
        <v>652</v>
      </c>
      <c r="E534" s="177"/>
      <c r="F534" s="177"/>
      <c r="G534" s="178" t="s">
        <v>51</v>
      </c>
      <c r="H534" s="176" t="s">
        <v>187</v>
      </c>
      <c r="I534" s="177"/>
      <c r="J534" s="177"/>
      <c r="K534" s="177"/>
      <c r="L534" s="177"/>
      <c r="M534" s="177"/>
      <c r="N534" s="177"/>
      <c r="O534" s="177"/>
      <c r="P534" s="177"/>
      <c r="Q534" s="169"/>
      <c r="R534" s="169"/>
      <c r="S534" s="169"/>
      <c r="T534" s="169"/>
      <c r="U534" s="169"/>
      <c r="V534" s="169"/>
      <c r="W534" s="169"/>
      <c r="X534" s="169"/>
    </row>
    <row r="535" outlineLevel="2">
      <c r="A535" s="170" t="s">
        <v>151</v>
      </c>
      <c r="B535" s="171" t="str">
        <f t="shared" si="2"/>
        <v>6.18.7</v>
      </c>
      <c r="C535" s="172" t="s">
        <v>316</v>
      </c>
      <c r="D535" s="152" t="s">
        <v>653</v>
      </c>
      <c r="E535" s="174"/>
      <c r="F535" s="174"/>
      <c r="G535" s="170" t="s">
        <v>51</v>
      </c>
      <c r="H535" s="172" t="s">
        <v>187</v>
      </c>
      <c r="I535" s="174"/>
      <c r="J535" s="174"/>
      <c r="K535" s="174"/>
      <c r="L535" s="174"/>
      <c r="M535" s="174"/>
      <c r="N535" s="174"/>
      <c r="O535" s="174"/>
      <c r="P535" s="174"/>
    </row>
    <row r="536" outlineLevel="2">
      <c r="A536" s="170" t="s">
        <v>151</v>
      </c>
      <c r="B536" s="171" t="str">
        <f t="shared" si="2"/>
        <v>6.18.8</v>
      </c>
      <c r="C536" s="172" t="s">
        <v>316</v>
      </c>
      <c r="D536" s="152" t="s">
        <v>654</v>
      </c>
      <c r="E536" s="174"/>
      <c r="F536" s="174"/>
      <c r="G536" s="170" t="s">
        <v>51</v>
      </c>
      <c r="H536" s="172" t="s">
        <v>187</v>
      </c>
      <c r="I536" s="174"/>
      <c r="J536" s="174"/>
      <c r="K536" s="174"/>
      <c r="L536" s="174"/>
      <c r="M536" s="174"/>
      <c r="N536" s="174"/>
      <c r="O536" s="174"/>
      <c r="P536" s="174"/>
    </row>
    <row r="537">
      <c r="A537" s="170" t="s">
        <v>152</v>
      </c>
      <c r="B537" s="171" t="str">
        <f t="shared" si="2"/>
        <v>6.19.1</v>
      </c>
      <c r="C537" s="172" t="s">
        <v>317</v>
      </c>
      <c r="D537" s="152" t="s">
        <v>660</v>
      </c>
      <c r="E537" s="174"/>
      <c r="F537" s="174"/>
      <c r="G537" s="170" t="s">
        <v>51</v>
      </c>
      <c r="H537" s="172" t="s">
        <v>187</v>
      </c>
      <c r="I537" s="174"/>
      <c r="J537" s="174"/>
      <c r="K537" s="174"/>
      <c r="L537" s="174"/>
      <c r="M537" s="174"/>
      <c r="N537" s="174"/>
      <c r="O537" s="174"/>
      <c r="P537" s="174"/>
    </row>
    <row r="538" outlineLevel="1">
      <c r="A538" s="170" t="s">
        <v>152</v>
      </c>
      <c r="B538" s="171" t="str">
        <f t="shared" si="2"/>
        <v>6.19.2</v>
      </c>
      <c r="C538" s="172" t="s">
        <v>317</v>
      </c>
      <c r="D538" s="152" t="s">
        <v>661</v>
      </c>
      <c r="E538" s="174"/>
      <c r="F538" s="174"/>
      <c r="G538" s="170" t="s">
        <v>51</v>
      </c>
      <c r="H538" s="172" t="s">
        <v>187</v>
      </c>
      <c r="I538" s="174"/>
      <c r="J538" s="174"/>
      <c r="K538" s="174"/>
      <c r="L538" s="174"/>
      <c r="M538" s="174"/>
      <c r="N538" s="174"/>
      <c r="O538" s="174"/>
      <c r="P538" s="174"/>
    </row>
    <row r="539" outlineLevel="1">
      <c r="A539" s="170" t="s">
        <v>152</v>
      </c>
      <c r="B539" s="171" t="str">
        <f t="shared" si="2"/>
        <v>6.19.3</v>
      </c>
      <c r="C539" s="172" t="s">
        <v>317</v>
      </c>
      <c r="D539" s="152" t="s">
        <v>662</v>
      </c>
      <c r="E539" s="174"/>
      <c r="F539" s="174"/>
      <c r="G539" s="170" t="s">
        <v>51</v>
      </c>
      <c r="H539" s="172" t="s">
        <v>187</v>
      </c>
      <c r="I539" s="174"/>
      <c r="J539" s="174"/>
      <c r="K539" s="174"/>
      <c r="L539" s="174"/>
      <c r="M539" s="174"/>
      <c r="N539" s="174"/>
      <c r="O539" s="174"/>
      <c r="P539" s="174"/>
    </row>
    <row r="540" outlineLevel="1">
      <c r="A540" s="170" t="s">
        <v>152</v>
      </c>
      <c r="B540" s="171" t="str">
        <f t="shared" si="2"/>
        <v>6.19.4</v>
      </c>
      <c r="C540" s="172" t="s">
        <v>317</v>
      </c>
      <c r="D540" s="152" t="s">
        <v>663</v>
      </c>
      <c r="E540" s="174"/>
      <c r="F540" s="174"/>
      <c r="G540" s="170" t="s">
        <v>51</v>
      </c>
      <c r="H540" s="172" t="s">
        <v>187</v>
      </c>
      <c r="I540" s="174"/>
      <c r="J540" s="174"/>
      <c r="K540" s="174"/>
      <c r="L540" s="174"/>
      <c r="M540" s="174"/>
      <c r="N540" s="174"/>
      <c r="O540" s="174"/>
      <c r="P540" s="174"/>
    </row>
    <row r="541">
      <c r="A541" s="170" t="s">
        <v>153</v>
      </c>
      <c r="B541" s="171" t="str">
        <f t="shared" si="2"/>
        <v>6.20.1</v>
      </c>
      <c r="C541" s="172" t="s">
        <v>318</v>
      </c>
      <c r="D541" s="152" t="s">
        <v>787</v>
      </c>
      <c r="E541" s="174"/>
      <c r="F541" s="174"/>
      <c r="G541" s="170" t="s">
        <v>63</v>
      </c>
      <c r="H541" s="172" t="s">
        <v>187</v>
      </c>
      <c r="I541" s="174"/>
      <c r="J541" s="174"/>
      <c r="K541" s="174"/>
      <c r="L541" s="174"/>
      <c r="M541" s="174"/>
      <c r="N541" s="174"/>
      <c r="O541" s="174"/>
      <c r="P541" s="174"/>
    </row>
    <row r="542" outlineLevel="1">
      <c r="A542" s="170" t="s">
        <v>153</v>
      </c>
      <c r="B542" s="171" t="str">
        <f t="shared" si="2"/>
        <v>6.20.2</v>
      </c>
      <c r="C542" s="172" t="s">
        <v>318</v>
      </c>
      <c r="D542" s="152" t="s">
        <v>665</v>
      </c>
      <c r="E542" s="174"/>
      <c r="F542" s="174"/>
      <c r="G542" s="170" t="s">
        <v>63</v>
      </c>
      <c r="H542" s="172" t="s">
        <v>187</v>
      </c>
      <c r="I542" s="174"/>
      <c r="J542" s="174"/>
      <c r="K542" s="174"/>
      <c r="L542" s="174"/>
      <c r="M542" s="174"/>
      <c r="N542" s="174"/>
      <c r="O542" s="174"/>
      <c r="P542" s="174"/>
    </row>
    <row r="543" outlineLevel="1">
      <c r="A543" s="170" t="s">
        <v>153</v>
      </c>
      <c r="B543" s="171" t="str">
        <f t="shared" si="2"/>
        <v>6.20.3</v>
      </c>
      <c r="C543" s="172" t="s">
        <v>318</v>
      </c>
      <c r="D543" s="152" t="s">
        <v>666</v>
      </c>
      <c r="E543" s="174"/>
      <c r="F543" s="174"/>
      <c r="G543" s="170" t="s">
        <v>63</v>
      </c>
      <c r="H543" s="172" t="s">
        <v>187</v>
      </c>
      <c r="I543" s="174"/>
      <c r="J543" s="174"/>
      <c r="K543" s="174"/>
      <c r="L543" s="174"/>
      <c r="M543" s="174"/>
      <c r="N543" s="174"/>
      <c r="O543" s="174"/>
      <c r="P543" s="174"/>
    </row>
    <row r="544" outlineLevel="1">
      <c r="A544" s="170" t="s">
        <v>153</v>
      </c>
      <c r="B544" s="171" t="str">
        <f t="shared" si="2"/>
        <v>6.20.4</v>
      </c>
      <c r="C544" s="172" t="s">
        <v>318</v>
      </c>
      <c r="D544" s="152" t="s">
        <v>667</v>
      </c>
      <c r="E544" s="174"/>
      <c r="F544" s="174"/>
      <c r="G544" s="170" t="s">
        <v>63</v>
      </c>
      <c r="H544" s="172" t="s">
        <v>187</v>
      </c>
      <c r="I544" s="174"/>
      <c r="J544" s="174"/>
      <c r="K544" s="174"/>
      <c r="L544" s="174"/>
      <c r="M544" s="174"/>
      <c r="N544" s="174"/>
      <c r="O544" s="174"/>
      <c r="P544" s="174"/>
    </row>
    <row r="545" outlineLevel="1">
      <c r="A545" s="170" t="s">
        <v>153</v>
      </c>
      <c r="B545" s="171" t="str">
        <f t="shared" si="2"/>
        <v>6.20.5</v>
      </c>
      <c r="C545" s="172" t="s">
        <v>318</v>
      </c>
      <c r="D545" s="152" t="s">
        <v>668</v>
      </c>
      <c r="E545" s="174"/>
      <c r="F545" s="174"/>
      <c r="G545" s="170" t="s">
        <v>63</v>
      </c>
      <c r="H545" s="172" t="s">
        <v>187</v>
      </c>
      <c r="I545" s="174"/>
      <c r="J545" s="174"/>
      <c r="K545" s="174"/>
      <c r="L545" s="174"/>
      <c r="M545" s="174"/>
      <c r="N545" s="174"/>
      <c r="O545" s="174"/>
      <c r="P545" s="174"/>
    </row>
    <row r="546" outlineLevel="1">
      <c r="A546" s="170" t="s">
        <v>153</v>
      </c>
      <c r="B546" s="171" t="str">
        <f t="shared" si="2"/>
        <v>6.20.6</v>
      </c>
      <c r="C546" s="172" t="s">
        <v>318</v>
      </c>
      <c r="D546" s="152" t="s">
        <v>669</v>
      </c>
      <c r="E546" s="174"/>
      <c r="F546" s="174"/>
      <c r="G546" s="170" t="s">
        <v>63</v>
      </c>
      <c r="H546" s="172" t="s">
        <v>187</v>
      </c>
      <c r="I546" s="174"/>
      <c r="J546" s="174"/>
      <c r="K546" s="174"/>
      <c r="L546" s="174"/>
      <c r="M546" s="174"/>
      <c r="N546" s="174"/>
      <c r="O546" s="174"/>
      <c r="P546" s="174"/>
    </row>
    <row r="547">
      <c r="A547" s="170" t="s">
        <v>154</v>
      </c>
      <c r="B547" s="171" t="str">
        <f t="shared" si="2"/>
        <v>6.21.1</v>
      </c>
      <c r="C547" s="172" t="s">
        <v>319</v>
      </c>
      <c r="D547" s="152" t="s">
        <v>670</v>
      </c>
      <c r="E547" s="174"/>
      <c r="F547" s="174"/>
      <c r="G547" s="170" t="s">
        <v>63</v>
      </c>
      <c r="H547" s="172" t="s">
        <v>187</v>
      </c>
      <c r="I547" s="174"/>
      <c r="J547" s="174"/>
      <c r="K547" s="174"/>
      <c r="L547" s="174"/>
      <c r="M547" s="174"/>
      <c r="N547" s="174"/>
      <c r="O547" s="174"/>
      <c r="P547" s="174"/>
    </row>
    <row r="548" outlineLevel="1">
      <c r="A548" s="170" t="s">
        <v>154</v>
      </c>
      <c r="B548" s="171" t="str">
        <f t="shared" si="2"/>
        <v>6.21.2</v>
      </c>
      <c r="C548" s="172" t="s">
        <v>319</v>
      </c>
      <c r="D548" s="152" t="s">
        <v>671</v>
      </c>
      <c r="E548" s="174"/>
      <c r="F548" s="174"/>
      <c r="G548" s="170" t="s">
        <v>63</v>
      </c>
      <c r="H548" s="172" t="s">
        <v>187</v>
      </c>
      <c r="I548" s="174"/>
      <c r="J548" s="174"/>
      <c r="K548" s="174"/>
      <c r="L548" s="174"/>
      <c r="M548" s="174"/>
      <c r="N548" s="174"/>
      <c r="O548" s="174"/>
      <c r="P548" s="174"/>
    </row>
    <row r="549" outlineLevel="1">
      <c r="A549" s="170" t="s">
        <v>154</v>
      </c>
      <c r="B549" s="171" t="str">
        <f t="shared" si="2"/>
        <v>6.21.3</v>
      </c>
      <c r="C549" s="172" t="s">
        <v>319</v>
      </c>
      <c r="D549" s="152" t="s">
        <v>672</v>
      </c>
      <c r="E549" s="174"/>
      <c r="F549" s="174"/>
      <c r="G549" s="170" t="s">
        <v>63</v>
      </c>
      <c r="H549" s="172" t="s">
        <v>187</v>
      </c>
      <c r="I549" s="174"/>
      <c r="J549" s="174"/>
      <c r="K549" s="174"/>
      <c r="L549" s="174"/>
      <c r="M549" s="174"/>
      <c r="N549" s="174"/>
      <c r="O549" s="174"/>
      <c r="P549" s="174"/>
    </row>
    <row r="550" outlineLevel="1">
      <c r="A550" s="170" t="s">
        <v>154</v>
      </c>
      <c r="B550" s="171" t="str">
        <f t="shared" si="2"/>
        <v>6.21.4</v>
      </c>
      <c r="C550" s="172" t="s">
        <v>319</v>
      </c>
      <c r="D550" s="152" t="s">
        <v>673</v>
      </c>
      <c r="E550" s="174"/>
      <c r="F550" s="174"/>
      <c r="G550" s="170" t="s">
        <v>63</v>
      </c>
      <c r="H550" s="172" t="s">
        <v>187</v>
      </c>
      <c r="I550" s="174"/>
      <c r="J550" s="174"/>
      <c r="K550" s="174"/>
      <c r="L550" s="174"/>
      <c r="M550" s="174"/>
      <c r="N550" s="174"/>
      <c r="O550" s="174"/>
      <c r="P550" s="174"/>
    </row>
    <row r="551" outlineLevel="1">
      <c r="A551" s="170" t="s">
        <v>154</v>
      </c>
      <c r="B551" s="171" t="str">
        <f t="shared" si="2"/>
        <v>6.21.5</v>
      </c>
      <c r="C551" s="172" t="s">
        <v>319</v>
      </c>
      <c r="D551" s="152" t="s">
        <v>674</v>
      </c>
      <c r="E551" s="174"/>
      <c r="F551" s="174"/>
      <c r="G551" s="170" t="s">
        <v>63</v>
      </c>
      <c r="H551" s="172" t="s">
        <v>187</v>
      </c>
      <c r="I551" s="174"/>
      <c r="J551" s="174"/>
      <c r="K551" s="174"/>
      <c r="L551" s="174"/>
      <c r="M551" s="174"/>
      <c r="N551" s="174"/>
      <c r="O551" s="174"/>
      <c r="P551" s="174"/>
    </row>
    <row r="552">
      <c r="A552" s="170" t="s">
        <v>155</v>
      </c>
      <c r="B552" s="171" t="str">
        <f t="shared" si="2"/>
        <v>6.22.1</v>
      </c>
      <c r="C552" s="172" t="s">
        <v>322</v>
      </c>
      <c r="D552" s="152" t="s">
        <v>686</v>
      </c>
      <c r="E552" s="174"/>
      <c r="F552" s="174"/>
      <c r="G552" s="170" t="s">
        <v>190</v>
      </c>
      <c r="H552" s="172" t="s">
        <v>187</v>
      </c>
      <c r="I552" s="174"/>
      <c r="J552" s="174"/>
      <c r="K552" s="174"/>
      <c r="L552" s="174"/>
      <c r="M552" s="174"/>
      <c r="N552" s="174"/>
      <c r="O552" s="174"/>
      <c r="P552" s="174"/>
    </row>
    <row r="553" outlineLevel="1">
      <c r="A553" s="170" t="s">
        <v>155</v>
      </c>
      <c r="B553" s="171" t="str">
        <f t="shared" si="2"/>
        <v>6.22.2</v>
      </c>
      <c r="C553" s="172" t="s">
        <v>322</v>
      </c>
      <c r="D553" s="152" t="s">
        <v>687</v>
      </c>
      <c r="E553" s="174"/>
      <c r="F553" s="174"/>
      <c r="G553" s="170" t="s">
        <v>190</v>
      </c>
      <c r="H553" s="172" t="s">
        <v>187</v>
      </c>
      <c r="I553" s="174"/>
      <c r="J553" s="174"/>
      <c r="K553" s="174"/>
      <c r="L553" s="174"/>
      <c r="M553" s="174"/>
      <c r="N553" s="174"/>
      <c r="O553" s="174"/>
      <c r="P553" s="174"/>
    </row>
    <row r="554" outlineLevel="1">
      <c r="A554" s="170" t="s">
        <v>155</v>
      </c>
      <c r="B554" s="171" t="str">
        <f t="shared" si="2"/>
        <v>6.22.3</v>
      </c>
      <c r="C554" s="172" t="s">
        <v>322</v>
      </c>
      <c r="D554" s="152" t="s">
        <v>688</v>
      </c>
      <c r="E554" s="174"/>
      <c r="F554" s="174"/>
      <c r="G554" s="170" t="s">
        <v>190</v>
      </c>
      <c r="H554" s="172" t="s">
        <v>187</v>
      </c>
      <c r="I554" s="174"/>
      <c r="J554" s="174"/>
      <c r="K554" s="174"/>
      <c r="L554" s="174"/>
      <c r="M554" s="174"/>
      <c r="N554" s="174"/>
      <c r="O554" s="174"/>
      <c r="P554" s="174"/>
    </row>
    <row r="555" outlineLevel="1">
      <c r="A555" s="170" t="s">
        <v>155</v>
      </c>
      <c r="B555" s="171" t="str">
        <f t="shared" si="2"/>
        <v>6.22.4</v>
      </c>
      <c r="C555" s="172" t="s">
        <v>322</v>
      </c>
      <c r="D555" s="152" t="s">
        <v>689</v>
      </c>
      <c r="E555" s="174"/>
      <c r="F555" s="174"/>
      <c r="G555" s="170" t="s">
        <v>190</v>
      </c>
      <c r="H555" s="172" t="s">
        <v>187</v>
      </c>
      <c r="I555" s="174"/>
      <c r="J555" s="174"/>
      <c r="K555" s="174"/>
      <c r="L555" s="174"/>
      <c r="M555" s="174"/>
      <c r="N555" s="174"/>
      <c r="O555" s="174"/>
      <c r="P555" s="174"/>
    </row>
    <row r="556" outlineLevel="1">
      <c r="A556" s="170" t="s">
        <v>155</v>
      </c>
      <c r="B556" s="171" t="str">
        <f t="shared" si="2"/>
        <v>6.22.5</v>
      </c>
      <c r="C556" s="172" t="s">
        <v>322</v>
      </c>
      <c r="D556" s="152" t="s">
        <v>690</v>
      </c>
      <c r="E556" s="174"/>
      <c r="F556" s="174"/>
      <c r="G556" s="170" t="s">
        <v>190</v>
      </c>
      <c r="H556" s="172" t="s">
        <v>187</v>
      </c>
      <c r="I556" s="174"/>
      <c r="J556" s="174"/>
      <c r="K556" s="174"/>
      <c r="L556" s="174"/>
      <c r="M556" s="174"/>
      <c r="N556" s="174"/>
      <c r="O556" s="174"/>
      <c r="P556" s="174"/>
    </row>
    <row r="557" outlineLevel="1">
      <c r="A557" s="170" t="s">
        <v>155</v>
      </c>
      <c r="B557" s="171" t="str">
        <f t="shared" si="2"/>
        <v>6.22.6</v>
      </c>
      <c r="C557" s="172" t="s">
        <v>322</v>
      </c>
      <c r="D557" s="152" t="s">
        <v>691</v>
      </c>
      <c r="E557" s="174"/>
      <c r="F557" s="174"/>
      <c r="G557" s="170" t="s">
        <v>190</v>
      </c>
      <c r="H557" s="172" t="s">
        <v>187</v>
      </c>
      <c r="I557" s="174"/>
      <c r="J557" s="174"/>
      <c r="K557" s="174"/>
      <c r="L557" s="174"/>
      <c r="M557" s="174"/>
      <c r="N557" s="174"/>
      <c r="O557" s="174"/>
      <c r="P557" s="174"/>
    </row>
    <row r="558" outlineLevel="1">
      <c r="A558" s="170" t="s">
        <v>155</v>
      </c>
      <c r="B558" s="171" t="str">
        <f t="shared" si="2"/>
        <v>6.22.7</v>
      </c>
      <c r="C558" s="172" t="s">
        <v>322</v>
      </c>
      <c r="D558" s="152" t="s">
        <v>692</v>
      </c>
      <c r="E558" s="174"/>
      <c r="F558" s="174"/>
      <c r="G558" s="170" t="s">
        <v>190</v>
      </c>
      <c r="H558" s="172" t="s">
        <v>187</v>
      </c>
      <c r="I558" s="174"/>
      <c r="J558" s="174"/>
      <c r="K558" s="174"/>
      <c r="L558" s="174"/>
      <c r="M558" s="174"/>
      <c r="N558" s="174"/>
      <c r="O558" s="174"/>
      <c r="P558" s="174"/>
    </row>
    <row r="559">
      <c r="A559" s="170" t="s">
        <v>156</v>
      </c>
      <c r="B559" s="171" t="str">
        <f t="shared" si="2"/>
        <v>6.23.1</v>
      </c>
      <c r="C559" s="172" t="s">
        <v>323</v>
      </c>
      <c r="D559" s="152" t="s">
        <v>693</v>
      </c>
      <c r="E559" s="174"/>
      <c r="F559" s="174"/>
      <c r="G559" s="170" t="s">
        <v>190</v>
      </c>
      <c r="H559" s="172" t="s">
        <v>187</v>
      </c>
      <c r="I559" s="174"/>
      <c r="J559" s="174"/>
      <c r="K559" s="174"/>
      <c r="L559" s="174"/>
      <c r="M559" s="174"/>
      <c r="N559" s="174"/>
      <c r="O559" s="174"/>
      <c r="P559" s="174"/>
    </row>
    <row r="560" outlineLevel="1">
      <c r="A560" s="170" t="s">
        <v>156</v>
      </c>
      <c r="B560" s="171" t="str">
        <f t="shared" si="2"/>
        <v>6.23.2</v>
      </c>
      <c r="C560" s="172" t="s">
        <v>323</v>
      </c>
      <c r="D560" s="152" t="s">
        <v>694</v>
      </c>
      <c r="E560" s="174"/>
      <c r="F560" s="174"/>
      <c r="G560" s="170" t="s">
        <v>190</v>
      </c>
      <c r="H560" s="172" t="s">
        <v>187</v>
      </c>
      <c r="I560" s="174"/>
      <c r="J560" s="174"/>
      <c r="K560" s="174"/>
      <c r="L560" s="174"/>
      <c r="M560" s="174"/>
      <c r="N560" s="174"/>
      <c r="O560" s="174"/>
      <c r="P560" s="174"/>
    </row>
    <row r="561" outlineLevel="1">
      <c r="A561" s="170" t="s">
        <v>156</v>
      </c>
      <c r="B561" s="171" t="str">
        <f t="shared" si="2"/>
        <v>6.23.3</v>
      </c>
      <c r="C561" s="172" t="s">
        <v>323</v>
      </c>
      <c r="D561" s="152" t="s">
        <v>695</v>
      </c>
      <c r="E561" s="174"/>
      <c r="F561" s="174"/>
      <c r="G561" s="170" t="s">
        <v>190</v>
      </c>
      <c r="H561" s="172" t="s">
        <v>187</v>
      </c>
      <c r="I561" s="174"/>
      <c r="J561" s="174"/>
      <c r="K561" s="174"/>
      <c r="L561" s="174"/>
      <c r="M561" s="174"/>
      <c r="N561" s="174"/>
      <c r="O561" s="174"/>
      <c r="P561" s="174"/>
    </row>
    <row r="562" outlineLevel="1">
      <c r="A562" s="170" t="s">
        <v>156</v>
      </c>
      <c r="B562" s="171" t="str">
        <f t="shared" si="2"/>
        <v>6.23.4</v>
      </c>
      <c r="C562" s="172" t="s">
        <v>323</v>
      </c>
      <c r="D562" s="152" t="s">
        <v>696</v>
      </c>
      <c r="E562" s="174"/>
      <c r="F562" s="174"/>
      <c r="G562" s="170" t="s">
        <v>190</v>
      </c>
      <c r="H562" s="172" t="s">
        <v>187</v>
      </c>
      <c r="I562" s="174"/>
      <c r="J562" s="174"/>
      <c r="K562" s="174"/>
      <c r="L562" s="174"/>
      <c r="M562" s="174"/>
      <c r="N562" s="174"/>
      <c r="O562" s="174"/>
      <c r="P562" s="174"/>
    </row>
    <row r="563" outlineLevel="1">
      <c r="A563" s="170" t="s">
        <v>156</v>
      </c>
      <c r="B563" s="171" t="str">
        <f t="shared" si="2"/>
        <v>6.23.5</v>
      </c>
      <c r="C563" s="172" t="s">
        <v>323</v>
      </c>
      <c r="D563" s="152" t="s">
        <v>663</v>
      </c>
      <c r="E563" s="174"/>
      <c r="F563" s="174"/>
      <c r="G563" s="170" t="s">
        <v>190</v>
      </c>
      <c r="H563" s="172" t="s">
        <v>187</v>
      </c>
      <c r="I563" s="174"/>
      <c r="J563" s="174"/>
      <c r="K563" s="174"/>
      <c r="L563" s="174"/>
      <c r="M563" s="174"/>
      <c r="N563" s="174"/>
      <c r="O563" s="174"/>
      <c r="P563" s="174"/>
    </row>
    <row r="564">
      <c r="A564" s="170" t="s">
        <v>157</v>
      </c>
      <c r="B564" s="171" t="str">
        <f t="shared" si="2"/>
        <v>6.24.1</v>
      </c>
      <c r="C564" s="172" t="s">
        <v>324</v>
      </c>
      <c r="D564" s="152" t="s">
        <v>697</v>
      </c>
      <c r="E564" s="174"/>
      <c r="F564" s="174"/>
      <c r="G564" s="170" t="s">
        <v>188</v>
      </c>
      <c r="H564" s="172" t="s">
        <v>187</v>
      </c>
      <c r="I564" s="174"/>
      <c r="J564" s="174"/>
      <c r="K564" s="174"/>
      <c r="L564" s="174"/>
      <c r="M564" s="174"/>
      <c r="N564" s="174"/>
      <c r="O564" s="174"/>
      <c r="P564" s="174"/>
    </row>
    <row r="565" outlineLevel="1">
      <c r="A565" s="170" t="s">
        <v>157</v>
      </c>
      <c r="B565" s="171" t="str">
        <f t="shared" si="2"/>
        <v>6.24.2</v>
      </c>
      <c r="C565" s="172" t="s">
        <v>324</v>
      </c>
      <c r="D565" s="152" t="s">
        <v>698</v>
      </c>
      <c r="E565" s="174"/>
      <c r="F565" s="174"/>
      <c r="G565" s="170" t="s">
        <v>188</v>
      </c>
      <c r="H565" s="172" t="s">
        <v>187</v>
      </c>
      <c r="I565" s="174"/>
      <c r="J565" s="174"/>
      <c r="K565" s="174"/>
      <c r="L565" s="174"/>
      <c r="M565" s="174"/>
      <c r="N565" s="174"/>
      <c r="O565" s="174"/>
      <c r="P565" s="174"/>
    </row>
    <row r="566">
      <c r="A566" s="170" t="s">
        <v>158</v>
      </c>
      <c r="B566" s="171" t="str">
        <f t="shared" si="2"/>
        <v>6.25.1</v>
      </c>
      <c r="C566" s="172" t="s">
        <v>325</v>
      </c>
      <c r="D566" s="152" t="s">
        <v>699</v>
      </c>
      <c r="E566" s="174"/>
      <c r="F566" s="174"/>
      <c r="G566" s="170" t="s">
        <v>188</v>
      </c>
      <c r="H566" s="172" t="s">
        <v>187</v>
      </c>
      <c r="I566" s="174"/>
      <c r="J566" s="174"/>
      <c r="K566" s="174"/>
      <c r="L566" s="174"/>
      <c r="M566" s="174"/>
      <c r="N566" s="174"/>
      <c r="O566" s="174"/>
      <c r="P566" s="174"/>
    </row>
    <row r="567" outlineLevel="1">
      <c r="A567" s="170" t="s">
        <v>158</v>
      </c>
      <c r="B567" s="171" t="str">
        <f t="shared" si="2"/>
        <v>6.25.2</v>
      </c>
      <c r="C567" s="172" t="s">
        <v>325</v>
      </c>
      <c r="D567" s="152" t="s">
        <v>698</v>
      </c>
      <c r="E567" s="174"/>
      <c r="F567" s="174"/>
      <c r="G567" s="170" t="s">
        <v>188</v>
      </c>
      <c r="H567" s="172" t="s">
        <v>187</v>
      </c>
      <c r="I567" s="174"/>
      <c r="J567" s="174"/>
      <c r="K567" s="174"/>
      <c r="L567" s="174"/>
      <c r="M567" s="174"/>
      <c r="N567" s="174"/>
      <c r="O567" s="174"/>
      <c r="P567" s="174"/>
    </row>
    <row r="568">
      <c r="A568" s="170" t="s">
        <v>159</v>
      </c>
      <c r="B568" s="171" t="str">
        <f t="shared" si="2"/>
        <v>6.26.1</v>
      </c>
      <c r="C568" s="172" t="s">
        <v>326</v>
      </c>
      <c r="D568" s="152" t="s">
        <v>700</v>
      </c>
      <c r="E568" s="174"/>
      <c r="F568" s="174"/>
      <c r="G568" s="170" t="s">
        <v>188</v>
      </c>
      <c r="H568" s="172" t="s">
        <v>187</v>
      </c>
      <c r="I568" s="174"/>
      <c r="J568" s="174"/>
      <c r="K568" s="174"/>
      <c r="L568" s="174"/>
      <c r="M568" s="174"/>
      <c r="N568" s="174"/>
      <c r="O568" s="174"/>
      <c r="P568" s="174"/>
    </row>
    <row r="569" outlineLevel="1">
      <c r="A569" s="170" t="s">
        <v>159</v>
      </c>
      <c r="B569" s="171" t="str">
        <f t="shared" si="2"/>
        <v>6.26.2</v>
      </c>
      <c r="C569" s="172" t="s">
        <v>326</v>
      </c>
      <c r="D569" s="152" t="s">
        <v>701</v>
      </c>
      <c r="E569" s="174"/>
      <c r="F569" s="174"/>
      <c r="G569" s="170" t="s">
        <v>188</v>
      </c>
      <c r="H569" s="172" t="s">
        <v>187</v>
      </c>
      <c r="I569" s="174"/>
      <c r="J569" s="174"/>
      <c r="K569" s="174"/>
      <c r="L569" s="174"/>
      <c r="M569" s="174"/>
      <c r="N569" s="174"/>
      <c r="O569" s="174"/>
      <c r="P569" s="174"/>
    </row>
    <row r="570" outlineLevel="1">
      <c r="A570" s="170" t="s">
        <v>159</v>
      </c>
      <c r="B570" s="171" t="str">
        <f t="shared" si="2"/>
        <v>6.26.3</v>
      </c>
      <c r="C570" s="172" t="s">
        <v>326</v>
      </c>
      <c r="D570" s="152" t="s">
        <v>702</v>
      </c>
      <c r="E570" s="174"/>
      <c r="F570" s="174"/>
      <c r="G570" s="170" t="s">
        <v>188</v>
      </c>
      <c r="H570" s="172" t="s">
        <v>187</v>
      </c>
      <c r="I570" s="174"/>
      <c r="J570" s="174"/>
      <c r="K570" s="174"/>
      <c r="L570" s="174"/>
      <c r="M570" s="174"/>
      <c r="N570" s="174"/>
      <c r="O570" s="174"/>
      <c r="P570" s="174"/>
    </row>
    <row r="571" outlineLevel="1">
      <c r="A571" s="170" t="s">
        <v>159</v>
      </c>
      <c r="B571" s="171" t="str">
        <f t="shared" si="2"/>
        <v>6.26.4</v>
      </c>
      <c r="C571" s="172" t="s">
        <v>326</v>
      </c>
      <c r="D571" s="152" t="s">
        <v>703</v>
      </c>
      <c r="E571" s="174"/>
      <c r="F571" s="174"/>
      <c r="G571" s="170" t="s">
        <v>188</v>
      </c>
      <c r="H571" s="172" t="s">
        <v>187</v>
      </c>
      <c r="I571" s="174"/>
      <c r="J571" s="174"/>
      <c r="K571" s="174"/>
      <c r="L571" s="174"/>
      <c r="M571" s="174"/>
      <c r="N571" s="174"/>
      <c r="O571" s="174"/>
      <c r="P571" s="174"/>
    </row>
    <row r="572" outlineLevel="1">
      <c r="A572" s="170" t="s">
        <v>159</v>
      </c>
      <c r="B572" s="171" t="str">
        <f t="shared" si="2"/>
        <v>6.26.5</v>
      </c>
      <c r="C572" s="172" t="s">
        <v>326</v>
      </c>
      <c r="D572" s="152" t="s">
        <v>704</v>
      </c>
      <c r="E572" s="174"/>
      <c r="F572" s="174"/>
      <c r="G572" s="170" t="s">
        <v>188</v>
      </c>
      <c r="H572" s="172" t="s">
        <v>187</v>
      </c>
      <c r="I572" s="174"/>
      <c r="J572" s="174"/>
      <c r="K572" s="174"/>
      <c r="L572" s="174"/>
      <c r="M572" s="174"/>
      <c r="N572" s="174"/>
      <c r="O572" s="174"/>
      <c r="P572" s="174"/>
    </row>
    <row r="573" outlineLevel="1">
      <c r="A573" s="170" t="s">
        <v>159</v>
      </c>
      <c r="B573" s="171" t="str">
        <f t="shared" si="2"/>
        <v>6.26.6</v>
      </c>
      <c r="C573" s="172" t="s">
        <v>326</v>
      </c>
      <c r="D573" s="152" t="s">
        <v>705</v>
      </c>
      <c r="E573" s="174"/>
      <c r="F573" s="174"/>
      <c r="G573" s="170" t="s">
        <v>188</v>
      </c>
      <c r="H573" s="172" t="s">
        <v>187</v>
      </c>
      <c r="I573" s="174"/>
      <c r="J573" s="174"/>
      <c r="K573" s="174"/>
      <c r="L573" s="174"/>
      <c r="M573" s="174"/>
      <c r="N573" s="174"/>
      <c r="O573" s="174"/>
      <c r="P573" s="174"/>
    </row>
    <row r="574">
      <c r="A574" s="170" t="s">
        <v>160</v>
      </c>
      <c r="B574" s="171" t="str">
        <f t="shared" si="2"/>
        <v>6.27.1</v>
      </c>
      <c r="C574" s="172" t="s">
        <v>327</v>
      </c>
      <c r="D574" s="173" t="s">
        <v>700</v>
      </c>
      <c r="E574" s="174"/>
      <c r="F574" s="174"/>
      <c r="G574" s="170" t="s">
        <v>188</v>
      </c>
      <c r="H574" s="172" t="s">
        <v>187</v>
      </c>
      <c r="I574" s="174"/>
      <c r="J574" s="174"/>
      <c r="K574" s="174"/>
      <c r="L574" s="174"/>
      <c r="M574" s="174"/>
      <c r="N574" s="174"/>
      <c r="O574" s="174"/>
      <c r="P574" s="174"/>
    </row>
    <row r="575" outlineLevel="1">
      <c r="A575" s="170" t="s">
        <v>160</v>
      </c>
      <c r="B575" s="171" t="str">
        <f t="shared" si="2"/>
        <v>6.27.2</v>
      </c>
      <c r="C575" s="172" t="s">
        <v>327</v>
      </c>
      <c r="D575" s="173" t="s">
        <v>706</v>
      </c>
      <c r="E575" s="174"/>
      <c r="F575" s="174"/>
      <c r="G575" s="170" t="s">
        <v>188</v>
      </c>
      <c r="H575" s="172" t="s">
        <v>187</v>
      </c>
      <c r="I575" s="174"/>
      <c r="J575" s="174"/>
      <c r="K575" s="174"/>
      <c r="L575" s="174"/>
      <c r="M575" s="174"/>
      <c r="N575" s="174"/>
      <c r="O575" s="174"/>
      <c r="P575" s="174"/>
    </row>
    <row r="576" outlineLevel="1">
      <c r="A576" s="170" t="s">
        <v>160</v>
      </c>
      <c r="B576" s="171" t="str">
        <f t="shared" si="2"/>
        <v>6.27.3</v>
      </c>
      <c r="C576" s="172" t="s">
        <v>327</v>
      </c>
      <c r="D576" s="173" t="s">
        <v>707</v>
      </c>
      <c r="E576" s="174"/>
      <c r="F576" s="174"/>
      <c r="G576" s="170" t="s">
        <v>188</v>
      </c>
      <c r="H576" s="172" t="s">
        <v>187</v>
      </c>
      <c r="I576" s="174"/>
      <c r="J576" s="174"/>
      <c r="K576" s="174"/>
      <c r="L576" s="174"/>
      <c r="M576" s="174"/>
      <c r="N576" s="174"/>
      <c r="O576" s="174"/>
      <c r="P576" s="174"/>
    </row>
    <row r="577" outlineLevel="1">
      <c r="A577" s="170" t="s">
        <v>160</v>
      </c>
      <c r="B577" s="171" t="str">
        <f t="shared" si="2"/>
        <v>6.27.4</v>
      </c>
      <c r="C577" s="172" t="s">
        <v>327</v>
      </c>
      <c r="D577" s="173" t="s">
        <v>708</v>
      </c>
      <c r="E577" s="174"/>
      <c r="F577" s="174"/>
      <c r="G577" s="170" t="s">
        <v>188</v>
      </c>
      <c r="H577" s="172" t="s">
        <v>187</v>
      </c>
      <c r="I577" s="174"/>
      <c r="J577" s="174"/>
      <c r="K577" s="174"/>
      <c r="L577" s="174"/>
      <c r="M577" s="174"/>
      <c r="N577" s="174"/>
      <c r="O577" s="174"/>
      <c r="P577" s="174"/>
    </row>
    <row r="578" outlineLevel="1">
      <c r="A578" s="170" t="s">
        <v>160</v>
      </c>
      <c r="B578" s="171" t="str">
        <f t="shared" si="2"/>
        <v>6.27.5</v>
      </c>
      <c r="C578" s="172" t="s">
        <v>327</v>
      </c>
      <c r="D578" s="173" t="s">
        <v>705</v>
      </c>
      <c r="E578" s="174"/>
      <c r="F578" s="174"/>
      <c r="G578" s="170" t="s">
        <v>188</v>
      </c>
      <c r="H578" s="172" t="s">
        <v>187</v>
      </c>
      <c r="I578" s="174"/>
      <c r="J578" s="174"/>
      <c r="K578" s="174"/>
      <c r="L578" s="174"/>
      <c r="M578" s="174"/>
      <c r="N578" s="174"/>
      <c r="O578" s="174"/>
      <c r="P578" s="174"/>
    </row>
    <row r="579">
      <c r="A579" s="170" t="s">
        <v>161</v>
      </c>
      <c r="B579" s="171" t="str">
        <f t="shared" si="2"/>
        <v>6.28.1</v>
      </c>
      <c r="C579" s="172" t="s">
        <v>328</v>
      </c>
      <c r="D579" s="173" t="s">
        <v>709</v>
      </c>
      <c r="E579" s="174"/>
      <c r="F579" s="174"/>
      <c r="G579" s="170" t="s">
        <v>48</v>
      </c>
      <c r="H579" s="172" t="s">
        <v>187</v>
      </c>
      <c r="I579" s="174"/>
      <c r="J579" s="174"/>
      <c r="K579" s="174"/>
      <c r="L579" s="174"/>
      <c r="M579" s="174"/>
      <c r="N579" s="174"/>
      <c r="O579" s="174"/>
      <c r="P579" s="174"/>
    </row>
    <row r="580" outlineLevel="1">
      <c r="A580" s="170" t="s">
        <v>161</v>
      </c>
      <c r="B580" s="171" t="str">
        <f t="shared" si="2"/>
        <v>6.28.2</v>
      </c>
      <c r="C580" s="172" t="s">
        <v>328</v>
      </c>
      <c r="D580" s="173" t="s">
        <v>710</v>
      </c>
      <c r="E580" s="174"/>
      <c r="F580" s="174"/>
      <c r="G580" s="170" t="s">
        <v>48</v>
      </c>
      <c r="H580" s="172" t="s">
        <v>187</v>
      </c>
      <c r="I580" s="174"/>
      <c r="J580" s="174"/>
      <c r="K580" s="174"/>
      <c r="L580" s="174"/>
      <c r="M580" s="174"/>
      <c r="N580" s="174"/>
      <c r="O580" s="174"/>
      <c r="P580" s="174"/>
    </row>
    <row r="581" outlineLevel="1">
      <c r="A581" s="170" t="s">
        <v>161</v>
      </c>
      <c r="B581" s="171" t="str">
        <f t="shared" si="2"/>
        <v>6.28.3</v>
      </c>
      <c r="C581" s="172" t="s">
        <v>328</v>
      </c>
      <c r="D581" s="173" t="s">
        <v>711</v>
      </c>
      <c r="E581" s="174"/>
      <c r="F581" s="174"/>
      <c r="G581" s="170" t="s">
        <v>48</v>
      </c>
      <c r="H581" s="172" t="s">
        <v>187</v>
      </c>
      <c r="I581" s="174"/>
      <c r="J581" s="174"/>
      <c r="K581" s="174"/>
      <c r="L581" s="174"/>
      <c r="M581" s="174"/>
      <c r="N581" s="174"/>
      <c r="O581" s="174"/>
      <c r="P581" s="174"/>
    </row>
    <row r="582" outlineLevel="1">
      <c r="A582" s="170" t="s">
        <v>161</v>
      </c>
      <c r="B582" s="171" t="str">
        <f t="shared" si="2"/>
        <v>6.28.4</v>
      </c>
      <c r="C582" s="172" t="s">
        <v>328</v>
      </c>
      <c r="D582" s="173" t="s">
        <v>712</v>
      </c>
      <c r="E582" s="174"/>
      <c r="F582" s="174"/>
      <c r="G582" s="170" t="s">
        <v>48</v>
      </c>
      <c r="H582" s="172" t="s">
        <v>187</v>
      </c>
      <c r="I582" s="174"/>
      <c r="J582" s="174"/>
      <c r="K582" s="174"/>
      <c r="L582" s="174"/>
      <c r="M582" s="174"/>
      <c r="N582" s="174"/>
      <c r="O582" s="174"/>
      <c r="P582" s="174"/>
    </row>
    <row r="583" outlineLevel="1">
      <c r="A583" s="170" t="s">
        <v>161</v>
      </c>
      <c r="B583" s="171" t="str">
        <f t="shared" si="2"/>
        <v>6.28.5</v>
      </c>
      <c r="C583" s="172" t="s">
        <v>328</v>
      </c>
      <c r="D583" s="173" t="s">
        <v>713</v>
      </c>
      <c r="E583" s="174"/>
      <c r="F583" s="174"/>
      <c r="G583" s="170" t="s">
        <v>48</v>
      </c>
      <c r="H583" s="172" t="s">
        <v>187</v>
      </c>
      <c r="I583" s="174"/>
      <c r="J583" s="174"/>
      <c r="K583" s="174"/>
      <c r="L583" s="174"/>
      <c r="M583" s="174"/>
      <c r="N583" s="174"/>
      <c r="O583" s="174"/>
      <c r="P583" s="174"/>
    </row>
    <row r="584">
      <c r="A584" s="170" t="s">
        <v>162</v>
      </c>
      <c r="B584" s="171" t="str">
        <f t="shared" si="2"/>
        <v>6.29.1</v>
      </c>
      <c r="C584" s="172" t="s">
        <v>329</v>
      </c>
      <c r="D584" s="173" t="s">
        <v>714</v>
      </c>
      <c r="E584" s="174"/>
      <c r="F584" s="174"/>
      <c r="G584" s="170" t="s">
        <v>190</v>
      </c>
      <c r="H584" s="172" t="s">
        <v>187</v>
      </c>
      <c r="I584" s="174"/>
      <c r="J584" s="174"/>
      <c r="K584" s="174"/>
      <c r="L584" s="174"/>
      <c r="M584" s="174"/>
      <c r="N584" s="174"/>
      <c r="O584" s="174"/>
      <c r="P584" s="174"/>
    </row>
    <row r="585" outlineLevel="1">
      <c r="A585" s="170" t="s">
        <v>162</v>
      </c>
      <c r="B585" s="171" t="str">
        <f t="shared" si="2"/>
        <v>6.29.2</v>
      </c>
      <c r="C585" s="172" t="s">
        <v>329</v>
      </c>
      <c r="D585" s="173" t="s">
        <v>715</v>
      </c>
      <c r="E585" s="174"/>
      <c r="F585" s="174"/>
      <c r="G585" s="170" t="s">
        <v>190</v>
      </c>
      <c r="H585" s="172" t="s">
        <v>187</v>
      </c>
      <c r="I585" s="174"/>
      <c r="J585" s="174"/>
      <c r="K585" s="174"/>
      <c r="L585" s="174"/>
      <c r="M585" s="174"/>
      <c r="N585" s="174"/>
      <c r="O585" s="174"/>
      <c r="P585" s="174"/>
    </row>
    <row r="586" outlineLevel="1">
      <c r="A586" s="170" t="s">
        <v>162</v>
      </c>
      <c r="B586" s="171" t="str">
        <f t="shared" si="2"/>
        <v>6.29.3</v>
      </c>
      <c r="C586" s="172" t="s">
        <v>329</v>
      </c>
      <c r="D586" s="173" t="s">
        <v>716</v>
      </c>
      <c r="E586" s="174"/>
      <c r="F586" s="174"/>
      <c r="G586" s="170" t="s">
        <v>190</v>
      </c>
      <c r="H586" s="172" t="s">
        <v>187</v>
      </c>
      <c r="I586" s="174"/>
      <c r="J586" s="174"/>
      <c r="K586" s="174"/>
      <c r="L586" s="174"/>
      <c r="M586" s="174"/>
      <c r="N586" s="174"/>
      <c r="O586" s="174"/>
      <c r="P586" s="174"/>
    </row>
    <row r="587" outlineLevel="1">
      <c r="A587" s="170" t="s">
        <v>162</v>
      </c>
      <c r="B587" s="171" t="str">
        <f t="shared" si="2"/>
        <v>6.29.4</v>
      </c>
      <c r="C587" s="172" t="s">
        <v>329</v>
      </c>
      <c r="D587" s="173" t="s">
        <v>717</v>
      </c>
      <c r="E587" s="174"/>
      <c r="F587" s="174"/>
      <c r="G587" s="170" t="s">
        <v>190</v>
      </c>
      <c r="H587" s="172" t="s">
        <v>187</v>
      </c>
      <c r="I587" s="174"/>
      <c r="J587" s="174"/>
      <c r="K587" s="174"/>
      <c r="L587" s="174"/>
      <c r="M587" s="174"/>
      <c r="N587" s="174"/>
      <c r="O587" s="174"/>
      <c r="P587" s="174"/>
    </row>
    <row r="588" outlineLevel="1">
      <c r="A588" s="170" t="s">
        <v>162</v>
      </c>
      <c r="B588" s="171" t="str">
        <f t="shared" si="2"/>
        <v>6.29.5</v>
      </c>
      <c r="C588" s="172" t="s">
        <v>329</v>
      </c>
      <c r="D588" s="173" t="s">
        <v>718</v>
      </c>
      <c r="E588" s="174"/>
      <c r="F588" s="174"/>
      <c r="G588" s="170" t="s">
        <v>190</v>
      </c>
      <c r="H588" s="172" t="s">
        <v>187</v>
      </c>
      <c r="I588" s="174"/>
      <c r="J588" s="174"/>
      <c r="K588" s="174"/>
      <c r="L588" s="174"/>
      <c r="M588" s="174"/>
      <c r="N588" s="174"/>
      <c r="O588" s="174"/>
      <c r="P588" s="174"/>
    </row>
    <row r="589">
      <c r="A589" s="170" t="s">
        <v>163</v>
      </c>
      <c r="B589" s="171" t="str">
        <f t="shared" si="2"/>
        <v>6.30.1</v>
      </c>
      <c r="C589" s="172" t="s">
        <v>330</v>
      </c>
      <c r="D589" s="173" t="s">
        <v>719</v>
      </c>
      <c r="E589" s="174"/>
      <c r="F589" s="174"/>
      <c r="G589" s="170" t="s">
        <v>190</v>
      </c>
      <c r="H589" s="172" t="s">
        <v>187</v>
      </c>
      <c r="I589" s="174"/>
      <c r="J589" s="174"/>
      <c r="K589" s="174"/>
      <c r="L589" s="174"/>
      <c r="M589" s="174"/>
      <c r="N589" s="174"/>
      <c r="O589" s="174"/>
      <c r="P589" s="174"/>
    </row>
    <row r="590" outlineLevel="1">
      <c r="A590" s="170" t="s">
        <v>163</v>
      </c>
      <c r="B590" s="171" t="str">
        <f t="shared" si="2"/>
        <v>6.30.2</v>
      </c>
      <c r="C590" s="172" t="s">
        <v>330</v>
      </c>
      <c r="D590" s="173" t="s">
        <v>720</v>
      </c>
      <c r="E590" s="174"/>
      <c r="F590" s="174"/>
      <c r="G590" s="170" t="s">
        <v>190</v>
      </c>
      <c r="H590" s="172" t="s">
        <v>187</v>
      </c>
      <c r="I590" s="174"/>
      <c r="J590" s="174"/>
      <c r="K590" s="174"/>
      <c r="L590" s="174"/>
      <c r="M590" s="174"/>
      <c r="N590" s="174"/>
      <c r="O590" s="174"/>
      <c r="P590" s="174"/>
    </row>
    <row r="591" outlineLevel="1">
      <c r="A591" s="170" t="s">
        <v>163</v>
      </c>
      <c r="B591" s="171" t="str">
        <f t="shared" si="2"/>
        <v>6.30.3</v>
      </c>
      <c r="C591" s="172" t="s">
        <v>330</v>
      </c>
      <c r="D591" s="173" t="s">
        <v>721</v>
      </c>
      <c r="E591" s="174"/>
      <c r="F591" s="174"/>
      <c r="G591" s="170" t="s">
        <v>190</v>
      </c>
      <c r="H591" s="172" t="s">
        <v>187</v>
      </c>
      <c r="I591" s="174"/>
      <c r="J591" s="174"/>
      <c r="K591" s="174"/>
      <c r="L591" s="174"/>
      <c r="M591" s="174"/>
      <c r="N591" s="174"/>
      <c r="O591" s="174"/>
      <c r="P591" s="174"/>
    </row>
    <row r="592" outlineLevel="1">
      <c r="A592" s="170" t="s">
        <v>163</v>
      </c>
      <c r="B592" s="171" t="str">
        <f t="shared" si="2"/>
        <v>6.30.4</v>
      </c>
      <c r="C592" s="172" t="s">
        <v>330</v>
      </c>
      <c r="D592" s="173" t="s">
        <v>716</v>
      </c>
      <c r="E592" s="174"/>
      <c r="F592" s="174"/>
      <c r="G592" s="170" t="s">
        <v>190</v>
      </c>
      <c r="H592" s="172" t="s">
        <v>187</v>
      </c>
      <c r="I592" s="174"/>
      <c r="J592" s="174"/>
      <c r="K592" s="174"/>
      <c r="L592" s="174"/>
      <c r="M592" s="174"/>
      <c r="N592" s="174"/>
      <c r="O592" s="174"/>
      <c r="P592" s="174"/>
    </row>
    <row r="593" outlineLevel="1">
      <c r="A593" s="170" t="s">
        <v>163</v>
      </c>
      <c r="B593" s="171" t="str">
        <f t="shared" si="2"/>
        <v>6.30.5</v>
      </c>
      <c r="C593" s="172" t="s">
        <v>330</v>
      </c>
      <c r="D593" s="173" t="s">
        <v>722</v>
      </c>
      <c r="E593" s="174"/>
      <c r="F593" s="174"/>
      <c r="G593" s="170" t="s">
        <v>190</v>
      </c>
      <c r="H593" s="172" t="s">
        <v>187</v>
      </c>
      <c r="I593" s="174"/>
      <c r="J593" s="174"/>
      <c r="K593" s="174"/>
      <c r="L593" s="174"/>
      <c r="M593" s="174"/>
      <c r="N593" s="174"/>
      <c r="O593" s="174"/>
      <c r="P593" s="174"/>
    </row>
    <row r="594">
      <c r="A594" s="170" t="s">
        <v>164</v>
      </c>
      <c r="B594" s="171" t="str">
        <f t="shared" si="2"/>
        <v>6.31.1</v>
      </c>
      <c r="C594" s="172" t="s">
        <v>353</v>
      </c>
      <c r="D594" s="173" t="s">
        <v>728</v>
      </c>
      <c r="E594" s="174"/>
      <c r="F594" s="174"/>
      <c r="G594" s="170" t="s">
        <v>190</v>
      </c>
      <c r="H594" s="172" t="s">
        <v>187</v>
      </c>
      <c r="I594" s="174"/>
      <c r="J594" s="174"/>
      <c r="K594" s="174"/>
      <c r="L594" s="174"/>
      <c r="M594" s="174"/>
      <c r="N594" s="174"/>
      <c r="O594" s="174"/>
      <c r="P594" s="174"/>
    </row>
    <row r="595" outlineLevel="1">
      <c r="A595" s="170" t="s">
        <v>164</v>
      </c>
      <c r="B595" s="171" t="str">
        <f t="shared" si="2"/>
        <v>6.31.2</v>
      </c>
      <c r="C595" s="172" t="s">
        <v>353</v>
      </c>
      <c r="D595" s="173" t="s">
        <v>729</v>
      </c>
      <c r="E595" s="174"/>
      <c r="F595" s="174"/>
      <c r="G595" s="170" t="s">
        <v>190</v>
      </c>
      <c r="H595" s="172" t="s">
        <v>187</v>
      </c>
      <c r="I595" s="174"/>
      <c r="J595" s="174"/>
      <c r="K595" s="174"/>
      <c r="L595" s="174"/>
      <c r="M595" s="174"/>
      <c r="N595" s="174"/>
      <c r="O595" s="174"/>
      <c r="P595" s="174"/>
    </row>
    <row r="596" outlineLevel="1">
      <c r="A596" s="170" t="s">
        <v>164</v>
      </c>
      <c r="B596" s="171" t="str">
        <f t="shared" si="2"/>
        <v>6.31.3</v>
      </c>
      <c r="C596" s="172" t="s">
        <v>353</v>
      </c>
      <c r="D596" s="173" t="s">
        <v>730</v>
      </c>
      <c r="E596" s="174"/>
      <c r="F596" s="174"/>
      <c r="G596" s="170" t="s">
        <v>190</v>
      </c>
      <c r="H596" s="172" t="s">
        <v>187</v>
      </c>
      <c r="I596" s="174"/>
      <c r="J596" s="174"/>
      <c r="K596" s="174"/>
      <c r="L596" s="174"/>
      <c r="M596" s="174"/>
      <c r="N596" s="174"/>
      <c r="O596" s="174"/>
      <c r="P596" s="174"/>
    </row>
    <row r="597" outlineLevel="1">
      <c r="A597" s="170" t="s">
        <v>164</v>
      </c>
      <c r="B597" s="171" t="str">
        <f t="shared" si="2"/>
        <v>6.31.4</v>
      </c>
      <c r="C597" s="172" t="s">
        <v>353</v>
      </c>
      <c r="D597" s="173" t="s">
        <v>731</v>
      </c>
      <c r="E597" s="174"/>
      <c r="F597" s="174"/>
      <c r="G597" s="170" t="s">
        <v>190</v>
      </c>
      <c r="H597" s="172" t="s">
        <v>187</v>
      </c>
      <c r="I597" s="174"/>
      <c r="J597" s="174"/>
      <c r="K597" s="174"/>
      <c r="L597" s="174"/>
      <c r="M597" s="174"/>
      <c r="N597" s="174"/>
      <c r="O597" s="174"/>
      <c r="P597" s="174"/>
    </row>
    <row r="598" outlineLevel="1">
      <c r="A598" s="170" t="s">
        <v>164</v>
      </c>
      <c r="B598" s="171" t="str">
        <f t="shared" si="2"/>
        <v>6.31.5</v>
      </c>
      <c r="C598" s="172" t="s">
        <v>353</v>
      </c>
      <c r="D598" s="173" t="s">
        <v>732</v>
      </c>
      <c r="E598" s="174"/>
      <c r="F598" s="174"/>
      <c r="G598" s="170" t="s">
        <v>190</v>
      </c>
      <c r="H598" s="172" t="s">
        <v>187</v>
      </c>
      <c r="I598" s="174"/>
      <c r="J598" s="174"/>
      <c r="K598" s="174"/>
      <c r="L598" s="174"/>
      <c r="M598" s="174"/>
      <c r="N598" s="174"/>
      <c r="O598" s="174"/>
      <c r="P598" s="174"/>
    </row>
    <row r="599">
      <c r="A599" s="170" t="s">
        <v>165</v>
      </c>
      <c r="B599" s="171" t="str">
        <f t="shared" si="2"/>
        <v>6.32.1</v>
      </c>
      <c r="C599" s="172" t="s">
        <v>333</v>
      </c>
      <c r="D599" s="173" t="s">
        <v>788</v>
      </c>
      <c r="E599" s="174"/>
      <c r="F599" s="174"/>
      <c r="G599" s="170" t="s">
        <v>65</v>
      </c>
      <c r="H599" s="172" t="s">
        <v>187</v>
      </c>
      <c r="I599" s="174"/>
      <c r="J599" s="174"/>
      <c r="K599" s="174"/>
      <c r="L599" s="174"/>
      <c r="M599" s="174"/>
      <c r="N599" s="174"/>
      <c r="O599" s="174"/>
      <c r="P599" s="174"/>
    </row>
    <row r="600" outlineLevel="1">
      <c r="A600" s="170" t="s">
        <v>165</v>
      </c>
      <c r="B600" s="171" t="str">
        <f t="shared" si="2"/>
        <v>6.32.2</v>
      </c>
      <c r="C600" s="172" t="s">
        <v>333</v>
      </c>
      <c r="D600" s="173" t="s">
        <v>734</v>
      </c>
      <c r="E600" s="174"/>
      <c r="F600" s="174"/>
      <c r="G600" s="170" t="s">
        <v>65</v>
      </c>
      <c r="H600" s="172" t="s">
        <v>187</v>
      </c>
      <c r="I600" s="174"/>
      <c r="J600" s="174"/>
      <c r="K600" s="174"/>
      <c r="L600" s="174"/>
      <c r="M600" s="174"/>
      <c r="N600" s="174"/>
      <c r="O600" s="174"/>
      <c r="P600" s="174"/>
    </row>
    <row r="601" outlineLevel="1">
      <c r="A601" s="170" t="s">
        <v>165</v>
      </c>
      <c r="B601" s="171" t="str">
        <f t="shared" si="2"/>
        <v>6.32.3</v>
      </c>
      <c r="C601" s="172" t="s">
        <v>333</v>
      </c>
      <c r="D601" s="173" t="s">
        <v>735</v>
      </c>
      <c r="E601" s="174"/>
      <c r="F601" s="174"/>
      <c r="G601" s="170" t="s">
        <v>65</v>
      </c>
      <c r="H601" s="172" t="s">
        <v>187</v>
      </c>
      <c r="I601" s="174"/>
      <c r="J601" s="174"/>
      <c r="K601" s="174"/>
      <c r="L601" s="174"/>
      <c r="M601" s="174"/>
      <c r="N601" s="174"/>
      <c r="O601" s="174"/>
      <c r="P601" s="174"/>
    </row>
    <row r="602" outlineLevel="1">
      <c r="A602" s="170" t="s">
        <v>165</v>
      </c>
      <c r="B602" s="171" t="str">
        <f t="shared" si="2"/>
        <v>6.32.4</v>
      </c>
      <c r="C602" s="172" t="s">
        <v>333</v>
      </c>
      <c r="D602" s="173" t="s">
        <v>736</v>
      </c>
      <c r="E602" s="174"/>
      <c r="F602" s="174"/>
      <c r="G602" s="170" t="s">
        <v>65</v>
      </c>
      <c r="H602" s="172" t="s">
        <v>187</v>
      </c>
      <c r="I602" s="174"/>
      <c r="J602" s="174"/>
      <c r="K602" s="174"/>
      <c r="L602" s="174"/>
      <c r="M602" s="174"/>
      <c r="N602" s="174"/>
      <c r="O602" s="174"/>
      <c r="P602" s="174"/>
    </row>
    <row r="603" outlineLevel="1">
      <c r="A603" s="170" t="s">
        <v>165</v>
      </c>
      <c r="B603" s="171" t="str">
        <f t="shared" si="2"/>
        <v>6.32.5</v>
      </c>
      <c r="C603" s="172" t="s">
        <v>333</v>
      </c>
      <c r="D603" s="173" t="s">
        <v>737</v>
      </c>
      <c r="E603" s="174"/>
      <c r="F603" s="174"/>
      <c r="G603" s="170" t="s">
        <v>65</v>
      </c>
      <c r="H603" s="172" t="s">
        <v>187</v>
      </c>
      <c r="I603" s="174"/>
      <c r="J603" s="174"/>
      <c r="K603" s="174"/>
      <c r="L603" s="174"/>
      <c r="M603" s="174"/>
      <c r="N603" s="174"/>
      <c r="O603" s="174"/>
      <c r="P603" s="174"/>
    </row>
    <row r="604">
      <c r="A604" s="170" t="s">
        <v>166</v>
      </c>
      <c r="B604" s="171" t="str">
        <f t="shared" si="2"/>
        <v>6.33.1</v>
      </c>
      <c r="C604" s="172" t="s">
        <v>334</v>
      </c>
      <c r="D604" s="173" t="s">
        <v>738</v>
      </c>
      <c r="E604" s="174"/>
      <c r="F604" s="174"/>
      <c r="G604" s="170" t="s">
        <v>71</v>
      </c>
      <c r="H604" s="172" t="s">
        <v>187</v>
      </c>
      <c r="I604" s="174"/>
      <c r="J604" s="174"/>
      <c r="K604" s="174"/>
      <c r="L604" s="174"/>
      <c r="M604" s="174"/>
      <c r="N604" s="174"/>
      <c r="O604" s="174"/>
      <c r="P604" s="174"/>
    </row>
    <row r="605" outlineLevel="1">
      <c r="A605" s="170" t="s">
        <v>166</v>
      </c>
      <c r="B605" s="171" t="str">
        <f t="shared" si="2"/>
        <v>6.33.2</v>
      </c>
      <c r="C605" s="172" t="s">
        <v>334</v>
      </c>
      <c r="D605" s="173" t="s">
        <v>739</v>
      </c>
      <c r="E605" s="174"/>
      <c r="F605" s="174"/>
      <c r="G605" s="170" t="s">
        <v>71</v>
      </c>
      <c r="H605" s="172" t="s">
        <v>187</v>
      </c>
      <c r="I605" s="174"/>
      <c r="J605" s="174"/>
      <c r="K605" s="174"/>
      <c r="L605" s="174"/>
      <c r="M605" s="174"/>
      <c r="N605" s="174"/>
      <c r="O605" s="174"/>
      <c r="P605" s="174"/>
    </row>
    <row r="606" outlineLevel="1">
      <c r="A606" s="170" t="s">
        <v>166</v>
      </c>
      <c r="B606" s="171" t="str">
        <f t="shared" si="2"/>
        <v>6.33.3</v>
      </c>
      <c r="C606" s="172" t="s">
        <v>334</v>
      </c>
      <c r="D606" s="173" t="s">
        <v>740</v>
      </c>
      <c r="E606" s="174"/>
      <c r="F606" s="174"/>
      <c r="G606" s="170" t="s">
        <v>71</v>
      </c>
      <c r="H606" s="172" t="s">
        <v>187</v>
      </c>
      <c r="I606" s="174"/>
      <c r="J606" s="174"/>
      <c r="K606" s="174"/>
      <c r="L606" s="174"/>
      <c r="M606" s="174"/>
      <c r="N606" s="174"/>
      <c r="O606" s="174"/>
      <c r="P606" s="174"/>
    </row>
    <row r="607" outlineLevel="1">
      <c r="A607" s="170" t="s">
        <v>166</v>
      </c>
      <c r="B607" s="171" t="str">
        <f t="shared" si="2"/>
        <v>6.33.4</v>
      </c>
      <c r="C607" s="172" t="s">
        <v>334</v>
      </c>
      <c r="D607" s="173" t="s">
        <v>741</v>
      </c>
      <c r="E607" s="174"/>
      <c r="F607" s="174"/>
      <c r="G607" s="170" t="s">
        <v>71</v>
      </c>
      <c r="H607" s="172" t="s">
        <v>187</v>
      </c>
      <c r="I607" s="174"/>
      <c r="J607" s="174"/>
      <c r="K607" s="174"/>
      <c r="L607" s="174"/>
      <c r="M607" s="174"/>
      <c r="N607" s="174"/>
      <c r="O607" s="174"/>
      <c r="P607" s="174"/>
    </row>
    <row r="608" outlineLevel="1">
      <c r="A608" s="170" t="s">
        <v>166</v>
      </c>
      <c r="B608" s="171" t="str">
        <f t="shared" si="2"/>
        <v>6.33.5</v>
      </c>
      <c r="C608" s="172" t="s">
        <v>334</v>
      </c>
      <c r="D608" s="173" t="s">
        <v>742</v>
      </c>
      <c r="E608" s="174"/>
      <c r="F608" s="174"/>
      <c r="G608" s="170" t="s">
        <v>71</v>
      </c>
      <c r="H608" s="172" t="s">
        <v>187</v>
      </c>
      <c r="I608" s="174"/>
      <c r="J608" s="174"/>
      <c r="K608" s="174"/>
      <c r="L608" s="174"/>
      <c r="M608" s="174"/>
      <c r="N608" s="174"/>
      <c r="O608" s="174"/>
      <c r="P608" s="174"/>
    </row>
    <row r="609" outlineLevel="1">
      <c r="A609" s="170" t="s">
        <v>166</v>
      </c>
      <c r="B609" s="171" t="str">
        <f t="shared" si="2"/>
        <v>6.33.6</v>
      </c>
      <c r="C609" s="172" t="s">
        <v>334</v>
      </c>
      <c r="D609" s="173" t="s">
        <v>743</v>
      </c>
      <c r="E609" s="174"/>
      <c r="F609" s="174"/>
      <c r="G609" s="170" t="s">
        <v>71</v>
      </c>
      <c r="H609" s="172" t="s">
        <v>187</v>
      </c>
      <c r="I609" s="174"/>
      <c r="J609" s="174"/>
      <c r="K609" s="174"/>
      <c r="L609" s="174"/>
      <c r="M609" s="174"/>
      <c r="N609" s="174"/>
      <c r="O609" s="174"/>
      <c r="P609" s="174"/>
    </row>
    <row r="610" outlineLevel="1">
      <c r="A610" s="170" t="s">
        <v>166</v>
      </c>
      <c r="B610" s="171" t="str">
        <f t="shared" si="2"/>
        <v>6.33.7</v>
      </c>
      <c r="C610" s="172" t="s">
        <v>334</v>
      </c>
      <c r="D610" s="173" t="s">
        <v>744</v>
      </c>
      <c r="E610" s="174"/>
      <c r="F610" s="174"/>
      <c r="G610" s="170" t="s">
        <v>71</v>
      </c>
      <c r="H610" s="172" t="s">
        <v>187</v>
      </c>
      <c r="I610" s="174"/>
      <c r="J610" s="174"/>
      <c r="K610" s="174"/>
      <c r="L610" s="174"/>
      <c r="M610" s="174"/>
      <c r="N610" s="174"/>
      <c r="O610" s="174"/>
      <c r="P610" s="174"/>
    </row>
    <row r="611" outlineLevel="1">
      <c r="A611" s="170" t="s">
        <v>166</v>
      </c>
      <c r="B611" s="171" t="str">
        <f t="shared" si="2"/>
        <v>6.33.8</v>
      </c>
      <c r="C611" s="172" t="s">
        <v>334</v>
      </c>
      <c r="D611" s="173" t="s">
        <v>745</v>
      </c>
      <c r="E611" s="174"/>
      <c r="F611" s="174"/>
      <c r="G611" s="170" t="s">
        <v>71</v>
      </c>
      <c r="H611" s="172" t="s">
        <v>187</v>
      </c>
      <c r="I611" s="174"/>
      <c r="J611" s="174"/>
      <c r="K611" s="174"/>
      <c r="L611" s="174"/>
      <c r="M611" s="174"/>
      <c r="N611" s="174"/>
      <c r="O611" s="174"/>
      <c r="P611" s="174"/>
    </row>
    <row r="612">
      <c r="A612" s="170" t="s">
        <v>167</v>
      </c>
      <c r="B612" s="171" t="str">
        <f t="shared" si="2"/>
        <v>6.34.1</v>
      </c>
      <c r="C612" s="172" t="s">
        <v>354</v>
      </c>
      <c r="D612" s="173" t="s">
        <v>753</v>
      </c>
      <c r="E612" s="174"/>
      <c r="F612" s="174"/>
      <c r="G612" s="170" t="s">
        <v>74</v>
      </c>
      <c r="H612" s="172" t="s">
        <v>187</v>
      </c>
      <c r="I612" s="174"/>
      <c r="J612" s="174"/>
      <c r="K612" s="174"/>
      <c r="L612" s="174"/>
      <c r="M612" s="174"/>
      <c r="N612" s="174"/>
      <c r="O612" s="174"/>
      <c r="P612" s="174"/>
    </row>
    <row r="613" outlineLevel="1">
      <c r="A613" s="170" t="s">
        <v>167</v>
      </c>
      <c r="B613" s="171" t="str">
        <f t="shared" si="2"/>
        <v>6.34.2</v>
      </c>
      <c r="C613" s="172" t="s">
        <v>354</v>
      </c>
      <c r="D613" s="173" t="s">
        <v>754</v>
      </c>
      <c r="E613" s="174"/>
      <c r="F613" s="174"/>
      <c r="G613" s="170" t="s">
        <v>74</v>
      </c>
      <c r="H613" s="172" t="s">
        <v>187</v>
      </c>
      <c r="I613" s="174"/>
      <c r="J613" s="174"/>
      <c r="K613" s="174"/>
      <c r="L613" s="174"/>
      <c r="M613" s="174"/>
      <c r="N613" s="174"/>
      <c r="O613" s="174"/>
      <c r="P613" s="174"/>
    </row>
    <row r="614" outlineLevel="1">
      <c r="A614" s="170" t="s">
        <v>167</v>
      </c>
      <c r="B614" s="171" t="str">
        <f t="shared" si="2"/>
        <v>6.34.3</v>
      </c>
      <c r="C614" s="172" t="s">
        <v>354</v>
      </c>
      <c r="D614" s="173" t="s">
        <v>755</v>
      </c>
      <c r="E614" s="174"/>
      <c r="F614" s="174"/>
      <c r="G614" s="170" t="s">
        <v>74</v>
      </c>
      <c r="H614" s="172" t="s">
        <v>187</v>
      </c>
      <c r="I614" s="174"/>
      <c r="J614" s="174"/>
      <c r="K614" s="174"/>
      <c r="L614" s="174"/>
      <c r="M614" s="174"/>
      <c r="N614" s="174"/>
      <c r="O614" s="174"/>
      <c r="P614" s="174"/>
    </row>
    <row r="615" outlineLevel="1">
      <c r="A615" s="170" t="s">
        <v>167</v>
      </c>
      <c r="B615" s="171" t="str">
        <f t="shared" si="2"/>
        <v>6.34.4</v>
      </c>
      <c r="C615" s="172" t="s">
        <v>354</v>
      </c>
      <c r="D615" s="173" t="s">
        <v>756</v>
      </c>
      <c r="E615" s="174"/>
      <c r="F615" s="174"/>
      <c r="G615" s="170" t="s">
        <v>74</v>
      </c>
      <c r="H615" s="172" t="s">
        <v>187</v>
      </c>
      <c r="I615" s="174"/>
      <c r="J615" s="174"/>
      <c r="K615" s="174"/>
      <c r="L615" s="174"/>
      <c r="M615" s="174"/>
      <c r="N615" s="174"/>
      <c r="O615" s="174"/>
      <c r="P615" s="174"/>
    </row>
    <row r="616" outlineLevel="1">
      <c r="A616" s="175" t="s">
        <v>167</v>
      </c>
      <c r="B616" s="175" t="str">
        <f t="shared" si="2"/>
        <v>6.34.5</v>
      </c>
      <c r="C616" s="176" t="s">
        <v>354</v>
      </c>
      <c r="D616" s="173" t="s">
        <v>757</v>
      </c>
      <c r="E616" s="177"/>
      <c r="F616" s="177"/>
      <c r="G616" s="178" t="s">
        <v>74</v>
      </c>
      <c r="H616" s="176" t="s">
        <v>187</v>
      </c>
      <c r="I616" s="177"/>
      <c r="J616" s="177"/>
      <c r="K616" s="177"/>
      <c r="L616" s="177"/>
      <c r="M616" s="177"/>
      <c r="N616" s="177"/>
      <c r="O616" s="177"/>
      <c r="P616" s="177"/>
      <c r="Q616" s="169"/>
      <c r="R616" s="169"/>
      <c r="S616" s="169"/>
      <c r="T616" s="169"/>
      <c r="U616" s="169"/>
      <c r="V616" s="169"/>
      <c r="W616" s="169"/>
      <c r="X616" s="169"/>
    </row>
    <row r="617" outlineLevel="1">
      <c r="A617" s="175" t="s">
        <v>167</v>
      </c>
      <c r="B617" s="175" t="str">
        <f t="shared" si="2"/>
        <v>6.34.6</v>
      </c>
      <c r="C617" s="176" t="s">
        <v>354</v>
      </c>
      <c r="D617" s="173" t="s">
        <v>758</v>
      </c>
      <c r="E617" s="177"/>
      <c r="F617" s="177"/>
      <c r="G617" s="178" t="s">
        <v>74</v>
      </c>
      <c r="H617" s="176" t="s">
        <v>187</v>
      </c>
      <c r="I617" s="177"/>
      <c r="J617" s="177"/>
      <c r="K617" s="177"/>
      <c r="L617" s="177"/>
      <c r="M617" s="177"/>
      <c r="N617" s="177"/>
      <c r="O617" s="177"/>
      <c r="P617" s="177"/>
      <c r="Q617" s="169"/>
      <c r="R617" s="169"/>
      <c r="S617" s="169"/>
      <c r="T617" s="169"/>
      <c r="U617" s="169"/>
      <c r="V617" s="169"/>
      <c r="W617" s="169"/>
      <c r="X617" s="169"/>
    </row>
    <row r="618" outlineLevel="1">
      <c r="A618" s="170" t="s">
        <v>167</v>
      </c>
      <c r="B618" s="171" t="str">
        <f t="shared" si="2"/>
        <v>6.34.7</v>
      </c>
      <c r="C618" s="172" t="s">
        <v>354</v>
      </c>
      <c r="D618" s="173" t="s">
        <v>759</v>
      </c>
      <c r="E618" s="174"/>
      <c r="F618" s="174"/>
      <c r="G618" s="170" t="s">
        <v>74</v>
      </c>
      <c r="H618" s="172" t="s">
        <v>187</v>
      </c>
      <c r="I618" s="174"/>
      <c r="J618" s="174"/>
      <c r="K618" s="174"/>
      <c r="L618" s="174"/>
      <c r="M618" s="174"/>
      <c r="N618" s="174"/>
      <c r="O618" s="174"/>
      <c r="P618" s="174"/>
    </row>
    <row r="619" outlineLevel="1">
      <c r="A619" s="170" t="s">
        <v>167</v>
      </c>
      <c r="B619" s="171" t="str">
        <f t="shared" si="2"/>
        <v>6.34.8</v>
      </c>
      <c r="C619" s="172" t="s">
        <v>354</v>
      </c>
      <c r="D619" s="173" t="s">
        <v>760</v>
      </c>
      <c r="E619" s="174"/>
      <c r="F619" s="174"/>
      <c r="G619" s="170" t="s">
        <v>74</v>
      </c>
      <c r="H619" s="172" t="s">
        <v>187</v>
      </c>
      <c r="I619" s="174"/>
      <c r="J619" s="174"/>
      <c r="K619" s="174"/>
      <c r="L619" s="174"/>
      <c r="M619" s="174"/>
      <c r="N619" s="174"/>
      <c r="O619" s="174"/>
      <c r="P619" s="174"/>
    </row>
    <row r="620">
      <c r="A620" s="170" t="s">
        <v>168</v>
      </c>
      <c r="B620" s="171" t="str">
        <f t="shared" si="2"/>
        <v>6.35.1</v>
      </c>
      <c r="C620" s="172" t="s">
        <v>338</v>
      </c>
      <c r="D620" s="173" t="s">
        <v>766</v>
      </c>
      <c r="E620" s="174"/>
      <c r="F620" s="174"/>
      <c r="G620" s="170" t="s">
        <v>51</v>
      </c>
      <c r="H620" s="172" t="s">
        <v>187</v>
      </c>
      <c r="I620" s="174"/>
      <c r="J620" s="174"/>
      <c r="K620" s="174"/>
      <c r="L620" s="174"/>
      <c r="M620" s="174"/>
      <c r="N620" s="174"/>
      <c r="O620" s="174"/>
      <c r="P620" s="174"/>
    </row>
    <row r="621" outlineLevel="1">
      <c r="A621" s="170" t="s">
        <v>168</v>
      </c>
      <c r="B621" s="171" t="str">
        <f t="shared" si="2"/>
        <v>6.35.2</v>
      </c>
      <c r="C621" s="172" t="s">
        <v>338</v>
      </c>
      <c r="D621" s="173" t="s">
        <v>767</v>
      </c>
      <c r="E621" s="174"/>
      <c r="F621" s="174"/>
      <c r="G621" s="170" t="s">
        <v>51</v>
      </c>
      <c r="H621" s="172" t="s">
        <v>187</v>
      </c>
      <c r="I621" s="174"/>
      <c r="J621" s="174"/>
      <c r="K621" s="174"/>
      <c r="L621" s="174"/>
      <c r="M621" s="174"/>
      <c r="N621" s="174"/>
      <c r="O621" s="174"/>
      <c r="P621" s="174"/>
    </row>
    <row r="622" outlineLevel="1">
      <c r="A622" s="170" t="s">
        <v>168</v>
      </c>
      <c r="B622" s="171" t="str">
        <f t="shared" si="2"/>
        <v>6.35.3</v>
      </c>
      <c r="C622" s="172" t="s">
        <v>338</v>
      </c>
      <c r="D622" s="173" t="s">
        <v>768</v>
      </c>
      <c r="E622" s="174"/>
      <c r="F622" s="174"/>
      <c r="G622" s="170" t="s">
        <v>51</v>
      </c>
      <c r="H622" s="172" t="s">
        <v>187</v>
      </c>
      <c r="I622" s="174"/>
      <c r="J622" s="174"/>
      <c r="K622" s="174"/>
      <c r="L622" s="174"/>
      <c r="M622" s="174"/>
      <c r="N622" s="174"/>
      <c r="O622" s="174"/>
      <c r="P622" s="174"/>
    </row>
    <row r="623" outlineLevel="1">
      <c r="A623" s="170" t="s">
        <v>168</v>
      </c>
      <c r="B623" s="171" t="str">
        <f t="shared" si="2"/>
        <v>6.35.4</v>
      </c>
      <c r="C623" s="172" t="s">
        <v>338</v>
      </c>
      <c r="D623" s="173" t="s">
        <v>769</v>
      </c>
      <c r="E623" s="174"/>
      <c r="F623" s="174"/>
      <c r="G623" s="170" t="s">
        <v>51</v>
      </c>
      <c r="H623" s="172" t="s">
        <v>187</v>
      </c>
      <c r="I623" s="174"/>
      <c r="J623" s="174"/>
      <c r="K623" s="174"/>
      <c r="L623" s="174"/>
      <c r="M623" s="174"/>
      <c r="N623" s="174"/>
      <c r="O623" s="174"/>
      <c r="P623" s="174"/>
    </row>
    <row r="624" outlineLevel="1">
      <c r="A624" s="170" t="s">
        <v>168</v>
      </c>
      <c r="B624" s="171" t="str">
        <f t="shared" si="2"/>
        <v>6.35.5</v>
      </c>
      <c r="C624" s="172" t="s">
        <v>338</v>
      </c>
      <c r="D624" s="173" t="s">
        <v>770</v>
      </c>
      <c r="E624" s="174"/>
      <c r="F624" s="174"/>
      <c r="G624" s="170" t="s">
        <v>51</v>
      </c>
      <c r="H624" s="172" t="s">
        <v>187</v>
      </c>
      <c r="I624" s="174"/>
      <c r="J624" s="174"/>
      <c r="K624" s="174"/>
      <c r="L624" s="174"/>
      <c r="M624" s="174"/>
      <c r="N624" s="174"/>
      <c r="O624" s="174"/>
      <c r="P624" s="174"/>
    </row>
    <row r="625" outlineLevel="1">
      <c r="A625" s="170" t="s">
        <v>168</v>
      </c>
      <c r="B625" s="171" t="str">
        <f t="shared" si="2"/>
        <v>6.35.6</v>
      </c>
      <c r="C625" s="172" t="s">
        <v>338</v>
      </c>
      <c r="D625" s="173" t="s">
        <v>771</v>
      </c>
      <c r="E625" s="174"/>
      <c r="F625" s="174"/>
      <c r="G625" s="170" t="s">
        <v>51</v>
      </c>
      <c r="H625" s="172" t="s">
        <v>187</v>
      </c>
      <c r="I625" s="174"/>
      <c r="J625" s="174"/>
      <c r="K625" s="174"/>
      <c r="L625" s="174"/>
      <c r="M625" s="174"/>
      <c r="N625" s="174"/>
      <c r="O625" s="174"/>
      <c r="P625" s="174"/>
    </row>
    <row r="626">
      <c r="A626" s="170" t="s">
        <v>169</v>
      </c>
      <c r="B626" s="171" t="str">
        <f t="shared" si="2"/>
        <v>6.36.1</v>
      </c>
      <c r="C626" s="172" t="s">
        <v>355</v>
      </c>
      <c r="D626" s="173" t="s">
        <v>789</v>
      </c>
      <c r="E626" s="174"/>
      <c r="F626" s="174"/>
      <c r="G626" s="170" t="s">
        <v>65</v>
      </c>
      <c r="H626" s="172" t="s">
        <v>187</v>
      </c>
      <c r="I626" s="174"/>
      <c r="J626" s="174"/>
      <c r="K626" s="174"/>
      <c r="L626" s="174"/>
      <c r="M626" s="174"/>
      <c r="N626" s="174"/>
      <c r="O626" s="174"/>
      <c r="P626" s="174"/>
    </row>
    <row r="627" outlineLevel="1">
      <c r="A627" s="170" t="s">
        <v>169</v>
      </c>
      <c r="B627" s="171" t="str">
        <f t="shared" si="2"/>
        <v>6.36.2</v>
      </c>
      <c r="C627" s="172" t="s">
        <v>355</v>
      </c>
      <c r="D627" s="173" t="s">
        <v>790</v>
      </c>
      <c r="E627" s="174"/>
      <c r="F627" s="174"/>
      <c r="G627" s="170" t="s">
        <v>65</v>
      </c>
      <c r="H627" s="172" t="s">
        <v>187</v>
      </c>
      <c r="I627" s="174"/>
      <c r="J627" s="174"/>
      <c r="K627" s="174"/>
      <c r="L627" s="174"/>
      <c r="M627" s="174"/>
      <c r="N627" s="174"/>
      <c r="O627" s="174"/>
      <c r="P627" s="174"/>
    </row>
    <row r="628" outlineLevel="1">
      <c r="A628" s="170" t="s">
        <v>169</v>
      </c>
      <c r="B628" s="171" t="str">
        <f t="shared" si="2"/>
        <v>6.36.3</v>
      </c>
      <c r="C628" s="172" t="s">
        <v>355</v>
      </c>
      <c r="D628" s="173" t="s">
        <v>791</v>
      </c>
      <c r="E628" s="174"/>
      <c r="F628" s="174"/>
      <c r="G628" s="170" t="s">
        <v>65</v>
      </c>
      <c r="H628" s="172" t="s">
        <v>187</v>
      </c>
      <c r="I628" s="174"/>
      <c r="J628" s="174"/>
      <c r="K628" s="174"/>
      <c r="L628" s="174"/>
      <c r="M628" s="174"/>
      <c r="N628" s="174"/>
      <c r="O628" s="174"/>
      <c r="P628" s="174"/>
    </row>
    <row r="629" outlineLevel="1">
      <c r="A629" s="170" t="s">
        <v>169</v>
      </c>
      <c r="B629" s="171" t="str">
        <f t="shared" si="2"/>
        <v>6.36.4</v>
      </c>
      <c r="C629" s="172" t="s">
        <v>355</v>
      </c>
      <c r="D629" s="173" t="s">
        <v>792</v>
      </c>
      <c r="E629" s="174"/>
      <c r="F629" s="174"/>
      <c r="G629" s="170" t="s">
        <v>65</v>
      </c>
      <c r="H629" s="172" t="s">
        <v>187</v>
      </c>
      <c r="I629" s="174"/>
      <c r="J629" s="174"/>
      <c r="K629" s="174"/>
      <c r="L629" s="174"/>
      <c r="M629" s="174"/>
      <c r="N629" s="174"/>
      <c r="O629" s="174"/>
      <c r="P629" s="174"/>
    </row>
    <row r="630" outlineLevel="1">
      <c r="A630" s="170" t="s">
        <v>169</v>
      </c>
      <c r="B630" s="171" t="str">
        <f t="shared" si="2"/>
        <v>6.36.5</v>
      </c>
      <c r="C630" s="172" t="s">
        <v>355</v>
      </c>
      <c r="D630" s="173" t="s">
        <v>793</v>
      </c>
      <c r="E630" s="174"/>
      <c r="F630" s="174"/>
      <c r="G630" s="170" t="s">
        <v>65</v>
      </c>
      <c r="H630" s="172" t="s">
        <v>187</v>
      </c>
      <c r="I630" s="174"/>
      <c r="J630" s="174"/>
      <c r="K630" s="174"/>
      <c r="L630" s="174"/>
      <c r="M630" s="174"/>
      <c r="N630" s="174"/>
      <c r="O630" s="174"/>
      <c r="P630" s="174"/>
    </row>
    <row r="631">
      <c r="A631" s="170" t="s">
        <v>170</v>
      </c>
      <c r="B631" s="171" t="str">
        <f t="shared" si="2"/>
        <v>6.37.1</v>
      </c>
      <c r="C631" s="172" t="s">
        <v>356</v>
      </c>
      <c r="D631" s="173" t="s">
        <v>794</v>
      </c>
      <c r="E631" s="174"/>
      <c r="F631" s="174"/>
      <c r="G631" s="170" t="s">
        <v>65</v>
      </c>
      <c r="H631" s="172" t="s">
        <v>187</v>
      </c>
      <c r="I631" s="174"/>
      <c r="J631" s="174"/>
      <c r="K631" s="174"/>
      <c r="L631" s="174"/>
      <c r="M631" s="174"/>
      <c r="N631" s="174"/>
      <c r="O631" s="174"/>
      <c r="P631" s="174"/>
    </row>
    <row r="632" outlineLevel="1">
      <c r="A632" s="170" t="s">
        <v>170</v>
      </c>
      <c r="B632" s="171" t="str">
        <f t="shared" si="2"/>
        <v>6.37.2</v>
      </c>
      <c r="C632" s="172" t="s">
        <v>356</v>
      </c>
      <c r="D632" s="173" t="s">
        <v>795</v>
      </c>
      <c r="E632" s="174"/>
      <c r="F632" s="174"/>
      <c r="G632" s="170" t="s">
        <v>65</v>
      </c>
      <c r="H632" s="172" t="s">
        <v>187</v>
      </c>
      <c r="I632" s="174"/>
      <c r="J632" s="174"/>
      <c r="K632" s="174"/>
      <c r="L632" s="174"/>
      <c r="M632" s="174"/>
      <c r="N632" s="174"/>
      <c r="O632" s="174"/>
      <c r="P632" s="174"/>
    </row>
    <row r="633" outlineLevel="1">
      <c r="A633" s="170" t="s">
        <v>170</v>
      </c>
      <c r="B633" s="171" t="str">
        <f t="shared" si="2"/>
        <v>6.37.3</v>
      </c>
      <c r="C633" s="172" t="s">
        <v>356</v>
      </c>
      <c r="D633" s="173" t="s">
        <v>796</v>
      </c>
      <c r="E633" s="174"/>
      <c r="F633" s="174"/>
      <c r="G633" s="170" t="s">
        <v>65</v>
      </c>
      <c r="H633" s="172" t="s">
        <v>187</v>
      </c>
      <c r="I633" s="174"/>
      <c r="J633" s="174"/>
      <c r="K633" s="174"/>
      <c r="L633" s="174"/>
      <c r="M633" s="174"/>
      <c r="N633" s="174"/>
      <c r="O633" s="174"/>
      <c r="P633" s="174"/>
    </row>
    <row r="634" outlineLevel="1">
      <c r="A634" s="170" t="s">
        <v>170</v>
      </c>
      <c r="B634" s="171" t="str">
        <f t="shared" si="2"/>
        <v>6.37.4</v>
      </c>
      <c r="C634" s="172" t="s">
        <v>356</v>
      </c>
      <c r="D634" s="173" t="s">
        <v>797</v>
      </c>
      <c r="E634" s="174"/>
      <c r="F634" s="174"/>
      <c r="G634" s="170" t="s">
        <v>65</v>
      </c>
      <c r="H634" s="172" t="s">
        <v>187</v>
      </c>
      <c r="I634" s="174"/>
      <c r="J634" s="174"/>
      <c r="K634" s="174"/>
      <c r="L634" s="174"/>
      <c r="M634" s="174"/>
      <c r="N634" s="174"/>
      <c r="O634" s="174"/>
      <c r="P634" s="174"/>
    </row>
    <row r="635" outlineLevel="1">
      <c r="A635" s="170" t="s">
        <v>170</v>
      </c>
      <c r="B635" s="171" t="str">
        <f t="shared" si="2"/>
        <v>6.37.5</v>
      </c>
      <c r="C635" s="172" t="s">
        <v>356</v>
      </c>
      <c r="D635" s="173" t="s">
        <v>798</v>
      </c>
      <c r="E635" s="174"/>
      <c r="F635" s="174"/>
      <c r="G635" s="170" t="s">
        <v>65</v>
      </c>
      <c r="H635" s="172" t="s">
        <v>187</v>
      </c>
      <c r="I635" s="174"/>
      <c r="J635" s="174"/>
      <c r="K635" s="174"/>
      <c r="L635" s="174"/>
      <c r="M635" s="174"/>
      <c r="N635" s="174"/>
      <c r="O635" s="174"/>
      <c r="P635" s="174"/>
    </row>
    <row r="636" outlineLevel="1">
      <c r="A636" s="170" t="s">
        <v>170</v>
      </c>
      <c r="B636" s="171" t="str">
        <f t="shared" si="2"/>
        <v>6.37.6</v>
      </c>
      <c r="C636" s="172" t="s">
        <v>356</v>
      </c>
      <c r="D636" s="173" t="s">
        <v>799</v>
      </c>
      <c r="E636" s="174"/>
      <c r="F636" s="174"/>
      <c r="G636" s="170" t="s">
        <v>65</v>
      </c>
      <c r="H636" s="172" t="s">
        <v>187</v>
      </c>
      <c r="I636" s="174"/>
      <c r="J636" s="174"/>
      <c r="K636" s="174"/>
      <c r="L636" s="174"/>
      <c r="M636" s="174"/>
      <c r="N636" s="174"/>
      <c r="O636" s="174"/>
      <c r="P636" s="174"/>
    </row>
    <row r="637">
      <c r="A637" s="170" t="s">
        <v>357</v>
      </c>
      <c r="B637" s="171" t="str">
        <f t="shared" si="2"/>
        <v>7.1.1</v>
      </c>
      <c r="C637" s="172" t="s">
        <v>285</v>
      </c>
      <c r="D637" s="152" t="s">
        <v>447</v>
      </c>
      <c r="E637" s="174"/>
      <c r="F637" s="174"/>
      <c r="G637" s="170" t="s">
        <v>41</v>
      </c>
      <c r="H637" s="172" t="s">
        <v>187</v>
      </c>
      <c r="I637" s="174"/>
      <c r="J637" s="174"/>
      <c r="K637" s="174"/>
      <c r="L637" s="174"/>
      <c r="M637" s="174"/>
      <c r="N637" s="174"/>
      <c r="O637" s="174"/>
      <c r="P637" s="174"/>
    </row>
    <row r="638" outlineLevel="1">
      <c r="A638" s="170" t="s">
        <v>357</v>
      </c>
      <c r="B638" s="171" t="str">
        <f t="shared" si="2"/>
        <v>7.1.2</v>
      </c>
      <c r="C638" s="172" t="s">
        <v>285</v>
      </c>
      <c r="D638" s="152" t="s">
        <v>448</v>
      </c>
      <c r="E638" s="174"/>
      <c r="F638" s="174"/>
      <c r="G638" s="170" t="s">
        <v>41</v>
      </c>
      <c r="H638" s="172" t="s">
        <v>187</v>
      </c>
      <c r="I638" s="174"/>
      <c r="J638" s="174"/>
      <c r="K638" s="174"/>
      <c r="L638" s="174"/>
      <c r="M638" s="174"/>
      <c r="N638" s="174"/>
      <c r="O638" s="174"/>
      <c r="P638" s="174"/>
    </row>
    <row r="639" outlineLevel="1">
      <c r="A639" s="170" t="s">
        <v>357</v>
      </c>
      <c r="B639" s="171" t="str">
        <f t="shared" si="2"/>
        <v>7.1.3</v>
      </c>
      <c r="C639" s="172" t="s">
        <v>285</v>
      </c>
      <c r="D639" s="152" t="s">
        <v>449</v>
      </c>
      <c r="E639" s="174"/>
      <c r="F639" s="174"/>
      <c r="G639" s="170" t="s">
        <v>41</v>
      </c>
      <c r="H639" s="172" t="s">
        <v>187</v>
      </c>
      <c r="I639" s="174"/>
      <c r="J639" s="174"/>
      <c r="K639" s="174"/>
      <c r="L639" s="174"/>
      <c r="M639" s="174"/>
      <c r="N639" s="174"/>
      <c r="O639" s="174"/>
      <c r="P639" s="174"/>
    </row>
    <row r="640" outlineLevel="1">
      <c r="A640" s="170" t="s">
        <v>357</v>
      </c>
      <c r="B640" s="171" t="str">
        <f t="shared" si="2"/>
        <v>7.1.4</v>
      </c>
      <c r="C640" s="172" t="s">
        <v>285</v>
      </c>
      <c r="D640" s="152" t="s">
        <v>450</v>
      </c>
      <c r="E640" s="174"/>
      <c r="F640" s="174"/>
      <c r="G640" s="170" t="s">
        <v>41</v>
      </c>
      <c r="H640" s="172" t="s">
        <v>187</v>
      </c>
      <c r="I640" s="174"/>
      <c r="J640" s="174"/>
      <c r="K640" s="174"/>
      <c r="L640" s="174"/>
      <c r="M640" s="174"/>
      <c r="N640" s="174"/>
      <c r="O640" s="174"/>
      <c r="P640" s="174"/>
    </row>
    <row r="641" outlineLevel="1">
      <c r="A641" s="170" t="s">
        <v>357</v>
      </c>
      <c r="B641" s="171" t="str">
        <f t="shared" si="2"/>
        <v>7.1.5</v>
      </c>
      <c r="C641" s="172" t="s">
        <v>285</v>
      </c>
      <c r="D641" s="152" t="s">
        <v>451</v>
      </c>
      <c r="E641" s="174"/>
      <c r="F641" s="174"/>
      <c r="G641" s="170" t="s">
        <v>41</v>
      </c>
      <c r="H641" s="172" t="s">
        <v>187</v>
      </c>
      <c r="I641" s="174"/>
      <c r="J641" s="174"/>
      <c r="K641" s="174"/>
      <c r="L641" s="174"/>
      <c r="M641" s="174"/>
      <c r="N641" s="174"/>
      <c r="O641" s="174"/>
      <c r="P641" s="174"/>
    </row>
    <row r="642" outlineLevel="1">
      <c r="A642" s="170" t="s">
        <v>357</v>
      </c>
      <c r="B642" s="171" t="str">
        <f t="shared" si="2"/>
        <v>7.1.6</v>
      </c>
      <c r="C642" s="172" t="s">
        <v>285</v>
      </c>
      <c r="D642" s="152" t="s">
        <v>452</v>
      </c>
      <c r="E642" s="174"/>
      <c r="F642" s="174"/>
      <c r="G642" s="170" t="s">
        <v>41</v>
      </c>
      <c r="H642" s="172" t="s">
        <v>187</v>
      </c>
      <c r="I642" s="174"/>
      <c r="J642" s="174"/>
      <c r="K642" s="174"/>
      <c r="L642" s="174"/>
      <c r="M642" s="174"/>
      <c r="N642" s="174"/>
      <c r="O642" s="174"/>
      <c r="P642" s="174"/>
    </row>
    <row r="643" outlineLevel="1">
      <c r="A643" s="170" t="s">
        <v>357</v>
      </c>
      <c r="B643" s="171" t="str">
        <f t="shared" si="2"/>
        <v>7.1.7</v>
      </c>
      <c r="C643" s="172" t="s">
        <v>285</v>
      </c>
      <c r="D643" s="152" t="s">
        <v>453</v>
      </c>
      <c r="E643" s="174"/>
      <c r="F643" s="174"/>
      <c r="G643" s="170" t="s">
        <v>41</v>
      </c>
      <c r="H643" s="172" t="s">
        <v>187</v>
      </c>
      <c r="I643" s="174"/>
      <c r="J643" s="174"/>
      <c r="K643" s="174"/>
      <c r="L643" s="174"/>
      <c r="M643" s="174"/>
      <c r="N643" s="174"/>
      <c r="O643" s="174"/>
      <c r="P643" s="174"/>
    </row>
    <row r="644" outlineLevel="1">
      <c r="A644" s="170" t="s">
        <v>357</v>
      </c>
      <c r="B644" s="171" t="str">
        <f t="shared" si="2"/>
        <v>7.1.8</v>
      </c>
      <c r="C644" s="172" t="s">
        <v>285</v>
      </c>
      <c r="D644" s="152" t="s">
        <v>454</v>
      </c>
      <c r="E644" s="174"/>
      <c r="F644" s="174"/>
      <c r="G644" s="170" t="s">
        <v>41</v>
      </c>
      <c r="H644" s="172" t="s">
        <v>187</v>
      </c>
      <c r="I644" s="174"/>
      <c r="J644" s="174"/>
      <c r="K644" s="174"/>
      <c r="L644" s="174"/>
      <c r="M644" s="174"/>
      <c r="N644" s="174"/>
      <c r="O644" s="174"/>
      <c r="P644" s="174"/>
    </row>
    <row r="645">
      <c r="A645" s="170" t="s">
        <v>358</v>
      </c>
      <c r="B645" s="171" t="str">
        <f t="shared" si="2"/>
        <v>7.2.1</v>
      </c>
      <c r="C645" s="172" t="s">
        <v>59</v>
      </c>
      <c r="D645" s="152" t="s">
        <v>455</v>
      </c>
      <c r="E645" s="174"/>
      <c r="F645" s="174"/>
      <c r="G645" s="170" t="s">
        <v>41</v>
      </c>
      <c r="H645" s="172" t="s">
        <v>187</v>
      </c>
      <c r="I645" s="174"/>
      <c r="J645" s="174"/>
      <c r="K645" s="174"/>
      <c r="L645" s="174"/>
      <c r="M645" s="174"/>
      <c r="N645" s="174"/>
      <c r="O645" s="174"/>
      <c r="P645" s="174"/>
    </row>
    <row r="646" outlineLevel="1">
      <c r="A646" s="170" t="s">
        <v>358</v>
      </c>
      <c r="B646" s="171" t="str">
        <f t="shared" si="2"/>
        <v>7.2.2</v>
      </c>
      <c r="C646" s="172" t="s">
        <v>59</v>
      </c>
      <c r="D646" s="152" t="s">
        <v>456</v>
      </c>
      <c r="E646" s="174"/>
      <c r="F646" s="174"/>
      <c r="G646" s="170" t="s">
        <v>41</v>
      </c>
      <c r="H646" s="172" t="s">
        <v>187</v>
      </c>
      <c r="I646" s="174"/>
      <c r="J646" s="174"/>
      <c r="K646" s="174"/>
      <c r="L646" s="174"/>
      <c r="M646" s="174"/>
      <c r="N646" s="174"/>
      <c r="O646" s="174"/>
      <c r="P646" s="174"/>
    </row>
    <row r="647" outlineLevel="1">
      <c r="A647" s="170" t="s">
        <v>358</v>
      </c>
      <c r="B647" s="171" t="str">
        <f t="shared" si="2"/>
        <v>7.2.3</v>
      </c>
      <c r="C647" s="172" t="s">
        <v>59</v>
      </c>
      <c r="D647" s="152" t="s">
        <v>457</v>
      </c>
      <c r="E647" s="174"/>
      <c r="F647" s="174"/>
      <c r="G647" s="170" t="s">
        <v>41</v>
      </c>
      <c r="H647" s="172" t="s">
        <v>187</v>
      </c>
      <c r="I647" s="174"/>
      <c r="J647" s="174"/>
      <c r="K647" s="174"/>
      <c r="L647" s="174"/>
      <c r="M647" s="174"/>
      <c r="N647" s="174"/>
      <c r="O647" s="174"/>
      <c r="P647" s="174"/>
    </row>
    <row r="648" outlineLevel="1">
      <c r="A648" s="170" t="s">
        <v>358</v>
      </c>
      <c r="B648" s="171" t="str">
        <f t="shared" si="2"/>
        <v>7.2.4</v>
      </c>
      <c r="C648" s="172" t="s">
        <v>59</v>
      </c>
      <c r="D648" s="152" t="s">
        <v>458</v>
      </c>
      <c r="E648" s="174"/>
      <c r="F648" s="174"/>
      <c r="G648" s="170" t="s">
        <v>41</v>
      </c>
      <c r="H648" s="172" t="s">
        <v>187</v>
      </c>
      <c r="I648" s="174"/>
      <c r="J648" s="174"/>
      <c r="K648" s="174"/>
      <c r="L648" s="174"/>
      <c r="M648" s="174"/>
      <c r="N648" s="174"/>
      <c r="O648" s="174"/>
      <c r="P648" s="174"/>
    </row>
    <row r="649" outlineLevel="1">
      <c r="A649" s="170" t="s">
        <v>358</v>
      </c>
      <c r="B649" s="171" t="str">
        <f t="shared" si="2"/>
        <v>7.2.5</v>
      </c>
      <c r="C649" s="172" t="s">
        <v>59</v>
      </c>
      <c r="D649" s="152" t="s">
        <v>459</v>
      </c>
      <c r="E649" s="174"/>
      <c r="F649" s="174"/>
      <c r="G649" s="170" t="s">
        <v>41</v>
      </c>
      <c r="H649" s="172" t="s">
        <v>187</v>
      </c>
      <c r="I649" s="174"/>
      <c r="J649" s="174"/>
      <c r="K649" s="174"/>
      <c r="L649" s="174"/>
      <c r="M649" s="174"/>
      <c r="N649" s="174"/>
      <c r="O649" s="174"/>
      <c r="P649" s="174"/>
    </row>
    <row r="650">
      <c r="A650" s="170" t="s">
        <v>359</v>
      </c>
      <c r="B650" s="171" t="str">
        <f t="shared" si="2"/>
        <v>7.3.1</v>
      </c>
      <c r="C650" s="172" t="s">
        <v>62</v>
      </c>
      <c r="D650" s="152" t="s">
        <v>460</v>
      </c>
      <c r="E650" s="174"/>
      <c r="F650" s="174"/>
      <c r="G650" s="170" t="s">
        <v>41</v>
      </c>
      <c r="H650" s="172" t="s">
        <v>187</v>
      </c>
      <c r="I650" s="174"/>
      <c r="J650" s="174"/>
      <c r="K650" s="174"/>
      <c r="L650" s="174"/>
      <c r="M650" s="174"/>
      <c r="N650" s="174"/>
      <c r="O650" s="174"/>
      <c r="P650" s="174"/>
    </row>
    <row r="651" outlineLevel="1">
      <c r="A651" s="170" t="s">
        <v>359</v>
      </c>
      <c r="B651" s="171" t="str">
        <f t="shared" si="2"/>
        <v>7.3.2</v>
      </c>
      <c r="C651" s="172" t="s">
        <v>62</v>
      </c>
      <c r="D651" s="152" t="s">
        <v>541</v>
      </c>
      <c r="E651" s="174"/>
      <c r="F651" s="174"/>
      <c r="G651" s="170" t="s">
        <v>41</v>
      </c>
      <c r="H651" s="172" t="s">
        <v>187</v>
      </c>
      <c r="I651" s="174"/>
      <c r="J651" s="174"/>
      <c r="K651" s="174"/>
      <c r="L651" s="174"/>
      <c r="M651" s="174"/>
      <c r="N651" s="174"/>
      <c r="O651" s="174"/>
      <c r="P651" s="174"/>
    </row>
    <row r="652" outlineLevel="1">
      <c r="A652" s="170" t="s">
        <v>359</v>
      </c>
      <c r="B652" s="171" t="str">
        <f t="shared" si="2"/>
        <v>7.3.3</v>
      </c>
      <c r="C652" s="172" t="s">
        <v>62</v>
      </c>
      <c r="D652" s="152" t="s">
        <v>462</v>
      </c>
      <c r="E652" s="174"/>
      <c r="F652" s="174"/>
      <c r="G652" s="170" t="s">
        <v>41</v>
      </c>
      <c r="H652" s="172" t="s">
        <v>187</v>
      </c>
      <c r="I652" s="174"/>
      <c r="J652" s="174"/>
      <c r="K652" s="174"/>
      <c r="L652" s="174"/>
      <c r="M652" s="174"/>
      <c r="N652" s="174"/>
      <c r="O652" s="174"/>
      <c r="P652" s="174"/>
    </row>
    <row r="653" outlineLevel="1">
      <c r="A653" s="170" t="s">
        <v>359</v>
      </c>
      <c r="B653" s="171" t="str">
        <f t="shared" si="2"/>
        <v>7.3.4</v>
      </c>
      <c r="C653" s="172" t="s">
        <v>62</v>
      </c>
      <c r="D653" s="152" t="s">
        <v>542</v>
      </c>
      <c r="E653" s="174"/>
      <c r="F653" s="174"/>
      <c r="G653" s="170" t="s">
        <v>41</v>
      </c>
      <c r="H653" s="172" t="s">
        <v>187</v>
      </c>
      <c r="I653" s="174"/>
      <c r="J653" s="174"/>
      <c r="K653" s="174"/>
      <c r="L653" s="174"/>
      <c r="M653" s="174"/>
      <c r="N653" s="174"/>
      <c r="O653" s="174"/>
      <c r="P653" s="174"/>
    </row>
    <row r="654" outlineLevel="1">
      <c r="A654" s="170" t="s">
        <v>359</v>
      </c>
      <c r="B654" s="171" t="str">
        <f t="shared" si="2"/>
        <v>7.3.5</v>
      </c>
      <c r="C654" s="172" t="s">
        <v>62</v>
      </c>
      <c r="D654" s="152" t="s">
        <v>464</v>
      </c>
      <c r="E654" s="174"/>
      <c r="F654" s="174"/>
      <c r="G654" s="170" t="s">
        <v>41</v>
      </c>
      <c r="H654" s="172" t="s">
        <v>187</v>
      </c>
      <c r="I654" s="174"/>
      <c r="J654" s="174"/>
      <c r="K654" s="174"/>
      <c r="L654" s="174"/>
      <c r="M654" s="174"/>
      <c r="N654" s="174"/>
      <c r="O654" s="174"/>
      <c r="P654" s="174"/>
    </row>
    <row r="655">
      <c r="A655" s="170" t="s">
        <v>360</v>
      </c>
      <c r="B655" s="171" t="str">
        <f t="shared" si="2"/>
        <v>7.4.1</v>
      </c>
      <c r="C655" s="172" t="s">
        <v>59</v>
      </c>
      <c r="D655" s="152" t="s">
        <v>455</v>
      </c>
      <c r="E655" s="174"/>
      <c r="F655" s="174"/>
      <c r="G655" s="170" t="s">
        <v>41</v>
      </c>
      <c r="H655" s="172" t="s">
        <v>187</v>
      </c>
      <c r="I655" s="174"/>
      <c r="J655" s="174"/>
      <c r="K655" s="174"/>
      <c r="L655" s="174"/>
      <c r="M655" s="174"/>
      <c r="N655" s="174"/>
      <c r="O655" s="174"/>
      <c r="P655" s="174"/>
    </row>
    <row r="656" outlineLevel="1">
      <c r="A656" s="170" t="s">
        <v>360</v>
      </c>
      <c r="B656" s="171" t="str">
        <f t="shared" si="2"/>
        <v>7.4.2</v>
      </c>
      <c r="C656" s="172" t="s">
        <v>59</v>
      </c>
      <c r="D656" s="152" t="s">
        <v>456</v>
      </c>
      <c r="E656" s="174"/>
      <c r="F656" s="174"/>
      <c r="G656" s="170" t="s">
        <v>41</v>
      </c>
      <c r="H656" s="172" t="s">
        <v>187</v>
      </c>
      <c r="I656" s="174"/>
      <c r="J656" s="174"/>
      <c r="K656" s="174"/>
      <c r="L656" s="174"/>
      <c r="M656" s="174"/>
      <c r="N656" s="174"/>
      <c r="O656" s="174"/>
      <c r="P656" s="174"/>
    </row>
    <row r="657" outlineLevel="1">
      <c r="A657" s="170" t="s">
        <v>360</v>
      </c>
      <c r="B657" s="171" t="str">
        <f t="shared" si="2"/>
        <v>7.4.3</v>
      </c>
      <c r="C657" s="172" t="s">
        <v>59</v>
      </c>
      <c r="D657" s="152" t="s">
        <v>457</v>
      </c>
      <c r="E657" s="174"/>
      <c r="F657" s="174"/>
      <c r="G657" s="170" t="s">
        <v>41</v>
      </c>
      <c r="H657" s="172" t="s">
        <v>187</v>
      </c>
      <c r="I657" s="174"/>
      <c r="J657" s="174"/>
      <c r="K657" s="174"/>
      <c r="L657" s="174"/>
      <c r="M657" s="174"/>
      <c r="N657" s="174"/>
      <c r="O657" s="174"/>
      <c r="P657" s="174"/>
    </row>
    <row r="658" outlineLevel="1">
      <c r="A658" s="170" t="s">
        <v>360</v>
      </c>
      <c r="B658" s="171" t="str">
        <f t="shared" si="2"/>
        <v>7.4.4</v>
      </c>
      <c r="C658" s="172" t="s">
        <v>59</v>
      </c>
      <c r="D658" s="152" t="s">
        <v>458</v>
      </c>
      <c r="E658" s="174"/>
      <c r="F658" s="174"/>
      <c r="G658" s="170" t="s">
        <v>41</v>
      </c>
      <c r="H658" s="172" t="s">
        <v>187</v>
      </c>
      <c r="I658" s="174"/>
      <c r="J658" s="174"/>
      <c r="K658" s="174"/>
      <c r="L658" s="174"/>
      <c r="M658" s="174"/>
      <c r="N658" s="174"/>
      <c r="O658" s="174"/>
      <c r="P658" s="174"/>
    </row>
    <row r="659" outlineLevel="1">
      <c r="A659" s="170" t="s">
        <v>360</v>
      </c>
      <c r="B659" s="171" t="str">
        <f t="shared" si="2"/>
        <v>7.4.5</v>
      </c>
      <c r="C659" s="172" t="s">
        <v>59</v>
      </c>
      <c r="D659" s="152" t="s">
        <v>459</v>
      </c>
      <c r="E659" s="174"/>
      <c r="F659" s="174"/>
      <c r="G659" s="170" t="s">
        <v>41</v>
      </c>
      <c r="H659" s="172" t="s">
        <v>187</v>
      </c>
      <c r="I659" s="174"/>
      <c r="J659" s="174"/>
      <c r="K659" s="174"/>
      <c r="L659" s="174"/>
      <c r="M659" s="174"/>
      <c r="N659" s="174"/>
      <c r="O659" s="174"/>
      <c r="P659" s="174"/>
    </row>
    <row r="660">
      <c r="A660" s="170" t="s">
        <v>361</v>
      </c>
      <c r="B660" s="171" t="str">
        <f t="shared" si="2"/>
        <v>7.5.1</v>
      </c>
      <c r="C660" s="172" t="s">
        <v>67</v>
      </c>
      <c r="D660" s="152" t="s">
        <v>465</v>
      </c>
      <c r="E660" s="174"/>
      <c r="F660" s="174"/>
      <c r="G660" s="170" t="s">
        <v>41</v>
      </c>
      <c r="H660" s="172" t="s">
        <v>187</v>
      </c>
      <c r="I660" s="174"/>
      <c r="J660" s="174"/>
      <c r="K660" s="174"/>
      <c r="L660" s="174"/>
      <c r="M660" s="174"/>
      <c r="N660" s="174"/>
      <c r="O660" s="174"/>
      <c r="P660" s="174"/>
    </row>
    <row r="661" outlineLevel="1">
      <c r="A661" s="170" t="s">
        <v>361</v>
      </c>
      <c r="B661" s="171" t="str">
        <f t="shared" si="2"/>
        <v>7.5.2</v>
      </c>
      <c r="C661" s="172" t="s">
        <v>67</v>
      </c>
      <c r="D661" s="152" t="s">
        <v>541</v>
      </c>
      <c r="E661" s="174"/>
      <c r="F661" s="174"/>
      <c r="G661" s="170" t="s">
        <v>41</v>
      </c>
      <c r="H661" s="172" t="s">
        <v>187</v>
      </c>
      <c r="I661" s="174"/>
      <c r="J661" s="174"/>
      <c r="K661" s="174"/>
      <c r="L661" s="174"/>
      <c r="M661" s="174"/>
      <c r="N661" s="174"/>
      <c r="O661" s="174"/>
      <c r="P661" s="174"/>
    </row>
    <row r="662" outlineLevel="1">
      <c r="A662" s="175" t="s">
        <v>361</v>
      </c>
      <c r="B662" s="175" t="str">
        <f t="shared" si="2"/>
        <v>7.5.3</v>
      </c>
      <c r="C662" s="176" t="s">
        <v>67</v>
      </c>
      <c r="D662" s="152" t="s">
        <v>462</v>
      </c>
      <c r="E662" s="177"/>
      <c r="F662" s="177"/>
      <c r="G662" s="178" t="s">
        <v>41</v>
      </c>
      <c r="H662" s="176" t="s">
        <v>187</v>
      </c>
      <c r="I662" s="177"/>
      <c r="J662" s="177"/>
      <c r="K662" s="177"/>
      <c r="L662" s="177"/>
      <c r="M662" s="177"/>
      <c r="N662" s="177"/>
      <c r="O662" s="177"/>
      <c r="P662" s="177"/>
      <c r="Q662" s="169"/>
      <c r="R662" s="169"/>
      <c r="S662" s="169"/>
      <c r="T662" s="169"/>
      <c r="U662" s="169"/>
      <c r="V662" s="169"/>
      <c r="W662" s="169"/>
      <c r="X662" s="169"/>
    </row>
    <row r="663" outlineLevel="1">
      <c r="A663" s="175" t="s">
        <v>361</v>
      </c>
      <c r="B663" s="175" t="str">
        <f t="shared" si="2"/>
        <v>7.5.4</v>
      </c>
      <c r="C663" s="176" t="s">
        <v>67</v>
      </c>
      <c r="D663" s="152" t="s">
        <v>542</v>
      </c>
      <c r="E663" s="177"/>
      <c r="F663" s="177"/>
      <c r="G663" s="178" t="s">
        <v>41</v>
      </c>
      <c r="H663" s="176" t="s">
        <v>187</v>
      </c>
      <c r="I663" s="177"/>
      <c r="J663" s="177"/>
      <c r="K663" s="177"/>
      <c r="L663" s="177"/>
      <c r="M663" s="177"/>
      <c r="N663" s="177"/>
      <c r="O663" s="177"/>
      <c r="P663" s="177"/>
      <c r="Q663" s="169"/>
      <c r="R663" s="169"/>
      <c r="S663" s="169"/>
      <c r="T663" s="169"/>
      <c r="U663" s="169"/>
      <c r="V663" s="169"/>
      <c r="W663" s="169"/>
      <c r="X663" s="169"/>
    </row>
    <row r="664" outlineLevel="1">
      <c r="A664" s="170" t="s">
        <v>361</v>
      </c>
      <c r="B664" s="170" t="str">
        <f t="shared" si="2"/>
        <v>7.5.5</v>
      </c>
      <c r="C664" s="172" t="s">
        <v>67</v>
      </c>
      <c r="D664" s="152" t="s">
        <v>466</v>
      </c>
      <c r="E664" s="174"/>
      <c r="F664" s="174"/>
      <c r="G664" s="170" t="s">
        <v>41</v>
      </c>
      <c r="H664" s="172" t="s">
        <v>187</v>
      </c>
      <c r="I664" s="174"/>
      <c r="J664" s="174"/>
      <c r="K664" s="174"/>
      <c r="L664" s="174"/>
      <c r="M664" s="174"/>
      <c r="N664" s="174"/>
      <c r="O664" s="174"/>
      <c r="P664" s="174"/>
    </row>
    <row r="665">
      <c r="A665" s="170" t="s">
        <v>362</v>
      </c>
      <c r="B665" s="170" t="str">
        <f t="shared" si="2"/>
        <v>7.6.1</v>
      </c>
      <c r="C665" s="172" t="s">
        <v>292</v>
      </c>
      <c r="D665" s="152" t="s">
        <v>800</v>
      </c>
      <c r="E665" s="174"/>
      <c r="F665" s="174"/>
      <c r="G665" s="170" t="s">
        <v>41</v>
      </c>
      <c r="H665" s="172" t="s">
        <v>187</v>
      </c>
      <c r="I665" s="174"/>
      <c r="J665" s="174"/>
      <c r="K665" s="174"/>
      <c r="L665" s="174"/>
      <c r="M665" s="174"/>
      <c r="N665" s="174"/>
      <c r="O665" s="174"/>
      <c r="P665" s="174"/>
    </row>
    <row r="666" outlineLevel="1">
      <c r="A666" s="175" t="s">
        <v>362</v>
      </c>
      <c r="B666" s="175" t="str">
        <f t="shared" si="2"/>
        <v>7.6.2</v>
      </c>
      <c r="C666" s="176" t="s">
        <v>292</v>
      </c>
      <c r="D666" s="152" t="s">
        <v>546</v>
      </c>
      <c r="E666" s="177"/>
      <c r="F666" s="177"/>
      <c r="G666" s="178" t="s">
        <v>41</v>
      </c>
      <c r="H666" s="176" t="s">
        <v>187</v>
      </c>
      <c r="I666" s="177"/>
      <c r="J666" s="177"/>
      <c r="K666" s="177"/>
      <c r="L666" s="177"/>
      <c r="M666" s="177"/>
      <c r="N666" s="177"/>
      <c r="O666" s="177"/>
      <c r="P666" s="177"/>
      <c r="Q666" s="169"/>
      <c r="R666" s="169"/>
      <c r="S666" s="169"/>
      <c r="T666" s="169"/>
      <c r="U666" s="169"/>
      <c r="V666" s="169"/>
      <c r="W666" s="169"/>
      <c r="X666" s="169"/>
    </row>
    <row r="667" outlineLevel="1">
      <c r="A667" s="170" t="s">
        <v>362</v>
      </c>
      <c r="B667" s="170" t="str">
        <f t="shared" si="2"/>
        <v>7.6.3</v>
      </c>
      <c r="C667" s="172" t="s">
        <v>292</v>
      </c>
      <c r="D667" s="152" t="s">
        <v>547</v>
      </c>
      <c r="E667" s="174"/>
      <c r="F667" s="174"/>
      <c r="G667" s="170" t="s">
        <v>41</v>
      </c>
      <c r="H667" s="172" t="s">
        <v>187</v>
      </c>
      <c r="I667" s="174"/>
      <c r="J667" s="174"/>
      <c r="K667" s="174"/>
      <c r="L667" s="174"/>
      <c r="M667" s="174"/>
      <c r="N667" s="174"/>
      <c r="O667" s="174"/>
      <c r="P667" s="174"/>
    </row>
    <row r="668" outlineLevel="1">
      <c r="A668" s="170" t="s">
        <v>362</v>
      </c>
      <c r="B668" s="170" t="str">
        <f t="shared" si="2"/>
        <v>7.6.4</v>
      </c>
      <c r="C668" s="172" t="s">
        <v>292</v>
      </c>
      <c r="D668" s="152" t="s">
        <v>446</v>
      </c>
      <c r="E668" s="174"/>
      <c r="F668" s="174"/>
      <c r="G668" s="170" t="s">
        <v>41</v>
      </c>
      <c r="H668" s="172" t="s">
        <v>187</v>
      </c>
      <c r="I668" s="174"/>
      <c r="J668" s="174"/>
      <c r="K668" s="174"/>
      <c r="L668" s="174"/>
      <c r="M668" s="174"/>
      <c r="N668" s="174"/>
      <c r="O668" s="174"/>
      <c r="P668" s="174"/>
    </row>
    <row r="669">
      <c r="A669" s="170" t="s">
        <v>363</v>
      </c>
      <c r="B669" s="170" t="str">
        <f t="shared" si="2"/>
        <v>7.7.1</v>
      </c>
      <c r="C669" s="172" t="s">
        <v>309</v>
      </c>
      <c r="D669" s="152" t="s">
        <v>622</v>
      </c>
      <c r="E669" s="174"/>
      <c r="F669" s="174"/>
      <c r="G669" s="170" t="s">
        <v>41</v>
      </c>
      <c r="H669" s="172" t="s">
        <v>187</v>
      </c>
      <c r="I669" s="174"/>
      <c r="J669" s="174"/>
      <c r="K669" s="174"/>
      <c r="L669" s="174"/>
      <c r="M669" s="174"/>
      <c r="N669" s="174"/>
      <c r="O669" s="174"/>
      <c r="P669" s="174"/>
    </row>
    <row r="670" outlineLevel="1">
      <c r="A670" s="170" t="s">
        <v>363</v>
      </c>
      <c r="B670" s="170" t="str">
        <f t="shared" si="2"/>
        <v>7.7.2</v>
      </c>
      <c r="C670" s="172" t="s">
        <v>309</v>
      </c>
      <c r="D670" s="152" t="s">
        <v>623</v>
      </c>
      <c r="E670" s="174"/>
      <c r="F670" s="174"/>
      <c r="G670" s="170" t="s">
        <v>41</v>
      </c>
      <c r="H670" s="172" t="s">
        <v>187</v>
      </c>
      <c r="I670" s="174"/>
      <c r="J670" s="174"/>
      <c r="K670" s="174"/>
      <c r="L670" s="174"/>
      <c r="M670" s="174"/>
      <c r="N670" s="174"/>
      <c r="O670" s="174"/>
      <c r="P670" s="174"/>
    </row>
    <row r="671" outlineLevel="1">
      <c r="A671" s="170" t="s">
        <v>363</v>
      </c>
      <c r="B671" s="170" t="str">
        <f t="shared" si="2"/>
        <v>7.7.3</v>
      </c>
      <c r="C671" s="172" t="s">
        <v>309</v>
      </c>
      <c r="D671" s="152" t="s">
        <v>624</v>
      </c>
      <c r="E671" s="174"/>
      <c r="F671" s="174"/>
      <c r="G671" s="170" t="s">
        <v>41</v>
      </c>
      <c r="H671" s="172" t="s">
        <v>187</v>
      </c>
      <c r="I671" s="174"/>
      <c r="J671" s="174"/>
      <c r="K671" s="174"/>
      <c r="L671" s="174"/>
      <c r="M671" s="174"/>
      <c r="N671" s="174"/>
      <c r="O671" s="174"/>
      <c r="P671" s="174"/>
    </row>
    <row r="672" outlineLevel="1">
      <c r="A672" s="175" t="s">
        <v>363</v>
      </c>
      <c r="B672" s="175" t="str">
        <f t="shared" si="2"/>
        <v>7.7.4</v>
      </c>
      <c r="C672" s="176" t="s">
        <v>309</v>
      </c>
      <c r="D672" s="152" t="s">
        <v>625</v>
      </c>
      <c r="E672" s="177"/>
      <c r="F672" s="177"/>
      <c r="G672" s="178" t="s">
        <v>41</v>
      </c>
      <c r="H672" s="176" t="s">
        <v>187</v>
      </c>
      <c r="I672" s="177"/>
      <c r="J672" s="177"/>
      <c r="K672" s="177"/>
      <c r="L672" s="177"/>
      <c r="M672" s="177"/>
      <c r="N672" s="177"/>
      <c r="O672" s="177"/>
      <c r="P672" s="177"/>
      <c r="Q672" s="169"/>
      <c r="R672" s="169"/>
      <c r="S672" s="169"/>
      <c r="T672" s="169"/>
      <c r="U672" s="169"/>
      <c r="V672" s="169"/>
      <c r="W672" s="169"/>
      <c r="X672" s="169"/>
    </row>
    <row r="673" outlineLevel="1">
      <c r="A673" s="175" t="s">
        <v>363</v>
      </c>
      <c r="B673" s="175" t="str">
        <f t="shared" si="2"/>
        <v>7.7.5</v>
      </c>
      <c r="C673" s="176" t="s">
        <v>309</v>
      </c>
      <c r="D673" s="152" t="s">
        <v>626</v>
      </c>
      <c r="E673" s="177"/>
      <c r="F673" s="177"/>
      <c r="G673" s="178" t="s">
        <v>41</v>
      </c>
      <c r="H673" s="176" t="s">
        <v>187</v>
      </c>
      <c r="I673" s="177"/>
      <c r="J673" s="177"/>
      <c r="K673" s="177"/>
      <c r="L673" s="177"/>
      <c r="M673" s="177"/>
      <c r="N673" s="177"/>
      <c r="O673" s="177"/>
      <c r="P673" s="177"/>
      <c r="Q673" s="169"/>
      <c r="R673" s="169"/>
      <c r="S673" s="169"/>
      <c r="T673" s="169"/>
      <c r="U673" s="169"/>
      <c r="V673" s="169"/>
      <c r="W673" s="169"/>
      <c r="X673" s="169"/>
    </row>
    <row r="674" outlineLevel="1">
      <c r="A674" s="170" t="s">
        <v>363</v>
      </c>
      <c r="B674" s="170" t="str">
        <f t="shared" si="2"/>
        <v>7.7.6</v>
      </c>
      <c r="C674" s="172" t="s">
        <v>309</v>
      </c>
      <c r="D674" s="152" t="s">
        <v>627</v>
      </c>
      <c r="E674" s="174"/>
      <c r="F674" s="174"/>
      <c r="G674" s="170" t="s">
        <v>41</v>
      </c>
      <c r="H674" s="172" t="s">
        <v>187</v>
      </c>
      <c r="I674" s="174"/>
      <c r="J674" s="174"/>
      <c r="K674" s="174"/>
      <c r="L674" s="174"/>
      <c r="M674" s="174"/>
      <c r="N674" s="174"/>
      <c r="O674" s="174"/>
      <c r="P674" s="174"/>
    </row>
    <row r="675" outlineLevel="1">
      <c r="A675" s="170" t="s">
        <v>363</v>
      </c>
      <c r="B675" s="170" t="str">
        <f t="shared" si="2"/>
        <v>7.7.7</v>
      </c>
      <c r="C675" s="172" t="s">
        <v>309</v>
      </c>
      <c r="D675" s="152" t="s">
        <v>628</v>
      </c>
      <c r="E675" s="174"/>
      <c r="F675" s="174"/>
      <c r="G675" s="170" t="s">
        <v>41</v>
      </c>
      <c r="H675" s="172" t="s">
        <v>187</v>
      </c>
      <c r="I675" s="174"/>
      <c r="J675" s="174"/>
      <c r="K675" s="174"/>
      <c r="L675" s="174"/>
      <c r="M675" s="174"/>
      <c r="N675" s="174"/>
      <c r="O675" s="174"/>
      <c r="P675" s="174"/>
    </row>
    <row r="676">
      <c r="A676" s="170" t="s">
        <v>364</v>
      </c>
      <c r="B676" s="171" t="str">
        <f t="shared" si="2"/>
        <v>7.8.1</v>
      </c>
      <c r="C676" s="172" t="s">
        <v>313</v>
      </c>
      <c r="D676" s="152" t="s">
        <v>639</v>
      </c>
      <c r="E676" s="174"/>
      <c r="F676" s="174"/>
      <c r="G676" s="170" t="s">
        <v>48</v>
      </c>
      <c r="H676" s="172" t="s">
        <v>187</v>
      </c>
      <c r="I676" s="174"/>
      <c r="J676" s="174"/>
      <c r="K676" s="174"/>
      <c r="L676" s="174"/>
      <c r="M676" s="174"/>
      <c r="N676" s="174"/>
      <c r="O676" s="174"/>
      <c r="P676" s="174"/>
    </row>
    <row r="677" outlineLevel="1">
      <c r="A677" s="170" t="s">
        <v>364</v>
      </c>
      <c r="B677" s="171" t="str">
        <f t="shared" si="2"/>
        <v>7.8.2</v>
      </c>
      <c r="C677" s="172" t="s">
        <v>313</v>
      </c>
      <c r="D677" s="152" t="s">
        <v>640</v>
      </c>
      <c r="E677" s="174"/>
      <c r="F677" s="174"/>
      <c r="G677" s="170" t="s">
        <v>48</v>
      </c>
      <c r="H677" s="172" t="s">
        <v>187</v>
      </c>
      <c r="I677" s="174"/>
      <c r="J677" s="174"/>
      <c r="K677" s="174"/>
      <c r="L677" s="174"/>
      <c r="M677" s="174"/>
      <c r="N677" s="174"/>
      <c r="O677" s="174"/>
      <c r="P677" s="174"/>
    </row>
    <row r="678" outlineLevel="1">
      <c r="A678" s="170" t="s">
        <v>364</v>
      </c>
      <c r="B678" s="171" t="str">
        <f t="shared" si="2"/>
        <v>7.8.3</v>
      </c>
      <c r="C678" s="172" t="s">
        <v>313</v>
      </c>
      <c r="D678" s="152" t="s">
        <v>641</v>
      </c>
      <c r="E678" s="174"/>
      <c r="F678" s="174"/>
      <c r="G678" s="170" t="s">
        <v>48</v>
      </c>
      <c r="H678" s="172" t="s">
        <v>187</v>
      </c>
      <c r="I678" s="174"/>
      <c r="J678" s="174"/>
      <c r="K678" s="174"/>
      <c r="L678" s="174"/>
      <c r="M678" s="174"/>
      <c r="N678" s="174"/>
      <c r="O678" s="174"/>
      <c r="P678" s="174"/>
    </row>
    <row r="679" outlineLevel="1">
      <c r="A679" s="175" t="s">
        <v>364</v>
      </c>
      <c r="B679" s="175" t="str">
        <f t="shared" si="2"/>
        <v>7.8.4</v>
      </c>
      <c r="C679" s="176" t="s">
        <v>313</v>
      </c>
      <c r="D679" s="152" t="s">
        <v>642</v>
      </c>
      <c r="E679" s="177"/>
      <c r="F679" s="177"/>
      <c r="G679" s="178" t="s">
        <v>48</v>
      </c>
      <c r="H679" s="176" t="s">
        <v>187</v>
      </c>
      <c r="I679" s="177"/>
      <c r="J679" s="177"/>
      <c r="K679" s="177"/>
      <c r="L679" s="177"/>
      <c r="M679" s="177"/>
      <c r="N679" s="177"/>
      <c r="O679" s="177"/>
      <c r="P679" s="177"/>
      <c r="Q679" s="169"/>
      <c r="R679" s="169"/>
      <c r="S679" s="169"/>
      <c r="T679" s="169"/>
      <c r="U679" s="169"/>
      <c r="V679" s="169"/>
      <c r="W679" s="169"/>
      <c r="X679" s="169"/>
    </row>
    <row r="680" outlineLevel="1">
      <c r="A680" s="175" t="s">
        <v>364</v>
      </c>
      <c r="B680" s="175" t="str">
        <f t="shared" si="2"/>
        <v>7.8.5</v>
      </c>
      <c r="C680" s="176" t="s">
        <v>313</v>
      </c>
      <c r="D680" s="152" t="s">
        <v>643</v>
      </c>
      <c r="E680" s="177"/>
      <c r="F680" s="177"/>
      <c r="G680" s="178" t="s">
        <v>48</v>
      </c>
      <c r="H680" s="176" t="s">
        <v>187</v>
      </c>
      <c r="I680" s="177"/>
      <c r="J680" s="177"/>
      <c r="K680" s="177"/>
      <c r="L680" s="177"/>
      <c r="M680" s="177"/>
      <c r="N680" s="177"/>
      <c r="O680" s="177"/>
      <c r="P680" s="177"/>
      <c r="Q680" s="169"/>
      <c r="R680" s="169"/>
      <c r="S680" s="169"/>
      <c r="T680" s="169"/>
      <c r="U680" s="169"/>
      <c r="V680" s="169"/>
      <c r="W680" s="169"/>
      <c r="X680" s="169"/>
    </row>
    <row r="681" outlineLevel="1">
      <c r="A681" s="175" t="s">
        <v>364</v>
      </c>
      <c r="B681" s="175" t="str">
        <f t="shared" si="2"/>
        <v>7.8.6</v>
      </c>
      <c r="C681" s="176" t="s">
        <v>313</v>
      </c>
      <c r="D681" s="152" t="s">
        <v>644</v>
      </c>
      <c r="E681" s="177"/>
      <c r="F681" s="177"/>
      <c r="G681" s="178" t="s">
        <v>48</v>
      </c>
      <c r="H681" s="176" t="s">
        <v>187</v>
      </c>
      <c r="I681" s="177"/>
      <c r="J681" s="177"/>
      <c r="K681" s="177"/>
      <c r="L681" s="177"/>
      <c r="M681" s="177"/>
      <c r="N681" s="177"/>
      <c r="O681" s="177"/>
      <c r="P681" s="177"/>
      <c r="Q681" s="169"/>
      <c r="R681" s="169"/>
      <c r="S681" s="169"/>
      <c r="T681" s="169"/>
      <c r="U681" s="169"/>
      <c r="V681" s="169"/>
      <c r="W681" s="169"/>
      <c r="X681" s="169"/>
    </row>
    <row r="682" outlineLevel="1">
      <c r="A682" s="170" t="s">
        <v>364</v>
      </c>
      <c r="B682" s="171" t="str">
        <f t="shared" si="2"/>
        <v>7.8.7</v>
      </c>
      <c r="C682" s="172" t="s">
        <v>313</v>
      </c>
      <c r="D682" s="152" t="s">
        <v>645</v>
      </c>
      <c r="E682" s="174"/>
      <c r="F682" s="174"/>
      <c r="G682" s="170" t="s">
        <v>48</v>
      </c>
      <c r="H682" s="172" t="s">
        <v>187</v>
      </c>
      <c r="I682" s="174"/>
      <c r="J682" s="174"/>
      <c r="K682" s="174"/>
      <c r="L682" s="174"/>
      <c r="M682" s="174"/>
      <c r="N682" s="174"/>
      <c r="O682" s="174"/>
      <c r="P682" s="174"/>
    </row>
    <row r="683" outlineLevel="1">
      <c r="A683" s="170" t="s">
        <v>364</v>
      </c>
      <c r="B683" s="171" t="str">
        <f t="shared" si="2"/>
        <v>7.8.8</v>
      </c>
      <c r="C683" s="172" t="s">
        <v>313</v>
      </c>
      <c r="D683" s="152" t="s">
        <v>646</v>
      </c>
      <c r="E683" s="174"/>
      <c r="F683" s="174"/>
      <c r="G683" s="170" t="s">
        <v>48</v>
      </c>
      <c r="H683" s="172" t="s">
        <v>187</v>
      </c>
      <c r="I683" s="174"/>
      <c r="J683" s="174"/>
      <c r="K683" s="174"/>
      <c r="L683" s="174"/>
      <c r="M683" s="174"/>
      <c r="N683" s="174"/>
      <c r="O683" s="174"/>
      <c r="P683" s="174"/>
    </row>
    <row r="684" outlineLevel="1">
      <c r="A684" s="170" t="s">
        <v>364</v>
      </c>
      <c r="B684" s="171" t="str">
        <f t="shared" si="2"/>
        <v>7.8.9</v>
      </c>
      <c r="C684" s="172" t="s">
        <v>313</v>
      </c>
      <c r="D684" s="152" t="s">
        <v>636</v>
      </c>
      <c r="E684" s="174"/>
      <c r="F684" s="174"/>
      <c r="G684" s="170" t="s">
        <v>48</v>
      </c>
      <c r="H684" s="172" t="s">
        <v>187</v>
      </c>
      <c r="I684" s="174"/>
      <c r="J684" s="174"/>
      <c r="K684" s="174"/>
      <c r="L684" s="174"/>
      <c r="M684" s="174"/>
      <c r="N684" s="174"/>
      <c r="O684" s="174"/>
      <c r="P684" s="174"/>
    </row>
    <row r="685">
      <c r="A685" s="170" t="s">
        <v>365</v>
      </c>
      <c r="B685" s="171" t="str">
        <f t="shared" si="2"/>
        <v>7.9.1</v>
      </c>
      <c r="C685" s="172" t="s">
        <v>366</v>
      </c>
      <c r="D685" s="173" t="s">
        <v>801</v>
      </c>
      <c r="E685" s="174"/>
      <c r="F685" s="174"/>
      <c r="G685" s="170" t="s">
        <v>190</v>
      </c>
      <c r="H685" s="172" t="s">
        <v>187</v>
      </c>
      <c r="I685" s="174"/>
      <c r="J685" s="174"/>
      <c r="K685" s="174"/>
      <c r="L685" s="174"/>
      <c r="M685" s="174"/>
      <c r="N685" s="174"/>
      <c r="O685" s="174"/>
      <c r="P685" s="174"/>
    </row>
    <row r="686" outlineLevel="1">
      <c r="A686" s="170" t="s">
        <v>365</v>
      </c>
      <c r="B686" s="171" t="str">
        <f t="shared" si="2"/>
        <v>7.9.2</v>
      </c>
      <c r="C686" s="172" t="s">
        <v>366</v>
      </c>
      <c r="D686" s="173" t="s">
        <v>802</v>
      </c>
      <c r="E686" s="174"/>
      <c r="F686" s="174"/>
      <c r="G686" s="170" t="s">
        <v>190</v>
      </c>
      <c r="H686" s="172" t="s">
        <v>187</v>
      </c>
      <c r="I686" s="174"/>
      <c r="J686" s="174"/>
      <c r="K686" s="174"/>
      <c r="L686" s="174"/>
      <c r="M686" s="174"/>
      <c r="N686" s="174"/>
      <c r="O686" s="174"/>
      <c r="P686" s="174"/>
    </row>
    <row r="687" outlineLevel="1">
      <c r="A687" s="170" t="s">
        <v>365</v>
      </c>
      <c r="B687" s="171" t="str">
        <f t="shared" si="2"/>
        <v>7.9.3</v>
      </c>
      <c r="C687" s="172" t="s">
        <v>366</v>
      </c>
      <c r="D687" s="173" t="s">
        <v>803</v>
      </c>
      <c r="E687" s="174"/>
      <c r="F687" s="174"/>
      <c r="G687" s="170" t="s">
        <v>190</v>
      </c>
      <c r="H687" s="172" t="s">
        <v>187</v>
      </c>
      <c r="I687" s="174"/>
      <c r="J687" s="174"/>
      <c r="K687" s="174"/>
      <c r="L687" s="174"/>
      <c r="M687" s="174"/>
      <c r="N687" s="174"/>
      <c r="O687" s="174"/>
      <c r="P687" s="174"/>
    </row>
    <row r="688" outlineLevel="1">
      <c r="A688" s="170" t="s">
        <v>365</v>
      </c>
      <c r="B688" s="171" t="str">
        <f t="shared" si="2"/>
        <v>7.9.4</v>
      </c>
      <c r="C688" s="172" t="s">
        <v>366</v>
      </c>
      <c r="D688" s="173" t="s">
        <v>804</v>
      </c>
      <c r="E688" s="174"/>
      <c r="F688" s="174"/>
      <c r="G688" s="170" t="s">
        <v>190</v>
      </c>
      <c r="H688" s="172" t="s">
        <v>187</v>
      </c>
      <c r="I688" s="174"/>
      <c r="J688" s="174"/>
      <c r="K688" s="174"/>
      <c r="L688" s="174"/>
      <c r="M688" s="174"/>
      <c r="N688" s="174"/>
      <c r="O688" s="174"/>
      <c r="P688" s="174"/>
    </row>
    <row r="689" outlineLevel="1">
      <c r="A689" s="170" t="s">
        <v>365</v>
      </c>
      <c r="B689" s="171" t="str">
        <f t="shared" si="2"/>
        <v>7.9.5</v>
      </c>
      <c r="C689" s="172" t="s">
        <v>366</v>
      </c>
      <c r="D689" s="173" t="s">
        <v>805</v>
      </c>
      <c r="E689" s="174"/>
      <c r="F689" s="174"/>
      <c r="G689" s="170" t="s">
        <v>190</v>
      </c>
      <c r="H689" s="172" t="s">
        <v>187</v>
      </c>
      <c r="I689" s="174"/>
      <c r="J689" s="174"/>
      <c r="K689" s="174"/>
      <c r="L689" s="174"/>
      <c r="M689" s="174"/>
      <c r="N689" s="174"/>
      <c r="O689" s="174"/>
      <c r="P689" s="174"/>
    </row>
    <row r="690">
      <c r="A690" s="170" t="s">
        <v>367</v>
      </c>
      <c r="B690" s="171" t="str">
        <f t="shared" si="2"/>
        <v>7.10.1</v>
      </c>
      <c r="C690" s="172" t="s">
        <v>353</v>
      </c>
      <c r="D690" s="173" t="s">
        <v>728</v>
      </c>
      <c r="E690" s="174"/>
      <c r="F690" s="174"/>
      <c r="G690" s="170" t="s">
        <v>190</v>
      </c>
      <c r="H690" s="172" t="s">
        <v>187</v>
      </c>
      <c r="I690" s="174"/>
      <c r="J690" s="174"/>
      <c r="K690" s="174"/>
      <c r="L690" s="174"/>
      <c r="M690" s="174"/>
      <c r="N690" s="174"/>
      <c r="O690" s="174"/>
      <c r="P690" s="174"/>
    </row>
    <row r="691" outlineLevel="1">
      <c r="A691" s="170" t="s">
        <v>367</v>
      </c>
      <c r="B691" s="171" t="str">
        <f t="shared" si="2"/>
        <v>7.10.2</v>
      </c>
      <c r="C691" s="172" t="s">
        <v>353</v>
      </c>
      <c r="D691" s="173" t="s">
        <v>729</v>
      </c>
      <c r="E691" s="174"/>
      <c r="F691" s="174"/>
      <c r="G691" s="170" t="s">
        <v>190</v>
      </c>
      <c r="H691" s="172" t="s">
        <v>187</v>
      </c>
      <c r="I691" s="174"/>
      <c r="J691" s="174"/>
      <c r="K691" s="174"/>
      <c r="L691" s="174"/>
      <c r="M691" s="174"/>
      <c r="N691" s="174"/>
      <c r="O691" s="174"/>
      <c r="P691" s="174"/>
    </row>
    <row r="692" outlineLevel="1">
      <c r="A692" s="170" t="s">
        <v>367</v>
      </c>
      <c r="B692" s="171" t="str">
        <f t="shared" si="2"/>
        <v>7.10.3</v>
      </c>
      <c r="C692" s="172" t="s">
        <v>353</v>
      </c>
      <c r="D692" s="173" t="s">
        <v>730</v>
      </c>
      <c r="E692" s="174"/>
      <c r="F692" s="174"/>
      <c r="G692" s="170" t="s">
        <v>190</v>
      </c>
      <c r="H692" s="172" t="s">
        <v>187</v>
      </c>
      <c r="I692" s="174"/>
      <c r="J692" s="174"/>
      <c r="K692" s="174"/>
      <c r="L692" s="174"/>
      <c r="M692" s="174"/>
      <c r="N692" s="174"/>
      <c r="O692" s="174"/>
      <c r="P692" s="174"/>
    </row>
    <row r="693" outlineLevel="1">
      <c r="A693" s="170" t="s">
        <v>367</v>
      </c>
      <c r="B693" s="171" t="str">
        <f t="shared" si="2"/>
        <v>7.10.4</v>
      </c>
      <c r="C693" s="172" t="s">
        <v>353</v>
      </c>
      <c r="D693" s="173" t="s">
        <v>731</v>
      </c>
      <c r="E693" s="174"/>
      <c r="F693" s="174"/>
      <c r="G693" s="170" t="s">
        <v>190</v>
      </c>
      <c r="H693" s="172" t="s">
        <v>187</v>
      </c>
      <c r="I693" s="174"/>
      <c r="J693" s="174"/>
      <c r="K693" s="174"/>
      <c r="L693" s="174"/>
      <c r="M693" s="174"/>
      <c r="N693" s="174"/>
      <c r="O693" s="174"/>
      <c r="P693" s="174"/>
    </row>
    <row r="694" outlineLevel="1">
      <c r="A694" s="170" t="s">
        <v>367</v>
      </c>
      <c r="B694" s="171" t="str">
        <f t="shared" si="2"/>
        <v>7.10.5</v>
      </c>
      <c r="C694" s="172" t="s">
        <v>353</v>
      </c>
      <c r="D694" s="173" t="s">
        <v>732</v>
      </c>
      <c r="E694" s="174"/>
      <c r="F694" s="174"/>
      <c r="G694" s="170" t="s">
        <v>190</v>
      </c>
      <c r="H694" s="172" t="s">
        <v>187</v>
      </c>
      <c r="I694" s="174"/>
      <c r="J694" s="174"/>
      <c r="K694" s="174"/>
      <c r="L694" s="174"/>
      <c r="M694" s="174"/>
      <c r="N694" s="174"/>
      <c r="O694" s="174"/>
      <c r="P694" s="174"/>
    </row>
    <row r="695">
      <c r="A695" s="170" t="s">
        <v>368</v>
      </c>
      <c r="B695" s="171" t="str">
        <f t="shared" si="2"/>
        <v>7.11.1</v>
      </c>
      <c r="C695" s="172" t="s">
        <v>355</v>
      </c>
      <c r="D695" s="173" t="s">
        <v>789</v>
      </c>
      <c r="E695" s="174"/>
      <c r="F695" s="174"/>
      <c r="G695" s="170" t="s">
        <v>65</v>
      </c>
      <c r="H695" s="172" t="s">
        <v>187</v>
      </c>
      <c r="I695" s="174"/>
      <c r="J695" s="174"/>
      <c r="K695" s="174"/>
      <c r="L695" s="174"/>
      <c r="M695" s="174"/>
      <c r="N695" s="174"/>
      <c r="O695" s="174"/>
      <c r="P695" s="174"/>
    </row>
    <row r="696" outlineLevel="1">
      <c r="A696" s="170" t="s">
        <v>368</v>
      </c>
      <c r="B696" s="171" t="str">
        <f t="shared" si="2"/>
        <v>7.11.2</v>
      </c>
      <c r="C696" s="172" t="s">
        <v>355</v>
      </c>
      <c r="D696" s="173" t="s">
        <v>790</v>
      </c>
      <c r="E696" s="174"/>
      <c r="F696" s="174"/>
      <c r="G696" s="170" t="s">
        <v>65</v>
      </c>
      <c r="H696" s="172" t="s">
        <v>187</v>
      </c>
      <c r="I696" s="174"/>
      <c r="J696" s="174"/>
      <c r="K696" s="174"/>
      <c r="L696" s="174"/>
      <c r="M696" s="174"/>
      <c r="N696" s="174"/>
      <c r="O696" s="174"/>
      <c r="P696" s="174"/>
    </row>
    <row r="697" outlineLevel="1">
      <c r="A697" s="170" t="s">
        <v>368</v>
      </c>
      <c r="B697" s="171" t="str">
        <f t="shared" si="2"/>
        <v>7.11.3</v>
      </c>
      <c r="C697" s="172" t="s">
        <v>355</v>
      </c>
      <c r="D697" s="173" t="s">
        <v>791</v>
      </c>
      <c r="E697" s="174"/>
      <c r="F697" s="174"/>
      <c r="G697" s="170" t="s">
        <v>65</v>
      </c>
      <c r="H697" s="172" t="s">
        <v>187</v>
      </c>
      <c r="I697" s="174"/>
      <c r="J697" s="174"/>
      <c r="K697" s="174"/>
      <c r="L697" s="174"/>
      <c r="M697" s="174"/>
      <c r="N697" s="174"/>
      <c r="O697" s="174"/>
      <c r="P697" s="174"/>
    </row>
    <row r="698" outlineLevel="1">
      <c r="A698" s="170" t="s">
        <v>368</v>
      </c>
      <c r="B698" s="171" t="str">
        <f t="shared" si="2"/>
        <v>7.11.4</v>
      </c>
      <c r="C698" s="172" t="s">
        <v>355</v>
      </c>
      <c r="D698" s="173" t="s">
        <v>792</v>
      </c>
      <c r="E698" s="174"/>
      <c r="F698" s="174"/>
      <c r="G698" s="170" t="s">
        <v>65</v>
      </c>
      <c r="H698" s="172" t="s">
        <v>187</v>
      </c>
      <c r="I698" s="174"/>
      <c r="J698" s="174"/>
      <c r="K698" s="174"/>
      <c r="L698" s="174"/>
      <c r="M698" s="174"/>
      <c r="N698" s="174"/>
      <c r="O698" s="174"/>
      <c r="P698" s="174"/>
    </row>
    <row r="699" outlineLevel="1">
      <c r="A699" s="170" t="s">
        <v>368</v>
      </c>
      <c r="B699" s="171" t="str">
        <f t="shared" si="2"/>
        <v>7.11.5</v>
      </c>
      <c r="C699" s="172" t="s">
        <v>355</v>
      </c>
      <c r="D699" s="173" t="s">
        <v>793</v>
      </c>
      <c r="E699" s="174"/>
      <c r="F699" s="174"/>
      <c r="G699" s="170" t="s">
        <v>65</v>
      </c>
      <c r="H699" s="172" t="s">
        <v>187</v>
      </c>
      <c r="I699" s="174"/>
      <c r="J699" s="174"/>
      <c r="K699" s="174"/>
      <c r="L699" s="174"/>
      <c r="M699" s="174"/>
      <c r="N699" s="174"/>
      <c r="O699" s="174"/>
      <c r="P699" s="174"/>
    </row>
    <row r="700">
      <c r="A700" s="170" t="s">
        <v>369</v>
      </c>
      <c r="B700" s="171" t="str">
        <f t="shared" si="2"/>
        <v>7.12.1</v>
      </c>
      <c r="C700" s="172" t="s">
        <v>356</v>
      </c>
      <c r="D700" s="173" t="s">
        <v>794</v>
      </c>
      <c r="E700" s="174"/>
      <c r="F700" s="174"/>
      <c r="G700" s="170" t="s">
        <v>65</v>
      </c>
      <c r="H700" s="172" t="s">
        <v>187</v>
      </c>
      <c r="I700" s="174"/>
      <c r="J700" s="174"/>
      <c r="K700" s="174"/>
      <c r="L700" s="174"/>
      <c r="M700" s="174"/>
      <c r="N700" s="174"/>
      <c r="O700" s="174"/>
      <c r="P700" s="174"/>
    </row>
    <row r="701" outlineLevel="1">
      <c r="A701" s="170" t="s">
        <v>369</v>
      </c>
      <c r="B701" s="171" t="str">
        <f t="shared" si="2"/>
        <v>7.12.2</v>
      </c>
      <c r="C701" s="172" t="s">
        <v>356</v>
      </c>
      <c r="D701" s="173" t="s">
        <v>795</v>
      </c>
      <c r="E701" s="174"/>
      <c r="F701" s="174"/>
      <c r="G701" s="170" t="s">
        <v>65</v>
      </c>
      <c r="H701" s="172" t="s">
        <v>187</v>
      </c>
      <c r="I701" s="174"/>
      <c r="J701" s="174"/>
      <c r="K701" s="174"/>
      <c r="L701" s="174"/>
      <c r="M701" s="174"/>
      <c r="N701" s="174"/>
      <c r="O701" s="174"/>
      <c r="P701" s="174"/>
    </row>
    <row r="702" outlineLevel="1">
      <c r="A702" s="170" t="s">
        <v>369</v>
      </c>
      <c r="B702" s="171" t="str">
        <f t="shared" si="2"/>
        <v>7.12.3</v>
      </c>
      <c r="C702" s="172" t="s">
        <v>356</v>
      </c>
      <c r="D702" s="173" t="s">
        <v>806</v>
      </c>
      <c r="E702" s="174"/>
      <c r="F702" s="174"/>
      <c r="G702" s="170" t="s">
        <v>65</v>
      </c>
      <c r="H702" s="172" t="s">
        <v>187</v>
      </c>
      <c r="I702" s="174"/>
      <c r="J702" s="174"/>
      <c r="K702" s="174"/>
      <c r="L702" s="174"/>
      <c r="M702" s="174"/>
      <c r="N702" s="174"/>
      <c r="O702" s="174"/>
      <c r="P702" s="174"/>
    </row>
    <row r="703" outlineLevel="1">
      <c r="A703" s="170" t="s">
        <v>369</v>
      </c>
      <c r="B703" s="171" t="str">
        <f t="shared" si="2"/>
        <v>7.12.4</v>
      </c>
      <c r="C703" s="172" t="s">
        <v>356</v>
      </c>
      <c r="D703" s="173" t="s">
        <v>797</v>
      </c>
      <c r="E703" s="174"/>
      <c r="F703" s="174"/>
      <c r="G703" s="170" t="s">
        <v>65</v>
      </c>
      <c r="H703" s="172" t="s">
        <v>187</v>
      </c>
      <c r="I703" s="174"/>
      <c r="J703" s="174"/>
      <c r="K703" s="174"/>
      <c r="L703" s="174"/>
      <c r="M703" s="174"/>
      <c r="N703" s="174"/>
      <c r="O703" s="174"/>
      <c r="P703" s="174"/>
    </row>
    <row r="704" outlineLevel="1">
      <c r="A704" s="170" t="s">
        <v>369</v>
      </c>
      <c r="B704" s="171" t="str">
        <f t="shared" si="2"/>
        <v>7.12.5</v>
      </c>
      <c r="C704" s="172" t="s">
        <v>356</v>
      </c>
      <c r="D704" s="173" t="s">
        <v>798</v>
      </c>
      <c r="E704" s="174"/>
      <c r="F704" s="174"/>
      <c r="G704" s="170" t="s">
        <v>65</v>
      </c>
      <c r="H704" s="172" t="s">
        <v>187</v>
      </c>
      <c r="I704" s="174"/>
      <c r="J704" s="174"/>
      <c r="K704" s="174"/>
      <c r="L704" s="174"/>
      <c r="M704" s="174"/>
      <c r="N704" s="174"/>
      <c r="O704" s="174"/>
      <c r="P704" s="174"/>
    </row>
    <row r="705" outlineLevel="1">
      <c r="A705" s="170" t="s">
        <v>369</v>
      </c>
      <c r="B705" s="171" t="str">
        <f t="shared" si="2"/>
        <v>7.12.6</v>
      </c>
      <c r="C705" s="172" t="s">
        <v>356</v>
      </c>
      <c r="D705" s="173" t="s">
        <v>799</v>
      </c>
      <c r="E705" s="174"/>
      <c r="F705" s="174"/>
      <c r="G705" s="170" t="s">
        <v>65</v>
      </c>
      <c r="H705" s="172" t="s">
        <v>187</v>
      </c>
      <c r="I705" s="174"/>
      <c r="J705" s="174"/>
      <c r="K705" s="174"/>
      <c r="L705" s="174"/>
      <c r="M705" s="174"/>
      <c r="N705" s="174"/>
      <c r="O705" s="174"/>
      <c r="P705" s="174"/>
    </row>
    <row r="706">
      <c r="A706" s="170" t="s">
        <v>370</v>
      </c>
      <c r="B706" s="170" t="s">
        <v>807</v>
      </c>
      <c r="C706" s="172" t="s">
        <v>292</v>
      </c>
      <c r="D706" s="173" t="s">
        <v>808</v>
      </c>
      <c r="E706" s="174"/>
      <c r="F706" s="174"/>
      <c r="G706" s="170"/>
      <c r="H706" s="172" t="s">
        <v>187</v>
      </c>
      <c r="I706" s="174"/>
      <c r="J706" s="174"/>
      <c r="K706" s="174"/>
      <c r="L706" s="174"/>
      <c r="M706" s="174"/>
      <c r="N706" s="174"/>
      <c r="O706" s="174"/>
      <c r="P706" s="174"/>
    </row>
    <row r="707">
      <c r="A707" s="170" t="s">
        <v>370</v>
      </c>
      <c r="B707" s="170" t="s">
        <v>809</v>
      </c>
      <c r="C707" s="172" t="s">
        <v>292</v>
      </c>
      <c r="D707" s="173" t="s">
        <v>545</v>
      </c>
      <c r="E707" s="174"/>
      <c r="F707" s="174"/>
      <c r="G707" s="170"/>
      <c r="H707" s="172" t="s">
        <v>187</v>
      </c>
      <c r="I707" s="174"/>
      <c r="J707" s="174"/>
      <c r="K707" s="174"/>
      <c r="L707" s="174"/>
      <c r="M707" s="174"/>
      <c r="N707" s="174"/>
      <c r="O707" s="174"/>
      <c r="P707" s="174"/>
    </row>
    <row r="708">
      <c r="A708" s="170" t="s">
        <v>370</v>
      </c>
      <c r="B708" s="170" t="s">
        <v>810</v>
      </c>
      <c r="C708" s="172" t="s">
        <v>292</v>
      </c>
      <c r="D708" s="173" t="s">
        <v>546</v>
      </c>
      <c r="E708" s="174"/>
      <c r="F708" s="174"/>
      <c r="G708" s="170"/>
      <c r="H708" s="172" t="s">
        <v>187</v>
      </c>
      <c r="I708" s="174"/>
      <c r="J708" s="174"/>
      <c r="K708" s="174"/>
      <c r="L708" s="174"/>
      <c r="M708" s="174"/>
      <c r="N708" s="174"/>
      <c r="O708" s="174"/>
      <c r="P708" s="174"/>
    </row>
    <row r="709">
      <c r="A709" s="170" t="s">
        <v>370</v>
      </c>
      <c r="B709" s="170" t="s">
        <v>811</v>
      </c>
      <c r="C709" s="172" t="s">
        <v>292</v>
      </c>
      <c r="D709" s="173" t="s">
        <v>547</v>
      </c>
      <c r="E709" s="174"/>
      <c r="F709" s="174"/>
      <c r="G709" s="170"/>
      <c r="H709" s="172" t="s">
        <v>187</v>
      </c>
      <c r="I709" s="174"/>
      <c r="J709" s="174"/>
      <c r="K709" s="174"/>
      <c r="L709" s="174"/>
      <c r="M709" s="174"/>
      <c r="N709" s="174"/>
      <c r="O709" s="174"/>
      <c r="P709" s="174"/>
    </row>
    <row r="710">
      <c r="A710" s="170" t="s">
        <v>370</v>
      </c>
      <c r="B710" s="170" t="s">
        <v>812</v>
      </c>
      <c r="C710" s="172" t="s">
        <v>292</v>
      </c>
      <c r="D710" s="173" t="s">
        <v>446</v>
      </c>
      <c r="E710" s="174"/>
      <c r="F710" s="174"/>
      <c r="G710" s="170"/>
      <c r="H710" s="172" t="s">
        <v>187</v>
      </c>
      <c r="I710" s="174"/>
      <c r="J710" s="174"/>
      <c r="K710" s="174"/>
      <c r="L710" s="174"/>
      <c r="M710" s="174"/>
      <c r="N710" s="174"/>
      <c r="O710" s="174"/>
      <c r="P710" s="174"/>
    </row>
    <row r="711">
      <c r="A711" s="170" t="s">
        <v>371</v>
      </c>
      <c r="B711" s="170" t="s">
        <v>813</v>
      </c>
      <c r="C711" s="172" t="s">
        <v>302</v>
      </c>
      <c r="D711" s="173" t="s">
        <v>574</v>
      </c>
      <c r="E711" s="174"/>
      <c r="F711" s="174"/>
      <c r="G711" s="170"/>
      <c r="H711" s="172" t="s">
        <v>187</v>
      </c>
      <c r="I711" s="174"/>
      <c r="J711" s="174"/>
      <c r="K711" s="174"/>
      <c r="L711" s="174"/>
      <c r="M711" s="174"/>
      <c r="N711" s="174"/>
      <c r="O711" s="174"/>
      <c r="P711" s="174"/>
    </row>
    <row r="712">
      <c r="A712" s="170" t="s">
        <v>371</v>
      </c>
      <c r="B712" s="170" t="s">
        <v>814</v>
      </c>
      <c r="C712" s="172" t="s">
        <v>302</v>
      </c>
      <c r="D712" s="173" t="s">
        <v>575</v>
      </c>
      <c r="E712" s="174"/>
      <c r="F712" s="174"/>
      <c r="G712" s="170"/>
      <c r="H712" s="172" t="s">
        <v>187</v>
      </c>
      <c r="I712" s="174"/>
      <c r="J712" s="174"/>
      <c r="K712" s="174"/>
      <c r="L712" s="174"/>
      <c r="M712" s="174"/>
      <c r="N712" s="174"/>
      <c r="O712" s="174"/>
      <c r="P712" s="174"/>
    </row>
    <row r="713">
      <c r="A713" s="170" t="s">
        <v>371</v>
      </c>
      <c r="B713" s="170" t="s">
        <v>815</v>
      </c>
      <c r="C713" s="172" t="s">
        <v>302</v>
      </c>
      <c r="D713" s="173" t="s">
        <v>576</v>
      </c>
      <c r="E713" s="174"/>
      <c r="F713" s="174"/>
      <c r="G713" s="170"/>
      <c r="H713" s="172" t="s">
        <v>187</v>
      </c>
      <c r="I713" s="174"/>
      <c r="J713" s="174"/>
      <c r="K713" s="174"/>
      <c r="L713" s="174"/>
      <c r="M713" s="174"/>
      <c r="N713" s="174"/>
      <c r="O713" s="174"/>
      <c r="P713" s="174"/>
    </row>
    <row r="714">
      <c r="A714" s="170" t="s">
        <v>371</v>
      </c>
      <c r="B714" s="170" t="s">
        <v>816</v>
      </c>
      <c r="C714" s="172" t="s">
        <v>302</v>
      </c>
      <c r="D714" s="173" t="s">
        <v>577</v>
      </c>
      <c r="E714" s="174"/>
      <c r="F714" s="174"/>
      <c r="G714" s="170"/>
      <c r="H714" s="172" t="s">
        <v>187</v>
      </c>
      <c r="I714" s="174"/>
      <c r="J714" s="174"/>
      <c r="K714" s="174"/>
      <c r="L714" s="174"/>
      <c r="M714" s="174"/>
      <c r="N714" s="174"/>
      <c r="O714" s="174"/>
      <c r="P714" s="174"/>
    </row>
    <row r="715">
      <c r="A715" s="170" t="s">
        <v>371</v>
      </c>
      <c r="B715" s="170" t="s">
        <v>817</v>
      </c>
      <c r="C715" s="172" t="s">
        <v>302</v>
      </c>
      <c r="D715" s="173" t="s">
        <v>818</v>
      </c>
      <c r="E715" s="174"/>
      <c r="F715" s="174"/>
      <c r="G715" s="170"/>
      <c r="H715" s="172" t="s">
        <v>187</v>
      </c>
      <c r="I715" s="174"/>
      <c r="J715" s="174"/>
      <c r="K715" s="174"/>
      <c r="L715" s="174"/>
      <c r="M715" s="174"/>
      <c r="N715" s="174"/>
      <c r="O715" s="174"/>
      <c r="P715" s="174"/>
    </row>
    <row r="716">
      <c r="A716" s="170" t="s">
        <v>371</v>
      </c>
      <c r="B716" s="170" t="s">
        <v>819</v>
      </c>
      <c r="C716" s="172" t="s">
        <v>302</v>
      </c>
      <c r="D716" s="173" t="s">
        <v>579</v>
      </c>
      <c r="E716" s="174"/>
      <c r="F716" s="174"/>
      <c r="G716" s="170"/>
      <c r="H716" s="172" t="s">
        <v>187</v>
      </c>
      <c r="I716" s="174"/>
      <c r="J716" s="174"/>
      <c r="K716" s="174"/>
      <c r="L716" s="174"/>
      <c r="M716" s="174"/>
      <c r="N716" s="174"/>
      <c r="O716" s="174"/>
      <c r="P716" s="174"/>
    </row>
    <row r="717">
      <c r="A717" s="170" t="s">
        <v>372</v>
      </c>
      <c r="B717" s="170" t="s">
        <v>820</v>
      </c>
      <c r="C717" s="172" t="s">
        <v>304</v>
      </c>
      <c r="D717" s="173" t="s">
        <v>587</v>
      </c>
      <c r="E717" s="174"/>
      <c r="F717" s="174"/>
      <c r="G717" s="170"/>
      <c r="H717" s="172" t="s">
        <v>187</v>
      </c>
      <c r="I717" s="174"/>
      <c r="J717" s="174"/>
      <c r="K717" s="174"/>
      <c r="L717" s="174"/>
      <c r="M717" s="174"/>
      <c r="N717" s="174"/>
      <c r="O717" s="174"/>
      <c r="P717" s="174"/>
    </row>
    <row r="718">
      <c r="A718" s="170" t="s">
        <v>372</v>
      </c>
      <c r="B718" s="170" t="s">
        <v>821</v>
      </c>
      <c r="C718" s="172" t="s">
        <v>304</v>
      </c>
      <c r="D718" s="173" t="s">
        <v>588</v>
      </c>
      <c r="E718" s="174"/>
      <c r="F718" s="174"/>
      <c r="G718" s="170"/>
      <c r="H718" s="172" t="s">
        <v>187</v>
      </c>
      <c r="I718" s="174"/>
      <c r="J718" s="174"/>
      <c r="K718" s="174"/>
      <c r="L718" s="174"/>
      <c r="M718" s="174"/>
      <c r="N718" s="174"/>
      <c r="O718" s="174"/>
      <c r="P718" s="174"/>
    </row>
    <row r="719">
      <c r="A719" s="170" t="s">
        <v>372</v>
      </c>
      <c r="B719" s="170" t="s">
        <v>822</v>
      </c>
      <c r="C719" s="172" t="s">
        <v>304</v>
      </c>
      <c r="D719" s="173" t="s">
        <v>589</v>
      </c>
      <c r="E719" s="174"/>
      <c r="F719" s="174"/>
      <c r="G719" s="170"/>
      <c r="H719" s="172" t="s">
        <v>187</v>
      </c>
      <c r="I719" s="174"/>
      <c r="J719" s="174"/>
      <c r="K719" s="174"/>
      <c r="L719" s="174"/>
      <c r="M719" s="174"/>
      <c r="N719" s="174"/>
      <c r="O719" s="174"/>
      <c r="P719" s="174"/>
    </row>
    <row r="720">
      <c r="A720" s="170" t="s">
        <v>372</v>
      </c>
      <c r="B720" s="170" t="s">
        <v>823</v>
      </c>
      <c r="C720" s="172" t="s">
        <v>304</v>
      </c>
      <c r="D720" s="173" t="s">
        <v>590</v>
      </c>
      <c r="E720" s="174"/>
      <c r="F720" s="174"/>
      <c r="G720" s="170"/>
      <c r="H720" s="172" t="s">
        <v>187</v>
      </c>
      <c r="I720" s="174"/>
      <c r="J720" s="174"/>
      <c r="K720" s="174"/>
      <c r="L720" s="174"/>
      <c r="M720" s="174"/>
      <c r="N720" s="174"/>
      <c r="O720" s="174"/>
      <c r="P720" s="174"/>
    </row>
    <row r="721">
      <c r="A721" s="170" t="s">
        <v>372</v>
      </c>
      <c r="B721" s="170" t="s">
        <v>824</v>
      </c>
      <c r="C721" s="172" t="s">
        <v>304</v>
      </c>
      <c r="D721" s="173" t="s">
        <v>591</v>
      </c>
      <c r="E721" s="174"/>
      <c r="F721" s="174"/>
      <c r="G721" s="170"/>
      <c r="H721" s="172" t="s">
        <v>187</v>
      </c>
      <c r="I721" s="174"/>
      <c r="J721" s="174"/>
      <c r="K721" s="174"/>
      <c r="L721" s="174"/>
      <c r="M721" s="174"/>
      <c r="N721" s="174"/>
      <c r="O721" s="174"/>
      <c r="P721" s="174"/>
    </row>
    <row r="722">
      <c r="A722" s="170" t="s">
        <v>372</v>
      </c>
      <c r="B722" s="170" t="s">
        <v>825</v>
      </c>
      <c r="C722" s="172" t="s">
        <v>304</v>
      </c>
      <c r="D722" s="173" t="s">
        <v>826</v>
      </c>
      <c r="E722" s="174"/>
      <c r="F722" s="174"/>
      <c r="G722" s="170"/>
      <c r="H722" s="172" t="s">
        <v>187</v>
      </c>
      <c r="I722" s="174"/>
      <c r="J722" s="174"/>
      <c r="K722" s="174"/>
      <c r="L722" s="174"/>
      <c r="M722" s="174"/>
      <c r="N722" s="174"/>
      <c r="O722" s="174"/>
      <c r="P722" s="174"/>
    </row>
    <row r="723">
      <c r="A723" s="170" t="s">
        <v>372</v>
      </c>
      <c r="B723" s="170" t="s">
        <v>827</v>
      </c>
      <c r="C723" s="172" t="s">
        <v>304</v>
      </c>
      <c r="D723" s="173" t="s">
        <v>593</v>
      </c>
      <c r="E723" s="174"/>
      <c r="F723" s="174"/>
      <c r="G723" s="170"/>
      <c r="H723" s="172" t="s">
        <v>187</v>
      </c>
      <c r="I723" s="174"/>
      <c r="J723" s="174"/>
      <c r="K723" s="174"/>
      <c r="L723" s="174"/>
      <c r="M723" s="174"/>
      <c r="N723" s="174"/>
      <c r="O723" s="174"/>
      <c r="P723" s="174"/>
    </row>
    <row r="724">
      <c r="A724" s="170" t="s">
        <v>372</v>
      </c>
      <c r="B724" s="170" t="s">
        <v>828</v>
      </c>
      <c r="C724" s="172" t="s">
        <v>304</v>
      </c>
      <c r="D724" s="173" t="s">
        <v>594</v>
      </c>
      <c r="E724" s="174"/>
      <c r="F724" s="174"/>
      <c r="G724" s="170"/>
      <c r="H724" s="172" t="s">
        <v>187</v>
      </c>
      <c r="I724" s="174"/>
      <c r="J724" s="174"/>
      <c r="K724" s="174"/>
      <c r="L724" s="174"/>
      <c r="M724" s="174"/>
      <c r="N724" s="174"/>
      <c r="O724" s="174"/>
      <c r="P724" s="174"/>
    </row>
    <row r="725">
      <c r="A725" s="170" t="s">
        <v>372</v>
      </c>
      <c r="B725" s="170" t="s">
        <v>829</v>
      </c>
      <c r="C725" s="172" t="s">
        <v>304</v>
      </c>
      <c r="D725" s="173" t="s">
        <v>595</v>
      </c>
      <c r="E725" s="174"/>
      <c r="F725" s="174"/>
      <c r="G725" s="170"/>
      <c r="H725" s="172" t="s">
        <v>187</v>
      </c>
      <c r="I725" s="174"/>
      <c r="J725" s="174"/>
      <c r="K725" s="174"/>
      <c r="L725" s="174"/>
      <c r="M725" s="174"/>
      <c r="N725" s="174"/>
      <c r="O725" s="174"/>
      <c r="P725" s="174"/>
    </row>
    <row r="726">
      <c r="A726" s="170" t="s">
        <v>372</v>
      </c>
      <c r="B726" s="170" t="s">
        <v>830</v>
      </c>
      <c r="C726" s="172" t="s">
        <v>304</v>
      </c>
      <c r="D726" s="173" t="s">
        <v>596</v>
      </c>
      <c r="E726" s="174"/>
      <c r="F726" s="174"/>
      <c r="G726" s="170"/>
      <c r="H726" s="172" t="s">
        <v>187</v>
      </c>
      <c r="I726" s="174"/>
      <c r="J726" s="174"/>
      <c r="K726" s="174"/>
      <c r="L726" s="174"/>
      <c r="M726" s="174"/>
      <c r="N726" s="174"/>
      <c r="O726" s="174"/>
      <c r="P726" s="174"/>
    </row>
    <row r="727">
      <c r="A727" s="170" t="s">
        <v>372</v>
      </c>
      <c r="B727" s="170" t="s">
        <v>831</v>
      </c>
      <c r="C727" s="172" t="s">
        <v>304</v>
      </c>
      <c r="D727" s="173" t="s">
        <v>597</v>
      </c>
      <c r="E727" s="174"/>
      <c r="F727" s="174"/>
      <c r="G727" s="170"/>
      <c r="H727" s="172" t="s">
        <v>187</v>
      </c>
      <c r="I727" s="174"/>
      <c r="J727" s="174"/>
      <c r="K727" s="174"/>
      <c r="L727" s="174"/>
      <c r="M727" s="174"/>
      <c r="N727" s="174"/>
      <c r="O727" s="174"/>
      <c r="P727" s="174"/>
    </row>
    <row r="728">
      <c r="A728" s="170" t="s">
        <v>372</v>
      </c>
      <c r="B728" s="170" t="s">
        <v>832</v>
      </c>
      <c r="C728" s="172" t="s">
        <v>304</v>
      </c>
      <c r="D728" s="173" t="s">
        <v>598</v>
      </c>
      <c r="E728" s="174"/>
      <c r="F728" s="174"/>
      <c r="G728" s="170"/>
      <c r="H728" s="172" t="s">
        <v>187</v>
      </c>
      <c r="I728" s="174"/>
      <c r="J728" s="174"/>
      <c r="K728" s="174"/>
      <c r="L728" s="174"/>
      <c r="M728" s="174"/>
      <c r="N728" s="174"/>
      <c r="O728" s="174"/>
      <c r="P728" s="174"/>
    </row>
    <row r="729">
      <c r="A729" s="170" t="s">
        <v>373</v>
      </c>
      <c r="B729" s="170" t="s">
        <v>833</v>
      </c>
      <c r="C729" s="172" t="s">
        <v>306</v>
      </c>
      <c r="D729" s="173" t="s">
        <v>603</v>
      </c>
      <c r="E729" s="174"/>
      <c r="F729" s="174"/>
      <c r="G729" s="170"/>
      <c r="H729" s="172" t="s">
        <v>187</v>
      </c>
      <c r="I729" s="174"/>
      <c r="J729" s="174"/>
      <c r="K729" s="174"/>
      <c r="L729" s="174"/>
      <c r="M729" s="174"/>
      <c r="N729" s="174"/>
      <c r="O729" s="174"/>
      <c r="P729" s="174"/>
    </row>
    <row r="730">
      <c r="A730" s="170" t="s">
        <v>373</v>
      </c>
      <c r="B730" s="170" t="s">
        <v>834</v>
      </c>
      <c r="C730" s="172" t="s">
        <v>306</v>
      </c>
      <c r="D730" s="173" t="s">
        <v>604</v>
      </c>
      <c r="E730" s="174"/>
      <c r="F730" s="174"/>
      <c r="G730" s="170"/>
      <c r="H730" s="172" t="s">
        <v>187</v>
      </c>
      <c r="I730" s="174"/>
      <c r="J730" s="174"/>
      <c r="K730" s="174"/>
      <c r="L730" s="174"/>
      <c r="M730" s="174"/>
      <c r="N730" s="174"/>
      <c r="O730" s="174"/>
      <c r="P730" s="174"/>
    </row>
    <row r="731">
      <c r="A731" s="170" t="s">
        <v>373</v>
      </c>
      <c r="B731" s="170" t="s">
        <v>835</v>
      </c>
      <c r="C731" s="172" t="s">
        <v>306</v>
      </c>
      <c r="D731" s="173" t="s">
        <v>605</v>
      </c>
      <c r="E731" s="174"/>
      <c r="F731" s="174"/>
      <c r="G731" s="170"/>
      <c r="H731" s="172" t="s">
        <v>187</v>
      </c>
      <c r="I731" s="174"/>
      <c r="J731" s="174"/>
      <c r="K731" s="174"/>
      <c r="L731" s="174"/>
      <c r="M731" s="174"/>
      <c r="N731" s="174"/>
      <c r="O731" s="174"/>
      <c r="P731" s="174"/>
    </row>
    <row r="732">
      <c r="A732" s="170" t="s">
        <v>373</v>
      </c>
      <c r="B732" s="170" t="s">
        <v>836</v>
      </c>
      <c r="C732" s="172" t="s">
        <v>306</v>
      </c>
      <c r="D732" s="173" t="s">
        <v>606</v>
      </c>
      <c r="E732" s="174"/>
      <c r="F732" s="174"/>
      <c r="G732" s="170"/>
      <c r="H732" s="172" t="s">
        <v>187</v>
      </c>
      <c r="I732" s="174"/>
      <c r="J732" s="174"/>
      <c r="K732" s="174"/>
      <c r="L732" s="174"/>
      <c r="M732" s="174"/>
      <c r="N732" s="174"/>
      <c r="O732" s="174"/>
      <c r="P732" s="174"/>
    </row>
    <row r="733">
      <c r="A733" s="170" t="s">
        <v>373</v>
      </c>
      <c r="B733" s="170" t="s">
        <v>837</v>
      </c>
      <c r="C733" s="172" t="s">
        <v>306</v>
      </c>
      <c r="D733" s="173" t="s">
        <v>607</v>
      </c>
      <c r="E733" s="174"/>
      <c r="F733" s="174"/>
      <c r="G733" s="170"/>
      <c r="H733" s="172" t="s">
        <v>187</v>
      </c>
      <c r="I733" s="174"/>
      <c r="J733" s="174"/>
      <c r="K733" s="174"/>
      <c r="L733" s="174"/>
      <c r="M733" s="174"/>
      <c r="N733" s="174"/>
      <c r="O733" s="174"/>
      <c r="P733" s="174"/>
    </row>
    <row r="734">
      <c r="A734" s="170" t="s">
        <v>373</v>
      </c>
      <c r="B734" s="170" t="s">
        <v>838</v>
      </c>
      <c r="C734" s="172" t="s">
        <v>306</v>
      </c>
      <c r="D734" s="173" t="s">
        <v>608</v>
      </c>
      <c r="E734" s="174"/>
      <c r="F734" s="174"/>
      <c r="G734" s="170"/>
      <c r="H734" s="172" t="s">
        <v>187</v>
      </c>
      <c r="I734" s="174"/>
      <c r="J734" s="174"/>
      <c r="K734" s="174"/>
      <c r="L734" s="174"/>
      <c r="M734" s="174"/>
      <c r="N734" s="174"/>
      <c r="O734" s="174"/>
      <c r="P734" s="174"/>
    </row>
    <row r="735">
      <c r="A735" s="170" t="s">
        <v>373</v>
      </c>
      <c r="B735" s="170" t="s">
        <v>839</v>
      </c>
      <c r="C735" s="172" t="s">
        <v>306</v>
      </c>
      <c r="D735" s="173" t="s">
        <v>609</v>
      </c>
      <c r="E735" s="174"/>
      <c r="F735" s="174"/>
      <c r="G735" s="170"/>
      <c r="H735" s="172" t="s">
        <v>187</v>
      </c>
      <c r="I735" s="174"/>
      <c r="J735" s="174"/>
      <c r="K735" s="174"/>
      <c r="L735" s="174"/>
      <c r="M735" s="174"/>
      <c r="N735" s="174"/>
      <c r="O735" s="174"/>
      <c r="P735" s="174"/>
    </row>
    <row r="736">
      <c r="A736" s="170" t="s">
        <v>373</v>
      </c>
      <c r="B736" s="170" t="s">
        <v>840</v>
      </c>
      <c r="C736" s="172" t="s">
        <v>306</v>
      </c>
      <c r="D736" s="173" t="s">
        <v>610</v>
      </c>
      <c r="E736" s="174"/>
      <c r="F736" s="174"/>
      <c r="G736" s="170"/>
      <c r="H736" s="172" t="s">
        <v>187</v>
      </c>
      <c r="I736" s="174"/>
      <c r="J736" s="174"/>
      <c r="K736" s="174"/>
      <c r="L736" s="174"/>
      <c r="M736" s="174"/>
      <c r="N736" s="174"/>
      <c r="O736" s="174"/>
      <c r="P736" s="174"/>
    </row>
    <row r="737">
      <c r="A737" s="170" t="s">
        <v>373</v>
      </c>
      <c r="B737" s="170" t="s">
        <v>841</v>
      </c>
      <c r="C737" s="172" t="s">
        <v>306</v>
      </c>
      <c r="D737" s="173" t="s">
        <v>611</v>
      </c>
      <c r="E737" s="174"/>
      <c r="F737" s="174"/>
      <c r="G737" s="170"/>
      <c r="H737" s="172" t="s">
        <v>187</v>
      </c>
      <c r="I737" s="174"/>
      <c r="J737" s="174"/>
      <c r="K737" s="174"/>
      <c r="L737" s="174"/>
      <c r="M737" s="174"/>
      <c r="N737" s="174"/>
      <c r="O737" s="174"/>
      <c r="P737" s="174"/>
    </row>
    <row r="738">
      <c r="A738" s="170" t="s">
        <v>373</v>
      </c>
      <c r="B738" s="170" t="s">
        <v>842</v>
      </c>
      <c r="C738" s="172" t="s">
        <v>306</v>
      </c>
      <c r="D738" s="173" t="s">
        <v>586</v>
      </c>
      <c r="E738" s="174"/>
      <c r="F738" s="174"/>
      <c r="G738" s="170"/>
      <c r="H738" s="172" t="s">
        <v>187</v>
      </c>
      <c r="I738" s="174"/>
      <c r="J738" s="174"/>
      <c r="K738" s="174"/>
      <c r="L738" s="174"/>
      <c r="M738" s="174"/>
      <c r="N738" s="174"/>
      <c r="O738" s="174"/>
      <c r="P738" s="174"/>
    </row>
    <row r="739">
      <c r="A739" s="170" t="s">
        <v>374</v>
      </c>
      <c r="B739" s="170" t="s">
        <v>843</v>
      </c>
      <c r="C739" s="172" t="s">
        <v>309</v>
      </c>
      <c r="D739" s="173" t="s">
        <v>622</v>
      </c>
      <c r="E739" s="174"/>
      <c r="F739" s="174"/>
      <c r="G739" s="170"/>
      <c r="H739" s="172" t="s">
        <v>187</v>
      </c>
      <c r="I739" s="174"/>
      <c r="J739" s="174"/>
      <c r="K739" s="174"/>
      <c r="L739" s="174"/>
      <c r="M739" s="174"/>
      <c r="N739" s="174"/>
      <c r="O739" s="174"/>
      <c r="P739" s="174"/>
    </row>
    <row r="740">
      <c r="A740" s="170" t="s">
        <v>374</v>
      </c>
      <c r="B740" s="170" t="s">
        <v>844</v>
      </c>
      <c r="C740" s="172" t="s">
        <v>309</v>
      </c>
      <c r="D740" s="173" t="s">
        <v>845</v>
      </c>
      <c r="E740" s="174"/>
      <c r="F740" s="174"/>
      <c r="G740" s="170"/>
      <c r="H740" s="172" t="s">
        <v>187</v>
      </c>
      <c r="I740" s="174"/>
      <c r="J740" s="174"/>
      <c r="K740" s="174"/>
      <c r="L740" s="174"/>
      <c r="M740" s="174"/>
      <c r="N740" s="174"/>
      <c r="O740" s="174"/>
      <c r="P740" s="174"/>
    </row>
    <row r="741">
      <c r="A741" s="170" t="s">
        <v>374</v>
      </c>
      <c r="B741" s="170" t="s">
        <v>846</v>
      </c>
      <c r="C741" s="172" t="s">
        <v>309</v>
      </c>
      <c r="D741" s="173" t="s">
        <v>623</v>
      </c>
      <c r="E741" s="174"/>
      <c r="F741" s="174"/>
      <c r="G741" s="170"/>
      <c r="H741" s="172" t="s">
        <v>187</v>
      </c>
      <c r="I741" s="174"/>
      <c r="J741" s="174"/>
      <c r="K741" s="174"/>
      <c r="L741" s="174"/>
      <c r="M741" s="174"/>
      <c r="N741" s="174"/>
      <c r="O741" s="174"/>
      <c r="P741" s="174"/>
    </row>
    <row r="742">
      <c r="A742" s="170" t="s">
        <v>374</v>
      </c>
      <c r="B742" s="170" t="s">
        <v>847</v>
      </c>
      <c r="C742" s="172" t="s">
        <v>309</v>
      </c>
      <c r="D742" s="173" t="s">
        <v>624</v>
      </c>
      <c r="E742" s="174"/>
      <c r="F742" s="174"/>
      <c r="G742" s="170"/>
      <c r="H742" s="172" t="s">
        <v>187</v>
      </c>
      <c r="I742" s="174"/>
      <c r="J742" s="174"/>
      <c r="K742" s="174"/>
      <c r="L742" s="174"/>
      <c r="M742" s="174"/>
      <c r="N742" s="174"/>
      <c r="O742" s="174"/>
      <c r="P742" s="174"/>
    </row>
    <row r="743">
      <c r="A743" s="170" t="s">
        <v>374</v>
      </c>
      <c r="B743" s="170" t="s">
        <v>848</v>
      </c>
      <c r="C743" s="172" t="s">
        <v>309</v>
      </c>
      <c r="D743" s="173" t="s">
        <v>625</v>
      </c>
      <c r="E743" s="174"/>
      <c r="F743" s="174"/>
      <c r="G743" s="170"/>
      <c r="H743" s="172" t="s">
        <v>187</v>
      </c>
      <c r="I743" s="174"/>
      <c r="J743" s="174"/>
      <c r="K743" s="174"/>
      <c r="L743" s="174"/>
      <c r="M743" s="174"/>
      <c r="N743" s="174"/>
      <c r="O743" s="174"/>
      <c r="P743" s="174"/>
    </row>
    <row r="744">
      <c r="A744" s="170" t="s">
        <v>374</v>
      </c>
      <c r="B744" s="170" t="s">
        <v>849</v>
      </c>
      <c r="C744" s="172" t="s">
        <v>309</v>
      </c>
      <c r="D744" s="173" t="s">
        <v>626</v>
      </c>
      <c r="E744" s="174"/>
      <c r="F744" s="174"/>
      <c r="G744" s="170"/>
      <c r="H744" s="172" t="s">
        <v>187</v>
      </c>
      <c r="I744" s="174"/>
      <c r="J744" s="174"/>
      <c r="K744" s="174"/>
      <c r="L744" s="174"/>
      <c r="M744" s="174"/>
      <c r="N744" s="174"/>
      <c r="O744" s="174"/>
      <c r="P744" s="174"/>
    </row>
    <row r="745">
      <c r="A745" s="170" t="s">
        <v>374</v>
      </c>
      <c r="B745" s="170" t="s">
        <v>850</v>
      </c>
      <c r="C745" s="172" t="s">
        <v>309</v>
      </c>
      <c r="D745" s="173" t="s">
        <v>627</v>
      </c>
      <c r="E745" s="174"/>
      <c r="F745" s="174"/>
      <c r="G745" s="170"/>
      <c r="H745" s="172" t="s">
        <v>187</v>
      </c>
      <c r="I745" s="174"/>
      <c r="J745" s="174"/>
      <c r="K745" s="174"/>
      <c r="L745" s="174"/>
      <c r="M745" s="174"/>
      <c r="N745" s="174"/>
      <c r="O745" s="174"/>
      <c r="P745" s="174"/>
    </row>
    <row r="746">
      <c r="A746" s="170" t="s">
        <v>374</v>
      </c>
      <c r="B746" s="170" t="s">
        <v>851</v>
      </c>
      <c r="C746" s="172" t="s">
        <v>309</v>
      </c>
      <c r="D746" s="173" t="s">
        <v>628</v>
      </c>
      <c r="E746" s="174"/>
      <c r="F746" s="174"/>
      <c r="G746" s="170"/>
      <c r="H746" s="172" t="s">
        <v>187</v>
      </c>
      <c r="I746" s="174"/>
      <c r="J746" s="174"/>
      <c r="K746" s="174"/>
      <c r="L746" s="174"/>
      <c r="M746" s="174"/>
      <c r="N746" s="174"/>
      <c r="O746" s="174"/>
      <c r="P746" s="174"/>
    </row>
    <row r="747">
      <c r="A747" s="170" t="s">
        <v>375</v>
      </c>
      <c r="B747" s="170" t="s">
        <v>852</v>
      </c>
      <c r="C747" s="172" t="s">
        <v>310</v>
      </c>
      <c r="D747" s="173" t="s">
        <v>629</v>
      </c>
      <c r="E747" s="174"/>
      <c r="F747" s="174"/>
      <c r="G747" s="170"/>
      <c r="H747" s="172" t="s">
        <v>187</v>
      </c>
      <c r="I747" s="174"/>
      <c r="J747" s="174"/>
      <c r="K747" s="174"/>
      <c r="L747" s="174"/>
      <c r="M747" s="174"/>
      <c r="N747" s="174"/>
      <c r="O747" s="174"/>
      <c r="P747" s="174"/>
    </row>
    <row r="748">
      <c r="A748" s="170" t="s">
        <v>375</v>
      </c>
      <c r="B748" s="170" t="s">
        <v>853</v>
      </c>
      <c r="C748" s="172" t="s">
        <v>310</v>
      </c>
      <c r="D748" s="173" t="s">
        <v>630</v>
      </c>
      <c r="E748" s="174"/>
      <c r="F748" s="174"/>
      <c r="G748" s="170"/>
      <c r="H748" s="172" t="s">
        <v>187</v>
      </c>
      <c r="I748" s="174"/>
      <c r="J748" s="174"/>
      <c r="K748" s="174"/>
      <c r="L748" s="174"/>
      <c r="M748" s="174"/>
      <c r="N748" s="174"/>
      <c r="O748" s="174"/>
      <c r="P748" s="174"/>
    </row>
    <row r="749">
      <c r="A749" s="170" t="s">
        <v>375</v>
      </c>
      <c r="B749" s="170" t="s">
        <v>854</v>
      </c>
      <c r="C749" s="172" t="s">
        <v>310</v>
      </c>
      <c r="D749" s="173" t="s">
        <v>631</v>
      </c>
      <c r="E749" s="174"/>
      <c r="F749" s="174"/>
      <c r="G749" s="170"/>
      <c r="H749" s="172" t="s">
        <v>187</v>
      </c>
      <c r="I749" s="174"/>
      <c r="J749" s="174"/>
      <c r="K749" s="174"/>
      <c r="L749" s="174"/>
      <c r="M749" s="174"/>
      <c r="N749" s="174"/>
      <c r="O749" s="174"/>
      <c r="P749" s="174"/>
    </row>
    <row r="750">
      <c r="A750" s="170" t="s">
        <v>375</v>
      </c>
      <c r="B750" s="170" t="s">
        <v>855</v>
      </c>
      <c r="C750" s="172" t="s">
        <v>310</v>
      </c>
      <c r="D750" s="173" t="s">
        <v>632</v>
      </c>
      <c r="E750" s="174"/>
      <c r="F750" s="174"/>
      <c r="G750" s="170"/>
      <c r="H750" s="172" t="s">
        <v>187</v>
      </c>
      <c r="I750" s="174"/>
      <c r="J750" s="174"/>
      <c r="K750" s="174"/>
      <c r="L750" s="174"/>
      <c r="M750" s="174"/>
      <c r="N750" s="174"/>
      <c r="O750" s="174"/>
      <c r="P750" s="174"/>
    </row>
    <row r="751">
      <c r="A751" s="170" t="s">
        <v>375</v>
      </c>
      <c r="B751" s="170" t="s">
        <v>856</v>
      </c>
      <c r="C751" s="172" t="s">
        <v>310</v>
      </c>
      <c r="D751" s="173" t="s">
        <v>633</v>
      </c>
      <c r="E751" s="174"/>
      <c r="F751" s="174"/>
      <c r="G751" s="170"/>
      <c r="H751" s="172" t="s">
        <v>187</v>
      </c>
      <c r="I751" s="174"/>
      <c r="J751" s="174"/>
      <c r="K751" s="174"/>
      <c r="L751" s="174"/>
      <c r="M751" s="174"/>
      <c r="N751" s="174"/>
      <c r="O751" s="174"/>
      <c r="P751" s="174"/>
    </row>
    <row r="752">
      <c r="A752" s="170" t="s">
        <v>375</v>
      </c>
      <c r="B752" s="170" t="s">
        <v>857</v>
      </c>
      <c r="C752" s="172" t="s">
        <v>310</v>
      </c>
      <c r="D752" s="173" t="s">
        <v>634</v>
      </c>
      <c r="E752" s="174"/>
      <c r="F752" s="174"/>
      <c r="G752" s="170"/>
      <c r="H752" s="172" t="s">
        <v>187</v>
      </c>
      <c r="I752" s="174"/>
      <c r="J752" s="174"/>
      <c r="K752" s="174"/>
      <c r="L752" s="174"/>
      <c r="M752" s="174"/>
      <c r="N752" s="174"/>
      <c r="O752" s="174"/>
      <c r="P752" s="174"/>
    </row>
    <row r="753">
      <c r="A753" s="170" t="s">
        <v>375</v>
      </c>
      <c r="B753" s="170" t="s">
        <v>858</v>
      </c>
      <c r="C753" s="172" t="s">
        <v>310</v>
      </c>
      <c r="D753" s="173" t="s">
        <v>635</v>
      </c>
      <c r="E753" s="174"/>
      <c r="F753" s="174"/>
      <c r="G753" s="170"/>
      <c r="H753" s="172" t="s">
        <v>187</v>
      </c>
      <c r="I753" s="174"/>
      <c r="J753" s="174"/>
      <c r="K753" s="174"/>
      <c r="L753" s="174"/>
      <c r="M753" s="174"/>
      <c r="N753" s="174"/>
      <c r="O753" s="174"/>
      <c r="P753" s="174"/>
    </row>
    <row r="754">
      <c r="A754" s="170" t="s">
        <v>375</v>
      </c>
      <c r="B754" s="170" t="s">
        <v>859</v>
      </c>
      <c r="C754" s="172" t="s">
        <v>310</v>
      </c>
      <c r="D754" s="173" t="s">
        <v>636</v>
      </c>
      <c r="E754" s="174"/>
      <c r="F754" s="174"/>
      <c r="G754" s="170"/>
      <c r="H754" s="172" t="s">
        <v>187</v>
      </c>
      <c r="I754" s="174"/>
      <c r="J754" s="174"/>
      <c r="K754" s="174"/>
      <c r="L754" s="174"/>
      <c r="M754" s="174"/>
      <c r="N754" s="174"/>
      <c r="O754" s="174"/>
      <c r="P754" s="174"/>
    </row>
    <row r="755">
      <c r="A755" s="170" t="s">
        <v>376</v>
      </c>
      <c r="B755" s="170" t="s">
        <v>860</v>
      </c>
      <c r="C755" s="172" t="s">
        <v>314</v>
      </c>
      <c r="D755" s="173" t="s">
        <v>647</v>
      </c>
      <c r="E755" s="174"/>
      <c r="F755" s="174"/>
      <c r="G755" s="170"/>
      <c r="H755" s="172" t="s">
        <v>187</v>
      </c>
      <c r="I755" s="174"/>
      <c r="J755" s="174"/>
      <c r="K755" s="174"/>
      <c r="L755" s="174"/>
      <c r="M755" s="174"/>
      <c r="N755" s="174"/>
      <c r="O755" s="174"/>
      <c r="P755" s="174"/>
    </row>
    <row r="756">
      <c r="A756" s="170" t="s">
        <v>376</v>
      </c>
      <c r="B756" s="170" t="s">
        <v>861</v>
      </c>
      <c r="C756" s="172" t="s">
        <v>314</v>
      </c>
      <c r="D756" s="173" t="s">
        <v>648</v>
      </c>
      <c r="E756" s="174"/>
      <c r="F756" s="174"/>
      <c r="G756" s="170"/>
      <c r="H756" s="172" t="s">
        <v>187</v>
      </c>
      <c r="I756" s="174"/>
      <c r="J756" s="174"/>
      <c r="K756" s="174"/>
      <c r="L756" s="174"/>
      <c r="M756" s="174"/>
      <c r="N756" s="174"/>
      <c r="O756" s="174"/>
      <c r="P756" s="174"/>
    </row>
    <row r="757">
      <c r="A757" s="170" t="s">
        <v>376</v>
      </c>
      <c r="B757" s="170" t="s">
        <v>862</v>
      </c>
      <c r="C757" s="172" t="s">
        <v>314</v>
      </c>
      <c r="D757" s="173" t="s">
        <v>649</v>
      </c>
      <c r="E757" s="174"/>
      <c r="F757" s="174"/>
      <c r="G757" s="170"/>
      <c r="H757" s="172" t="s">
        <v>187</v>
      </c>
      <c r="I757" s="174"/>
      <c r="J757" s="174"/>
      <c r="K757" s="174"/>
      <c r="L757" s="174"/>
      <c r="M757" s="174"/>
      <c r="N757" s="174"/>
      <c r="O757" s="174"/>
      <c r="P757" s="174"/>
    </row>
    <row r="758">
      <c r="A758" s="170" t="s">
        <v>376</v>
      </c>
      <c r="B758" s="170" t="s">
        <v>863</v>
      </c>
      <c r="C758" s="172" t="s">
        <v>314</v>
      </c>
      <c r="D758" s="173" t="s">
        <v>650</v>
      </c>
      <c r="E758" s="174"/>
      <c r="F758" s="174"/>
      <c r="G758" s="170"/>
      <c r="H758" s="172" t="s">
        <v>187</v>
      </c>
      <c r="I758" s="174"/>
      <c r="J758" s="174"/>
      <c r="K758" s="174"/>
      <c r="L758" s="174"/>
      <c r="M758" s="174"/>
      <c r="N758" s="174"/>
      <c r="O758" s="174"/>
      <c r="P758" s="174"/>
    </row>
    <row r="759">
      <c r="A759" s="170" t="s">
        <v>376</v>
      </c>
      <c r="B759" s="170" t="s">
        <v>864</v>
      </c>
      <c r="C759" s="172" t="s">
        <v>314</v>
      </c>
      <c r="D759" s="173" t="s">
        <v>651</v>
      </c>
      <c r="E759" s="174"/>
      <c r="F759" s="174"/>
      <c r="G759" s="170"/>
      <c r="H759" s="172" t="s">
        <v>187</v>
      </c>
      <c r="I759" s="174"/>
      <c r="J759" s="174"/>
      <c r="K759" s="174"/>
      <c r="L759" s="174"/>
      <c r="M759" s="174"/>
      <c r="N759" s="174"/>
      <c r="O759" s="174"/>
      <c r="P759" s="174"/>
    </row>
    <row r="760">
      <c r="A760" s="170" t="s">
        <v>376</v>
      </c>
      <c r="B760" s="170" t="s">
        <v>865</v>
      </c>
      <c r="C760" s="172" t="s">
        <v>314</v>
      </c>
      <c r="D760" s="173" t="s">
        <v>652</v>
      </c>
      <c r="E760" s="174"/>
      <c r="F760" s="174"/>
      <c r="G760" s="170"/>
      <c r="H760" s="172" t="s">
        <v>187</v>
      </c>
      <c r="I760" s="174"/>
      <c r="J760" s="174"/>
      <c r="K760" s="174"/>
      <c r="L760" s="174"/>
      <c r="M760" s="174"/>
      <c r="N760" s="174"/>
      <c r="O760" s="174"/>
      <c r="P760" s="174"/>
    </row>
    <row r="761">
      <c r="A761" s="170" t="s">
        <v>376</v>
      </c>
      <c r="B761" s="170" t="s">
        <v>866</v>
      </c>
      <c r="C761" s="172" t="s">
        <v>314</v>
      </c>
      <c r="D761" s="173" t="s">
        <v>653</v>
      </c>
      <c r="E761" s="174"/>
      <c r="F761" s="174"/>
      <c r="G761" s="170"/>
      <c r="H761" s="172" t="s">
        <v>187</v>
      </c>
      <c r="I761" s="174"/>
      <c r="J761" s="174"/>
      <c r="K761" s="174"/>
      <c r="L761" s="174"/>
      <c r="M761" s="174"/>
      <c r="N761" s="174"/>
      <c r="O761" s="174"/>
      <c r="P761" s="174"/>
    </row>
    <row r="762">
      <c r="A762" s="170" t="s">
        <v>376</v>
      </c>
      <c r="B762" s="170" t="s">
        <v>867</v>
      </c>
      <c r="C762" s="172" t="s">
        <v>314</v>
      </c>
      <c r="D762" s="173" t="s">
        <v>654</v>
      </c>
      <c r="E762" s="174"/>
      <c r="F762" s="174"/>
      <c r="G762" s="170"/>
      <c r="H762" s="172" t="s">
        <v>187</v>
      </c>
      <c r="I762" s="174"/>
      <c r="J762" s="174"/>
      <c r="K762" s="174"/>
      <c r="L762" s="174"/>
      <c r="M762" s="174"/>
      <c r="N762" s="174"/>
      <c r="O762" s="174"/>
      <c r="P762" s="174"/>
    </row>
    <row r="763">
      <c r="A763" s="170" t="s">
        <v>377</v>
      </c>
      <c r="B763" s="170" t="s">
        <v>868</v>
      </c>
      <c r="C763" s="172" t="s">
        <v>315</v>
      </c>
      <c r="D763" s="173" t="s">
        <v>869</v>
      </c>
      <c r="E763" s="174"/>
      <c r="F763" s="174"/>
      <c r="G763" s="170"/>
      <c r="H763" s="172" t="s">
        <v>187</v>
      </c>
      <c r="I763" s="174"/>
      <c r="J763" s="174"/>
      <c r="K763" s="174"/>
      <c r="L763" s="174"/>
      <c r="M763" s="174"/>
      <c r="N763" s="174"/>
      <c r="O763" s="174"/>
      <c r="P763" s="174"/>
    </row>
    <row r="764">
      <c r="A764" s="170" t="s">
        <v>377</v>
      </c>
      <c r="B764" s="170" t="s">
        <v>870</v>
      </c>
      <c r="C764" s="172" t="s">
        <v>315</v>
      </c>
      <c r="D764" s="173" t="s">
        <v>661</v>
      </c>
      <c r="E764" s="174"/>
      <c r="F764" s="174"/>
      <c r="G764" s="170"/>
      <c r="H764" s="172" t="s">
        <v>187</v>
      </c>
      <c r="I764" s="174"/>
      <c r="J764" s="174"/>
      <c r="K764" s="174"/>
      <c r="L764" s="174"/>
      <c r="M764" s="174"/>
      <c r="N764" s="174"/>
      <c r="O764" s="174"/>
      <c r="P764" s="174"/>
    </row>
    <row r="765">
      <c r="A765" s="170" t="s">
        <v>377</v>
      </c>
      <c r="B765" s="170" t="s">
        <v>871</v>
      </c>
      <c r="C765" s="172" t="s">
        <v>315</v>
      </c>
      <c r="D765" s="173" t="s">
        <v>657</v>
      </c>
      <c r="E765" s="174"/>
      <c r="F765" s="174"/>
      <c r="G765" s="170"/>
      <c r="H765" s="172" t="s">
        <v>187</v>
      </c>
      <c r="I765" s="174"/>
      <c r="J765" s="174"/>
      <c r="K765" s="174"/>
      <c r="L765" s="174"/>
      <c r="M765" s="174"/>
      <c r="N765" s="174"/>
      <c r="O765" s="174"/>
      <c r="P765" s="174"/>
    </row>
    <row r="766">
      <c r="A766" s="170" t="s">
        <v>377</v>
      </c>
      <c r="B766" s="170" t="s">
        <v>872</v>
      </c>
      <c r="C766" s="172" t="s">
        <v>315</v>
      </c>
      <c r="D766" s="173" t="s">
        <v>663</v>
      </c>
      <c r="E766" s="174"/>
      <c r="F766" s="174"/>
      <c r="G766" s="170"/>
      <c r="H766" s="172" t="s">
        <v>187</v>
      </c>
      <c r="I766" s="174"/>
      <c r="J766" s="174"/>
      <c r="K766" s="174"/>
      <c r="L766" s="174"/>
      <c r="M766" s="174"/>
      <c r="N766" s="174"/>
      <c r="O766" s="174"/>
      <c r="P766" s="174"/>
    </row>
    <row r="767">
      <c r="A767" s="170" t="s">
        <v>378</v>
      </c>
      <c r="B767" s="170" t="s">
        <v>873</v>
      </c>
      <c r="C767" s="172" t="s">
        <v>330</v>
      </c>
      <c r="D767" s="173" t="s">
        <v>719</v>
      </c>
      <c r="E767" s="174"/>
      <c r="F767" s="174"/>
      <c r="G767" s="170"/>
      <c r="H767" s="172" t="s">
        <v>187</v>
      </c>
      <c r="I767" s="174"/>
      <c r="J767" s="174"/>
      <c r="K767" s="174"/>
      <c r="L767" s="174"/>
      <c r="M767" s="174"/>
      <c r="N767" s="174"/>
      <c r="O767" s="174"/>
      <c r="P767" s="174"/>
    </row>
    <row r="768">
      <c r="A768" s="170" t="s">
        <v>378</v>
      </c>
      <c r="B768" s="170" t="s">
        <v>874</v>
      </c>
      <c r="C768" s="172" t="s">
        <v>330</v>
      </c>
      <c r="D768" s="173" t="s">
        <v>720</v>
      </c>
      <c r="E768" s="174"/>
      <c r="F768" s="174"/>
      <c r="G768" s="170"/>
      <c r="H768" s="172" t="s">
        <v>187</v>
      </c>
      <c r="I768" s="174"/>
      <c r="J768" s="174"/>
      <c r="K768" s="174"/>
      <c r="L768" s="174"/>
      <c r="M768" s="174"/>
      <c r="N768" s="174"/>
      <c r="O768" s="174"/>
      <c r="P768" s="174"/>
    </row>
    <row r="769">
      <c r="A769" s="170" t="s">
        <v>378</v>
      </c>
      <c r="B769" s="170" t="s">
        <v>875</v>
      </c>
      <c r="C769" s="172" t="s">
        <v>330</v>
      </c>
      <c r="D769" s="173" t="s">
        <v>721</v>
      </c>
      <c r="E769" s="174"/>
      <c r="F769" s="174"/>
      <c r="G769" s="170"/>
      <c r="H769" s="172" t="s">
        <v>187</v>
      </c>
      <c r="I769" s="174"/>
      <c r="J769" s="174"/>
      <c r="K769" s="174"/>
      <c r="L769" s="174"/>
      <c r="M769" s="174"/>
      <c r="N769" s="174"/>
      <c r="O769" s="174"/>
      <c r="P769" s="174"/>
    </row>
    <row r="770">
      <c r="A770" s="170" t="s">
        <v>378</v>
      </c>
      <c r="B770" s="170" t="s">
        <v>876</v>
      </c>
      <c r="C770" s="172" t="s">
        <v>330</v>
      </c>
      <c r="D770" s="173" t="s">
        <v>716</v>
      </c>
      <c r="E770" s="174"/>
      <c r="F770" s="174"/>
      <c r="G770" s="170"/>
      <c r="H770" s="172" t="s">
        <v>187</v>
      </c>
      <c r="I770" s="174"/>
      <c r="J770" s="174"/>
      <c r="K770" s="174"/>
      <c r="L770" s="174"/>
      <c r="M770" s="174"/>
      <c r="N770" s="174"/>
      <c r="O770" s="174"/>
      <c r="P770" s="174"/>
    </row>
    <row r="771">
      <c r="A771" s="170" t="s">
        <v>378</v>
      </c>
      <c r="B771" s="170" t="s">
        <v>877</v>
      </c>
      <c r="C771" s="172" t="s">
        <v>330</v>
      </c>
      <c r="D771" s="173" t="s">
        <v>722</v>
      </c>
      <c r="E771" s="174"/>
      <c r="F771" s="174"/>
      <c r="G771" s="170"/>
      <c r="H771" s="172" t="s">
        <v>187</v>
      </c>
      <c r="I771" s="174"/>
      <c r="J771" s="174"/>
      <c r="K771" s="174"/>
      <c r="L771" s="174"/>
      <c r="M771" s="174"/>
      <c r="N771" s="174"/>
      <c r="O771" s="174"/>
      <c r="P771" s="174"/>
    </row>
    <row r="772">
      <c r="A772" s="170" t="s">
        <v>379</v>
      </c>
      <c r="B772" s="170" t="s">
        <v>878</v>
      </c>
      <c r="C772" s="172" t="s">
        <v>318</v>
      </c>
      <c r="D772" s="173" t="s">
        <v>879</v>
      </c>
      <c r="E772" s="174"/>
      <c r="F772" s="174"/>
      <c r="G772" s="170"/>
      <c r="H772" s="172" t="s">
        <v>187</v>
      </c>
      <c r="I772" s="174"/>
      <c r="J772" s="174"/>
      <c r="K772" s="174"/>
      <c r="L772" s="174"/>
      <c r="M772" s="174"/>
      <c r="N772" s="174"/>
      <c r="O772" s="174"/>
      <c r="P772" s="174"/>
    </row>
    <row r="773">
      <c r="A773" s="170" t="s">
        <v>379</v>
      </c>
      <c r="B773" s="170" t="s">
        <v>880</v>
      </c>
      <c r="C773" s="172" t="s">
        <v>318</v>
      </c>
      <c r="D773" s="173" t="s">
        <v>665</v>
      </c>
      <c r="E773" s="174"/>
      <c r="F773" s="174"/>
      <c r="G773" s="170"/>
      <c r="H773" s="172" t="s">
        <v>187</v>
      </c>
      <c r="I773" s="174"/>
      <c r="J773" s="174"/>
      <c r="K773" s="174"/>
      <c r="L773" s="174"/>
      <c r="M773" s="174"/>
      <c r="N773" s="174"/>
      <c r="O773" s="174"/>
      <c r="P773" s="174"/>
    </row>
    <row r="774">
      <c r="A774" s="170" t="s">
        <v>379</v>
      </c>
      <c r="B774" s="170" t="s">
        <v>881</v>
      </c>
      <c r="C774" s="172" t="s">
        <v>318</v>
      </c>
      <c r="D774" s="173" t="s">
        <v>666</v>
      </c>
      <c r="E774" s="174"/>
      <c r="F774" s="174"/>
      <c r="G774" s="170"/>
      <c r="H774" s="172" t="s">
        <v>187</v>
      </c>
      <c r="I774" s="174"/>
      <c r="J774" s="174"/>
      <c r="K774" s="174"/>
      <c r="L774" s="174"/>
      <c r="M774" s="174"/>
      <c r="N774" s="174"/>
      <c r="O774" s="174"/>
      <c r="P774" s="174"/>
    </row>
    <row r="775">
      <c r="A775" s="170" t="s">
        <v>379</v>
      </c>
      <c r="B775" s="170" t="s">
        <v>882</v>
      </c>
      <c r="C775" s="172" t="s">
        <v>318</v>
      </c>
      <c r="D775" s="173" t="s">
        <v>667</v>
      </c>
      <c r="E775" s="174"/>
      <c r="F775" s="174"/>
      <c r="G775" s="170"/>
      <c r="H775" s="172" t="s">
        <v>187</v>
      </c>
      <c r="I775" s="174"/>
      <c r="J775" s="174"/>
      <c r="K775" s="174"/>
      <c r="L775" s="174"/>
      <c r="M775" s="174"/>
      <c r="N775" s="174"/>
      <c r="O775" s="174"/>
      <c r="P775" s="174"/>
    </row>
    <row r="776">
      <c r="A776" s="170" t="s">
        <v>379</v>
      </c>
      <c r="B776" s="170" t="s">
        <v>883</v>
      </c>
      <c r="C776" s="172" t="s">
        <v>318</v>
      </c>
      <c r="D776" s="173" t="s">
        <v>668</v>
      </c>
      <c r="E776" s="174"/>
      <c r="F776" s="174"/>
      <c r="G776" s="170"/>
      <c r="H776" s="172" t="s">
        <v>187</v>
      </c>
      <c r="I776" s="174"/>
      <c r="J776" s="174"/>
      <c r="K776" s="174"/>
      <c r="L776" s="174"/>
      <c r="M776" s="174"/>
      <c r="N776" s="174"/>
      <c r="O776" s="174"/>
      <c r="P776" s="174"/>
    </row>
    <row r="777">
      <c r="A777" s="170" t="s">
        <v>379</v>
      </c>
      <c r="B777" s="170" t="s">
        <v>884</v>
      </c>
      <c r="C777" s="172" t="s">
        <v>318</v>
      </c>
      <c r="D777" s="173" t="s">
        <v>669</v>
      </c>
      <c r="E777" s="174"/>
      <c r="F777" s="174"/>
      <c r="G777" s="170"/>
      <c r="H777" s="172" t="s">
        <v>187</v>
      </c>
      <c r="I777" s="174"/>
      <c r="J777" s="174"/>
      <c r="K777" s="174"/>
      <c r="L777" s="174"/>
      <c r="M777" s="174"/>
      <c r="N777" s="174"/>
      <c r="O777" s="174"/>
      <c r="P777" s="174"/>
    </row>
    <row r="778">
      <c r="A778" s="170" t="s">
        <v>380</v>
      </c>
      <c r="B778" s="170" t="s">
        <v>885</v>
      </c>
      <c r="C778" s="172" t="s">
        <v>381</v>
      </c>
      <c r="D778" s="173" t="s">
        <v>670</v>
      </c>
      <c r="E778" s="174"/>
      <c r="F778" s="174"/>
      <c r="G778" s="170"/>
      <c r="H778" s="172" t="s">
        <v>187</v>
      </c>
      <c r="I778" s="174"/>
      <c r="J778" s="174"/>
      <c r="K778" s="174"/>
      <c r="L778" s="174"/>
      <c r="M778" s="174"/>
      <c r="N778" s="174"/>
      <c r="O778" s="174"/>
      <c r="P778" s="174"/>
    </row>
    <row r="779">
      <c r="A779" s="170" t="s">
        <v>380</v>
      </c>
      <c r="B779" s="170" t="s">
        <v>886</v>
      </c>
      <c r="C779" s="172" t="s">
        <v>319</v>
      </c>
      <c r="D779" s="173" t="s">
        <v>671</v>
      </c>
      <c r="E779" s="174"/>
      <c r="F779" s="174"/>
      <c r="G779" s="170"/>
      <c r="H779" s="172" t="s">
        <v>187</v>
      </c>
      <c r="I779" s="174"/>
      <c r="J779" s="174"/>
      <c r="K779" s="174"/>
      <c r="L779" s="174"/>
      <c r="M779" s="174"/>
      <c r="N779" s="174"/>
      <c r="O779" s="174"/>
      <c r="P779" s="174"/>
    </row>
    <row r="780">
      <c r="A780" s="170" t="s">
        <v>380</v>
      </c>
      <c r="B780" s="170" t="s">
        <v>887</v>
      </c>
      <c r="C780" s="172" t="s">
        <v>319</v>
      </c>
      <c r="D780" s="173" t="s">
        <v>672</v>
      </c>
      <c r="E780" s="174"/>
      <c r="F780" s="174"/>
      <c r="G780" s="170"/>
      <c r="H780" s="172" t="s">
        <v>187</v>
      </c>
      <c r="I780" s="174"/>
      <c r="J780" s="174"/>
      <c r="K780" s="174"/>
      <c r="L780" s="174"/>
      <c r="M780" s="174"/>
      <c r="N780" s="174"/>
      <c r="O780" s="174"/>
      <c r="P780" s="174"/>
    </row>
    <row r="781">
      <c r="A781" s="170" t="s">
        <v>380</v>
      </c>
      <c r="B781" s="170" t="s">
        <v>888</v>
      </c>
      <c r="C781" s="172" t="s">
        <v>319</v>
      </c>
      <c r="D781" s="173" t="s">
        <v>673</v>
      </c>
      <c r="E781" s="174"/>
      <c r="F781" s="174"/>
      <c r="G781" s="170"/>
      <c r="H781" s="172" t="s">
        <v>187</v>
      </c>
      <c r="I781" s="174"/>
      <c r="J781" s="174"/>
      <c r="K781" s="174"/>
      <c r="L781" s="174"/>
      <c r="M781" s="174"/>
      <c r="N781" s="174"/>
      <c r="O781" s="174"/>
      <c r="P781" s="174"/>
    </row>
    <row r="782">
      <c r="A782" s="170" t="s">
        <v>380</v>
      </c>
      <c r="B782" s="170" t="s">
        <v>889</v>
      </c>
      <c r="C782" s="172" t="s">
        <v>319</v>
      </c>
      <c r="D782" s="173" t="s">
        <v>674</v>
      </c>
      <c r="E782" s="174"/>
      <c r="F782" s="174"/>
      <c r="G782" s="170"/>
      <c r="H782" s="172" t="s">
        <v>187</v>
      </c>
      <c r="I782" s="174"/>
      <c r="J782" s="174"/>
      <c r="K782" s="174"/>
      <c r="L782" s="174"/>
      <c r="M782" s="174"/>
      <c r="N782" s="174"/>
      <c r="O782" s="174"/>
      <c r="P782" s="174"/>
    </row>
    <row r="783">
      <c r="A783" s="170" t="s">
        <v>382</v>
      </c>
      <c r="B783" s="170" t="s">
        <v>890</v>
      </c>
      <c r="C783" s="172" t="s">
        <v>383</v>
      </c>
      <c r="D783" s="173" t="s">
        <v>693</v>
      </c>
      <c r="E783" s="174"/>
      <c r="F783" s="174"/>
      <c r="G783" s="170"/>
      <c r="H783" s="172" t="s">
        <v>187</v>
      </c>
      <c r="I783" s="174"/>
      <c r="J783" s="174"/>
      <c r="K783" s="174"/>
      <c r="L783" s="174"/>
      <c r="M783" s="174"/>
      <c r="N783" s="174"/>
      <c r="O783" s="174"/>
      <c r="P783" s="174"/>
    </row>
    <row r="784">
      <c r="A784" s="170" t="s">
        <v>382</v>
      </c>
      <c r="B784" s="170" t="s">
        <v>891</v>
      </c>
      <c r="C784" s="172" t="s">
        <v>323</v>
      </c>
      <c r="D784" s="173" t="s">
        <v>694</v>
      </c>
      <c r="E784" s="174"/>
      <c r="F784" s="174"/>
      <c r="G784" s="170"/>
      <c r="H784" s="172" t="s">
        <v>187</v>
      </c>
      <c r="I784" s="174"/>
      <c r="J784" s="174"/>
      <c r="K784" s="174"/>
      <c r="L784" s="174"/>
      <c r="M784" s="174"/>
      <c r="N784" s="174"/>
      <c r="O784" s="174"/>
      <c r="P784" s="174"/>
    </row>
    <row r="785">
      <c r="A785" s="170" t="s">
        <v>382</v>
      </c>
      <c r="B785" s="170" t="s">
        <v>892</v>
      </c>
      <c r="C785" s="172" t="s">
        <v>323</v>
      </c>
      <c r="D785" s="173" t="s">
        <v>695</v>
      </c>
      <c r="E785" s="174"/>
      <c r="F785" s="174"/>
      <c r="G785" s="170"/>
      <c r="H785" s="172" t="s">
        <v>187</v>
      </c>
      <c r="I785" s="174"/>
      <c r="J785" s="174"/>
      <c r="K785" s="174"/>
      <c r="L785" s="174"/>
      <c r="M785" s="174"/>
      <c r="N785" s="174"/>
      <c r="O785" s="174"/>
      <c r="P785" s="174"/>
    </row>
    <row r="786">
      <c r="A786" s="170" t="s">
        <v>382</v>
      </c>
      <c r="B786" s="170" t="s">
        <v>893</v>
      </c>
      <c r="C786" s="172" t="s">
        <v>323</v>
      </c>
      <c r="D786" s="173" t="s">
        <v>696</v>
      </c>
      <c r="E786" s="174"/>
      <c r="F786" s="174"/>
      <c r="G786" s="170"/>
      <c r="H786" s="172" t="s">
        <v>187</v>
      </c>
      <c r="I786" s="174"/>
      <c r="J786" s="174"/>
      <c r="K786" s="174"/>
      <c r="L786" s="174"/>
      <c r="M786" s="174"/>
      <c r="N786" s="174"/>
      <c r="O786" s="174"/>
      <c r="P786" s="174"/>
    </row>
    <row r="787">
      <c r="A787" s="170" t="s">
        <v>382</v>
      </c>
      <c r="B787" s="170" t="s">
        <v>894</v>
      </c>
      <c r="C787" s="172" t="s">
        <v>323</v>
      </c>
      <c r="D787" s="173" t="s">
        <v>663</v>
      </c>
      <c r="E787" s="174"/>
      <c r="F787" s="174"/>
      <c r="G787" s="170"/>
      <c r="H787" s="172" t="s">
        <v>187</v>
      </c>
      <c r="I787" s="174"/>
      <c r="J787" s="174"/>
      <c r="K787" s="174"/>
      <c r="L787" s="174"/>
      <c r="M787" s="174"/>
      <c r="N787" s="174"/>
      <c r="O787" s="174"/>
      <c r="P787" s="174"/>
    </row>
    <row r="788">
      <c r="A788" s="170" t="s">
        <v>384</v>
      </c>
      <c r="B788" s="170" t="s">
        <v>895</v>
      </c>
      <c r="C788" s="172" t="s">
        <v>896</v>
      </c>
      <c r="D788" s="173" t="s">
        <v>897</v>
      </c>
      <c r="E788" s="174"/>
      <c r="F788" s="174"/>
      <c r="G788" s="170"/>
      <c r="H788" s="172" t="s">
        <v>187</v>
      </c>
      <c r="I788" s="174"/>
      <c r="J788" s="174"/>
      <c r="K788" s="174"/>
      <c r="L788" s="174"/>
      <c r="M788" s="174"/>
      <c r="N788" s="174"/>
      <c r="O788" s="174"/>
      <c r="P788" s="174"/>
    </row>
    <row r="789">
      <c r="A789" s="170" t="s">
        <v>384</v>
      </c>
      <c r="B789" s="170" t="s">
        <v>898</v>
      </c>
      <c r="C789" s="172" t="s">
        <v>896</v>
      </c>
      <c r="D789" s="173" t="s">
        <v>899</v>
      </c>
      <c r="E789" s="174"/>
      <c r="F789" s="174"/>
      <c r="G789" s="170"/>
      <c r="H789" s="172" t="s">
        <v>187</v>
      </c>
      <c r="I789" s="174"/>
      <c r="J789" s="174"/>
      <c r="K789" s="174"/>
      <c r="L789" s="174"/>
      <c r="M789" s="174"/>
      <c r="N789" s="174"/>
      <c r="O789" s="174"/>
      <c r="P789" s="174"/>
    </row>
    <row r="790">
      <c r="A790" s="170" t="s">
        <v>384</v>
      </c>
      <c r="B790" s="170" t="s">
        <v>900</v>
      </c>
      <c r="C790" s="172" t="s">
        <v>896</v>
      </c>
      <c r="D790" s="173" t="s">
        <v>901</v>
      </c>
      <c r="E790" s="174"/>
      <c r="F790" s="174"/>
      <c r="G790" s="170"/>
      <c r="H790" s="172" t="s">
        <v>187</v>
      </c>
      <c r="I790" s="174"/>
      <c r="J790" s="174"/>
      <c r="K790" s="174"/>
      <c r="L790" s="174"/>
      <c r="M790" s="174"/>
      <c r="N790" s="174"/>
      <c r="O790" s="174"/>
      <c r="P790" s="174"/>
    </row>
    <row r="791">
      <c r="A791" s="170" t="s">
        <v>384</v>
      </c>
      <c r="B791" s="170" t="s">
        <v>902</v>
      </c>
      <c r="C791" s="172" t="s">
        <v>896</v>
      </c>
      <c r="D791" s="173" t="s">
        <v>903</v>
      </c>
      <c r="E791" s="174"/>
      <c r="F791" s="174"/>
      <c r="G791" s="170"/>
      <c r="H791" s="172" t="s">
        <v>187</v>
      </c>
      <c r="I791" s="174"/>
      <c r="J791" s="174"/>
      <c r="K791" s="174"/>
      <c r="L791" s="174"/>
      <c r="M791" s="174"/>
      <c r="N791" s="174"/>
      <c r="O791" s="174"/>
      <c r="P791" s="174"/>
    </row>
    <row r="792">
      <c r="A792" s="170" t="s">
        <v>386</v>
      </c>
      <c r="B792" s="170" t="s">
        <v>904</v>
      </c>
      <c r="C792" s="172" t="s">
        <v>905</v>
      </c>
      <c r="D792" s="173" t="s">
        <v>906</v>
      </c>
      <c r="E792" s="174"/>
      <c r="F792" s="174"/>
      <c r="G792" s="170"/>
      <c r="H792" s="172" t="s">
        <v>187</v>
      </c>
      <c r="I792" s="174"/>
      <c r="J792" s="174"/>
      <c r="K792" s="174"/>
      <c r="L792" s="174"/>
      <c r="M792" s="174"/>
      <c r="N792" s="174"/>
      <c r="O792" s="174"/>
      <c r="P792" s="174"/>
    </row>
    <row r="793">
      <c r="A793" s="170" t="s">
        <v>386</v>
      </c>
      <c r="B793" s="170" t="s">
        <v>907</v>
      </c>
      <c r="C793" s="172" t="s">
        <v>905</v>
      </c>
      <c r="D793" s="173" t="s">
        <v>908</v>
      </c>
      <c r="E793" s="174"/>
      <c r="F793" s="174"/>
      <c r="G793" s="170"/>
      <c r="H793" s="172" t="s">
        <v>187</v>
      </c>
      <c r="I793" s="174"/>
      <c r="J793" s="174"/>
      <c r="K793" s="174"/>
      <c r="L793" s="174"/>
      <c r="M793" s="174"/>
      <c r="N793" s="174"/>
      <c r="O793" s="174"/>
      <c r="P793" s="174"/>
    </row>
    <row r="794">
      <c r="A794" s="170" t="s">
        <v>386</v>
      </c>
      <c r="B794" s="170" t="s">
        <v>909</v>
      </c>
      <c r="C794" s="172" t="s">
        <v>905</v>
      </c>
      <c r="D794" s="173" t="s">
        <v>546</v>
      </c>
      <c r="E794" s="174"/>
      <c r="F794" s="174"/>
      <c r="G794" s="170"/>
      <c r="H794" s="172" t="s">
        <v>187</v>
      </c>
      <c r="I794" s="174"/>
      <c r="J794" s="174"/>
      <c r="K794" s="174"/>
      <c r="L794" s="174"/>
      <c r="M794" s="174"/>
      <c r="N794" s="174"/>
      <c r="O794" s="174"/>
      <c r="P794" s="174"/>
    </row>
    <row r="795">
      <c r="A795" s="170" t="s">
        <v>386</v>
      </c>
      <c r="B795" s="170" t="s">
        <v>910</v>
      </c>
      <c r="C795" s="172" t="s">
        <v>905</v>
      </c>
      <c r="D795" s="173" t="s">
        <v>547</v>
      </c>
      <c r="E795" s="174"/>
      <c r="F795" s="174"/>
      <c r="G795" s="170"/>
      <c r="H795" s="172" t="s">
        <v>187</v>
      </c>
      <c r="I795" s="174"/>
      <c r="J795" s="174"/>
      <c r="K795" s="174"/>
      <c r="L795" s="174"/>
      <c r="M795" s="174"/>
      <c r="N795" s="174"/>
      <c r="O795" s="174"/>
      <c r="P795" s="174"/>
    </row>
    <row r="796">
      <c r="A796" s="170" t="s">
        <v>386</v>
      </c>
      <c r="B796" s="170" t="s">
        <v>911</v>
      </c>
      <c r="C796" s="172" t="s">
        <v>905</v>
      </c>
      <c r="D796" s="173" t="s">
        <v>446</v>
      </c>
      <c r="E796" s="174"/>
      <c r="F796" s="174"/>
      <c r="G796" s="170"/>
      <c r="H796" s="172" t="s">
        <v>187</v>
      </c>
      <c r="I796" s="174"/>
      <c r="J796" s="174"/>
      <c r="K796" s="174"/>
      <c r="L796" s="174"/>
      <c r="M796" s="174"/>
      <c r="N796" s="174"/>
      <c r="O796" s="174"/>
      <c r="P796" s="174"/>
    </row>
    <row r="797">
      <c r="A797" s="170" t="s">
        <v>388</v>
      </c>
      <c r="B797" s="170" t="s">
        <v>912</v>
      </c>
      <c r="C797" s="172" t="s">
        <v>381</v>
      </c>
      <c r="D797" s="173" t="s">
        <v>670</v>
      </c>
      <c r="E797" s="174"/>
      <c r="F797" s="174"/>
      <c r="G797" s="170"/>
      <c r="H797" s="172" t="s">
        <v>187</v>
      </c>
      <c r="I797" s="174"/>
      <c r="J797" s="174"/>
      <c r="K797" s="174"/>
      <c r="L797" s="174"/>
      <c r="M797" s="174"/>
      <c r="N797" s="174"/>
      <c r="O797" s="174"/>
      <c r="P797" s="174"/>
    </row>
    <row r="798">
      <c r="A798" s="170" t="s">
        <v>388</v>
      </c>
      <c r="B798" s="170" t="s">
        <v>913</v>
      </c>
      <c r="C798" s="172" t="s">
        <v>319</v>
      </c>
      <c r="D798" s="173" t="s">
        <v>671</v>
      </c>
      <c r="E798" s="174"/>
      <c r="F798" s="174"/>
      <c r="G798" s="170"/>
      <c r="H798" s="172" t="s">
        <v>187</v>
      </c>
      <c r="I798" s="174"/>
      <c r="J798" s="174"/>
      <c r="K798" s="174"/>
      <c r="L798" s="174"/>
      <c r="M798" s="174"/>
      <c r="N798" s="174"/>
      <c r="O798" s="174"/>
      <c r="P798" s="174"/>
    </row>
    <row r="799">
      <c r="A799" s="170" t="s">
        <v>388</v>
      </c>
      <c r="B799" s="170" t="s">
        <v>914</v>
      </c>
      <c r="C799" s="172" t="s">
        <v>319</v>
      </c>
      <c r="D799" s="173" t="s">
        <v>672</v>
      </c>
      <c r="E799" s="174"/>
      <c r="F799" s="174"/>
      <c r="G799" s="170"/>
      <c r="H799" s="172" t="s">
        <v>187</v>
      </c>
      <c r="I799" s="174"/>
      <c r="J799" s="174"/>
      <c r="K799" s="174"/>
      <c r="L799" s="174"/>
      <c r="M799" s="174"/>
      <c r="N799" s="174"/>
      <c r="O799" s="174"/>
      <c r="P799" s="174"/>
    </row>
    <row r="800">
      <c r="A800" s="170" t="s">
        <v>388</v>
      </c>
      <c r="B800" s="170" t="s">
        <v>915</v>
      </c>
      <c r="C800" s="172" t="s">
        <v>319</v>
      </c>
      <c r="D800" s="173" t="s">
        <v>673</v>
      </c>
      <c r="E800" s="174"/>
      <c r="F800" s="174"/>
      <c r="G800" s="170"/>
      <c r="H800" s="172" t="s">
        <v>187</v>
      </c>
      <c r="I800" s="174"/>
      <c r="J800" s="174"/>
      <c r="K800" s="174"/>
      <c r="L800" s="174"/>
      <c r="M800" s="174"/>
      <c r="N800" s="174"/>
      <c r="O800" s="174"/>
      <c r="P800" s="174"/>
    </row>
    <row r="801">
      <c r="A801" s="170" t="s">
        <v>388</v>
      </c>
      <c r="B801" s="170" t="s">
        <v>916</v>
      </c>
      <c r="C801" s="172" t="s">
        <v>319</v>
      </c>
      <c r="D801" s="173" t="s">
        <v>674</v>
      </c>
      <c r="E801" s="174"/>
      <c r="F801" s="174"/>
      <c r="G801" s="170"/>
      <c r="H801" s="172" t="s">
        <v>187</v>
      </c>
      <c r="I801" s="174"/>
      <c r="J801" s="174"/>
      <c r="K801" s="174"/>
      <c r="L801" s="174"/>
      <c r="M801" s="174"/>
      <c r="N801" s="174"/>
      <c r="O801" s="174"/>
      <c r="P801" s="174"/>
    </row>
    <row r="802">
      <c r="A802" s="170" t="s">
        <v>390</v>
      </c>
      <c r="B802" s="170" t="s">
        <v>917</v>
      </c>
      <c r="C802" s="172" t="s">
        <v>918</v>
      </c>
      <c r="D802" s="173" t="s">
        <v>603</v>
      </c>
      <c r="E802" s="174"/>
      <c r="F802" s="174"/>
      <c r="G802" s="170"/>
      <c r="H802" s="172" t="s">
        <v>187</v>
      </c>
      <c r="I802" s="174"/>
      <c r="J802" s="174"/>
      <c r="K802" s="174"/>
      <c r="L802" s="174"/>
      <c r="M802" s="174"/>
      <c r="N802" s="174"/>
      <c r="O802" s="174"/>
      <c r="P802" s="174"/>
    </row>
    <row r="803">
      <c r="A803" s="170" t="s">
        <v>390</v>
      </c>
      <c r="B803" s="170" t="s">
        <v>919</v>
      </c>
      <c r="C803" s="172" t="s">
        <v>918</v>
      </c>
      <c r="D803" s="173" t="s">
        <v>612</v>
      </c>
      <c r="E803" s="174"/>
      <c r="F803" s="174"/>
      <c r="G803" s="170"/>
      <c r="H803" s="172" t="s">
        <v>187</v>
      </c>
      <c r="I803" s="174"/>
      <c r="J803" s="174"/>
      <c r="K803" s="174"/>
      <c r="L803" s="174"/>
      <c r="M803" s="174"/>
      <c r="N803" s="174"/>
      <c r="O803" s="174"/>
      <c r="P803" s="174"/>
    </row>
    <row r="804">
      <c r="A804" s="170" t="s">
        <v>390</v>
      </c>
      <c r="B804" s="170" t="s">
        <v>920</v>
      </c>
      <c r="C804" s="172" t="s">
        <v>918</v>
      </c>
      <c r="D804" s="173" t="s">
        <v>613</v>
      </c>
      <c r="E804" s="174"/>
      <c r="F804" s="174"/>
      <c r="G804" s="170"/>
      <c r="H804" s="172" t="s">
        <v>187</v>
      </c>
      <c r="I804" s="174"/>
      <c r="J804" s="174"/>
      <c r="K804" s="174"/>
      <c r="L804" s="174"/>
      <c r="M804" s="174"/>
      <c r="N804" s="174"/>
      <c r="O804" s="174"/>
      <c r="P804" s="174"/>
    </row>
    <row r="805">
      <c r="A805" s="170" t="s">
        <v>390</v>
      </c>
      <c r="B805" s="170" t="s">
        <v>921</v>
      </c>
      <c r="C805" s="172" t="s">
        <v>918</v>
      </c>
      <c r="D805" s="173" t="s">
        <v>614</v>
      </c>
      <c r="E805" s="174"/>
      <c r="F805" s="174"/>
      <c r="G805" s="170"/>
      <c r="H805" s="172" t="s">
        <v>187</v>
      </c>
      <c r="I805" s="174"/>
      <c r="J805" s="174"/>
      <c r="K805" s="174"/>
      <c r="L805" s="174"/>
      <c r="M805" s="174"/>
      <c r="N805" s="174"/>
      <c r="O805" s="174"/>
      <c r="P805" s="174"/>
    </row>
    <row r="806">
      <c r="A806" s="170" t="s">
        <v>390</v>
      </c>
      <c r="B806" s="170" t="s">
        <v>922</v>
      </c>
      <c r="C806" s="172" t="s">
        <v>918</v>
      </c>
      <c r="D806" s="173" t="s">
        <v>923</v>
      </c>
      <c r="E806" s="174"/>
      <c r="F806" s="174"/>
      <c r="G806" s="170"/>
      <c r="H806" s="172" t="s">
        <v>187</v>
      </c>
      <c r="I806" s="174"/>
      <c r="J806" s="174"/>
      <c r="K806" s="174"/>
      <c r="L806" s="174"/>
      <c r="M806" s="174"/>
      <c r="N806" s="174"/>
      <c r="O806" s="174"/>
      <c r="P806" s="174"/>
    </row>
    <row r="807">
      <c r="A807" s="170" t="s">
        <v>390</v>
      </c>
      <c r="B807" s="170" t="s">
        <v>924</v>
      </c>
      <c r="C807" s="172" t="s">
        <v>918</v>
      </c>
      <c r="D807" s="173" t="s">
        <v>616</v>
      </c>
      <c r="E807" s="174"/>
      <c r="F807" s="174"/>
      <c r="G807" s="170"/>
      <c r="H807" s="172" t="s">
        <v>187</v>
      </c>
      <c r="I807" s="174"/>
      <c r="J807" s="174"/>
      <c r="K807" s="174"/>
      <c r="L807" s="174"/>
      <c r="M807" s="174"/>
      <c r="N807" s="174"/>
      <c r="O807" s="174"/>
      <c r="P807" s="174"/>
    </row>
    <row r="808">
      <c r="A808" s="170" t="s">
        <v>390</v>
      </c>
      <c r="B808" s="170" t="s">
        <v>925</v>
      </c>
      <c r="C808" s="172" t="s">
        <v>918</v>
      </c>
      <c r="D808" s="173" t="s">
        <v>784</v>
      </c>
      <c r="E808" s="174"/>
      <c r="F808" s="174"/>
      <c r="G808" s="170"/>
      <c r="H808" s="172" t="s">
        <v>187</v>
      </c>
      <c r="I808" s="174"/>
      <c r="J808" s="174"/>
      <c r="K808" s="174"/>
      <c r="L808" s="174"/>
      <c r="M808" s="174"/>
      <c r="N808" s="174"/>
      <c r="O808" s="174"/>
      <c r="P808" s="174"/>
    </row>
    <row r="809">
      <c r="A809" s="170" t="s">
        <v>390</v>
      </c>
      <c r="B809" s="170" t="s">
        <v>926</v>
      </c>
      <c r="C809" s="172" t="s">
        <v>918</v>
      </c>
      <c r="D809" s="173" t="s">
        <v>618</v>
      </c>
      <c r="E809" s="174"/>
      <c r="F809" s="174"/>
      <c r="G809" s="170"/>
      <c r="H809" s="172" t="s">
        <v>187</v>
      </c>
      <c r="I809" s="174"/>
      <c r="J809" s="174"/>
      <c r="K809" s="174"/>
      <c r="L809" s="174"/>
      <c r="M809" s="174"/>
      <c r="N809" s="174"/>
      <c r="O809" s="174"/>
      <c r="P809" s="174"/>
    </row>
    <row r="810">
      <c r="A810" s="170" t="s">
        <v>390</v>
      </c>
      <c r="B810" s="170" t="s">
        <v>927</v>
      </c>
      <c r="C810" s="172" t="s">
        <v>918</v>
      </c>
      <c r="D810" s="173" t="s">
        <v>619</v>
      </c>
      <c r="E810" s="174"/>
      <c r="F810" s="174"/>
      <c r="G810" s="170"/>
      <c r="H810" s="172" t="s">
        <v>187</v>
      </c>
      <c r="I810" s="174"/>
      <c r="J810" s="174"/>
      <c r="K810" s="174"/>
      <c r="L810" s="174"/>
      <c r="M810" s="174"/>
      <c r="N810" s="174"/>
      <c r="O810" s="174"/>
      <c r="P810" s="174"/>
    </row>
    <row r="811">
      <c r="A811" s="170" t="s">
        <v>392</v>
      </c>
      <c r="B811" s="170" t="s">
        <v>928</v>
      </c>
      <c r="C811" s="172" t="s">
        <v>393</v>
      </c>
      <c r="D811" s="173" t="s">
        <v>929</v>
      </c>
      <c r="E811" s="174"/>
      <c r="F811" s="174"/>
      <c r="G811" s="170"/>
      <c r="H811" s="172" t="s">
        <v>187</v>
      </c>
      <c r="I811" s="174"/>
      <c r="J811" s="174"/>
      <c r="K811" s="174"/>
      <c r="L811" s="174"/>
      <c r="M811" s="174"/>
      <c r="N811" s="174"/>
      <c r="O811" s="174"/>
      <c r="P811" s="174"/>
    </row>
    <row r="812">
      <c r="A812" s="170" t="s">
        <v>392</v>
      </c>
      <c r="B812" s="170" t="s">
        <v>930</v>
      </c>
      <c r="C812" s="172" t="s">
        <v>393</v>
      </c>
      <c r="D812" s="173" t="s">
        <v>931</v>
      </c>
      <c r="E812" s="174"/>
      <c r="F812" s="174"/>
      <c r="G812" s="170"/>
      <c r="H812" s="172" t="s">
        <v>187</v>
      </c>
      <c r="I812" s="174"/>
      <c r="J812" s="174"/>
      <c r="K812" s="174"/>
      <c r="L812" s="174"/>
      <c r="M812" s="174"/>
      <c r="N812" s="174"/>
      <c r="O812" s="174"/>
      <c r="P812" s="174"/>
    </row>
    <row r="813">
      <c r="A813" s="170" t="s">
        <v>392</v>
      </c>
      <c r="B813" s="170" t="s">
        <v>932</v>
      </c>
      <c r="C813" s="172" t="s">
        <v>393</v>
      </c>
      <c r="D813" s="173" t="s">
        <v>933</v>
      </c>
      <c r="E813" s="174"/>
      <c r="F813" s="174"/>
      <c r="G813" s="170"/>
      <c r="H813" s="172" t="s">
        <v>187</v>
      </c>
      <c r="I813" s="174"/>
      <c r="J813" s="174"/>
      <c r="K813" s="174"/>
      <c r="L813" s="174"/>
      <c r="M813" s="174"/>
      <c r="N813" s="174"/>
      <c r="O813" s="174"/>
      <c r="P813" s="174"/>
    </row>
    <row r="814">
      <c r="A814" s="170" t="s">
        <v>392</v>
      </c>
      <c r="B814" s="170" t="s">
        <v>934</v>
      </c>
      <c r="C814" s="172" t="s">
        <v>393</v>
      </c>
      <c r="D814" s="173" t="s">
        <v>935</v>
      </c>
      <c r="E814" s="174"/>
      <c r="F814" s="174"/>
      <c r="G814" s="170"/>
      <c r="H814" s="172" t="s">
        <v>187</v>
      </c>
      <c r="I814" s="174"/>
      <c r="J814" s="174"/>
      <c r="K814" s="174"/>
      <c r="L814" s="174"/>
      <c r="M814" s="174"/>
      <c r="N814" s="174"/>
      <c r="O814" s="174"/>
      <c r="P814" s="174"/>
    </row>
    <row r="815">
      <c r="A815" s="170" t="s">
        <v>392</v>
      </c>
      <c r="B815" s="170" t="s">
        <v>936</v>
      </c>
      <c r="C815" s="172" t="s">
        <v>393</v>
      </c>
      <c r="D815" s="173" t="s">
        <v>721</v>
      </c>
      <c r="E815" s="174"/>
      <c r="F815" s="174"/>
      <c r="G815" s="170"/>
      <c r="H815" s="172" t="s">
        <v>187</v>
      </c>
      <c r="I815" s="174"/>
      <c r="J815" s="174"/>
      <c r="K815" s="174"/>
      <c r="L815" s="174"/>
      <c r="M815" s="174"/>
      <c r="N815" s="174"/>
      <c r="O815" s="174"/>
      <c r="P815" s="174"/>
    </row>
    <row r="816">
      <c r="A816" s="170" t="s">
        <v>392</v>
      </c>
      <c r="B816" s="170" t="s">
        <v>937</v>
      </c>
      <c r="C816" s="172" t="s">
        <v>393</v>
      </c>
      <c r="D816" s="173" t="s">
        <v>716</v>
      </c>
      <c r="E816" s="174"/>
      <c r="F816" s="174"/>
      <c r="G816" s="170"/>
      <c r="H816" s="172" t="s">
        <v>187</v>
      </c>
      <c r="I816" s="174"/>
      <c r="J816" s="174"/>
      <c r="K816" s="174"/>
      <c r="L816" s="174"/>
      <c r="M816" s="174"/>
      <c r="N816" s="174"/>
      <c r="O816" s="174"/>
      <c r="P816" s="174"/>
    </row>
    <row r="817">
      <c r="A817" s="170" t="s">
        <v>392</v>
      </c>
      <c r="B817" s="170" t="s">
        <v>938</v>
      </c>
      <c r="C817" s="172" t="s">
        <v>393</v>
      </c>
      <c r="D817" s="173" t="s">
        <v>722</v>
      </c>
      <c r="E817" s="174"/>
      <c r="F817" s="174"/>
      <c r="G817" s="170"/>
      <c r="H817" s="172" t="s">
        <v>187</v>
      </c>
      <c r="I817" s="174"/>
      <c r="J817" s="174"/>
      <c r="K817" s="174"/>
      <c r="L817" s="174"/>
      <c r="M817" s="174"/>
      <c r="N817" s="174"/>
      <c r="O817" s="174"/>
      <c r="P817" s="174"/>
    </row>
    <row r="818">
      <c r="A818" s="170" t="s">
        <v>394</v>
      </c>
      <c r="B818" s="170" t="s">
        <v>939</v>
      </c>
      <c r="C818" s="172" t="s">
        <v>337</v>
      </c>
      <c r="D818" s="173" t="s">
        <v>761</v>
      </c>
      <c r="E818" s="174"/>
      <c r="F818" s="174"/>
      <c r="G818" s="170"/>
      <c r="H818" s="172" t="s">
        <v>187</v>
      </c>
      <c r="I818" s="174"/>
      <c r="J818" s="174"/>
      <c r="K818" s="174"/>
      <c r="L818" s="174"/>
      <c r="M818" s="174"/>
      <c r="N818" s="174"/>
      <c r="O818" s="174"/>
      <c r="P818" s="174"/>
    </row>
    <row r="819">
      <c r="A819" s="170" t="s">
        <v>394</v>
      </c>
      <c r="B819" s="170" t="s">
        <v>940</v>
      </c>
      <c r="C819" s="172" t="s">
        <v>337</v>
      </c>
      <c r="D819" s="173" t="s">
        <v>762</v>
      </c>
      <c r="E819" s="174"/>
      <c r="F819" s="174"/>
      <c r="G819" s="170"/>
      <c r="H819" s="172" t="s">
        <v>187</v>
      </c>
      <c r="I819" s="174"/>
      <c r="J819" s="174"/>
      <c r="K819" s="174"/>
      <c r="L819" s="174"/>
      <c r="M819" s="174"/>
      <c r="N819" s="174"/>
      <c r="O819" s="174"/>
      <c r="P819" s="174"/>
    </row>
    <row r="820">
      <c r="A820" s="170" t="s">
        <v>394</v>
      </c>
      <c r="B820" s="170" t="s">
        <v>941</v>
      </c>
      <c r="C820" s="172" t="s">
        <v>337</v>
      </c>
      <c r="D820" s="173" t="s">
        <v>763</v>
      </c>
      <c r="E820" s="174"/>
      <c r="F820" s="174"/>
      <c r="G820" s="170"/>
      <c r="H820" s="172" t="s">
        <v>187</v>
      </c>
      <c r="I820" s="174"/>
      <c r="J820" s="174"/>
      <c r="K820" s="174"/>
      <c r="L820" s="174"/>
      <c r="M820" s="174"/>
      <c r="N820" s="174"/>
      <c r="O820" s="174"/>
      <c r="P820" s="174"/>
    </row>
    <row r="821">
      <c r="A821" s="170" t="s">
        <v>394</v>
      </c>
      <c r="B821" s="170" t="s">
        <v>942</v>
      </c>
      <c r="C821" s="172" t="s">
        <v>337</v>
      </c>
      <c r="D821" s="173" t="s">
        <v>764</v>
      </c>
      <c r="E821" s="174"/>
      <c r="F821" s="174"/>
      <c r="G821" s="170"/>
      <c r="H821" s="172" t="s">
        <v>187</v>
      </c>
      <c r="I821" s="174"/>
      <c r="J821" s="174"/>
      <c r="K821" s="174"/>
      <c r="L821" s="174"/>
      <c r="M821" s="174"/>
      <c r="N821" s="174"/>
      <c r="O821" s="174"/>
      <c r="P821" s="174"/>
    </row>
    <row r="822">
      <c r="A822" s="170" t="s">
        <v>394</v>
      </c>
      <c r="B822" s="170" t="s">
        <v>943</v>
      </c>
      <c r="C822" s="172" t="s">
        <v>337</v>
      </c>
      <c r="D822" s="173" t="s">
        <v>765</v>
      </c>
      <c r="E822" s="174"/>
      <c r="F822" s="174"/>
      <c r="G822" s="170"/>
      <c r="H822" s="172" t="s">
        <v>187</v>
      </c>
      <c r="I822" s="174"/>
      <c r="J822" s="174"/>
      <c r="K822" s="174"/>
      <c r="L822" s="174"/>
      <c r="M822" s="174"/>
      <c r="N822" s="174"/>
      <c r="O822" s="174"/>
      <c r="P822" s="174"/>
    </row>
    <row r="823">
      <c r="A823" s="170" t="s">
        <v>394</v>
      </c>
      <c r="B823" s="170" t="s">
        <v>944</v>
      </c>
      <c r="C823" s="172" t="s">
        <v>337</v>
      </c>
      <c r="D823" s="173" t="s">
        <v>737</v>
      </c>
      <c r="E823" s="174"/>
      <c r="F823" s="174"/>
      <c r="G823" s="170"/>
      <c r="H823" s="172" t="s">
        <v>187</v>
      </c>
      <c r="I823" s="174"/>
      <c r="J823" s="174"/>
      <c r="K823" s="174"/>
      <c r="L823" s="174"/>
      <c r="M823" s="174"/>
      <c r="N823" s="174"/>
      <c r="O823" s="174"/>
      <c r="P823" s="174"/>
    </row>
    <row r="824">
      <c r="A824" s="170" t="s">
        <v>395</v>
      </c>
      <c r="B824" s="170" t="s">
        <v>945</v>
      </c>
      <c r="C824" s="172" t="s">
        <v>946</v>
      </c>
      <c r="D824" s="173" t="s">
        <v>947</v>
      </c>
      <c r="E824" s="174"/>
      <c r="F824" s="174"/>
      <c r="G824" s="170"/>
      <c r="H824" s="172" t="s">
        <v>187</v>
      </c>
      <c r="I824" s="174"/>
      <c r="J824" s="174"/>
      <c r="K824" s="174"/>
      <c r="L824" s="174"/>
      <c r="M824" s="174"/>
      <c r="N824" s="174"/>
      <c r="O824" s="174"/>
      <c r="P824" s="174"/>
    </row>
    <row r="825">
      <c r="A825" s="170" t="s">
        <v>395</v>
      </c>
      <c r="B825" s="170" t="s">
        <v>948</v>
      </c>
      <c r="C825" s="172" t="s">
        <v>946</v>
      </c>
      <c r="D825" s="173" t="s">
        <v>949</v>
      </c>
      <c r="E825" s="174"/>
      <c r="F825" s="174"/>
      <c r="G825" s="170" t="s">
        <v>41</v>
      </c>
      <c r="H825" s="172" t="s">
        <v>187</v>
      </c>
      <c r="I825" s="174"/>
      <c r="J825" s="174"/>
      <c r="K825" s="174"/>
      <c r="L825" s="174"/>
      <c r="M825" s="174"/>
      <c r="N825" s="174"/>
      <c r="O825" s="174"/>
      <c r="P825" s="174"/>
    </row>
    <row r="826">
      <c r="A826" s="170" t="s">
        <v>395</v>
      </c>
      <c r="B826" s="170" t="s">
        <v>950</v>
      </c>
      <c r="C826" s="172" t="s">
        <v>946</v>
      </c>
      <c r="D826" s="173" t="s">
        <v>951</v>
      </c>
      <c r="E826" s="174"/>
      <c r="F826" s="174"/>
      <c r="G826" s="170"/>
      <c r="H826" s="172" t="s">
        <v>187</v>
      </c>
      <c r="I826" s="174"/>
      <c r="J826" s="174"/>
      <c r="K826" s="174"/>
      <c r="L826" s="174"/>
      <c r="M826" s="174"/>
      <c r="N826" s="174"/>
      <c r="O826" s="174"/>
      <c r="P826" s="174"/>
    </row>
    <row r="827">
      <c r="A827" s="170" t="s">
        <v>395</v>
      </c>
      <c r="B827" s="170" t="s">
        <v>952</v>
      </c>
      <c r="C827" s="172" t="s">
        <v>946</v>
      </c>
      <c r="D827" s="173" t="s">
        <v>953</v>
      </c>
      <c r="E827" s="174"/>
      <c r="F827" s="174"/>
      <c r="G827" s="170"/>
      <c r="H827" s="172" t="s">
        <v>187</v>
      </c>
      <c r="I827" s="174"/>
      <c r="J827" s="174"/>
      <c r="K827" s="174"/>
      <c r="L827" s="174"/>
      <c r="M827" s="174"/>
      <c r="N827" s="174"/>
      <c r="O827" s="174"/>
      <c r="P827" s="174"/>
    </row>
    <row r="828">
      <c r="A828" s="170" t="s">
        <v>395</v>
      </c>
      <c r="B828" s="170" t="s">
        <v>954</v>
      </c>
      <c r="C828" s="172" t="s">
        <v>946</v>
      </c>
      <c r="D828" s="173" t="s">
        <v>955</v>
      </c>
      <c r="E828" s="174"/>
      <c r="F828" s="174"/>
      <c r="G828" s="170"/>
      <c r="H828" s="172" t="s">
        <v>187</v>
      </c>
      <c r="I828" s="174"/>
      <c r="J828" s="174"/>
      <c r="K828" s="174"/>
      <c r="L828" s="174"/>
      <c r="M828" s="174"/>
      <c r="N828" s="174"/>
      <c r="O828" s="174"/>
      <c r="P828" s="174"/>
    </row>
    <row r="829">
      <c r="A829" s="170" t="s">
        <v>395</v>
      </c>
      <c r="B829" s="170" t="s">
        <v>956</v>
      </c>
      <c r="C829" s="172" t="s">
        <v>946</v>
      </c>
      <c r="D829" s="173" t="s">
        <v>957</v>
      </c>
      <c r="E829" s="174"/>
      <c r="F829" s="174"/>
      <c r="G829" s="170"/>
      <c r="H829" s="172" t="s">
        <v>187</v>
      </c>
      <c r="I829" s="174"/>
      <c r="J829" s="174"/>
      <c r="K829" s="174"/>
      <c r="L829" s="174"/>
      <c r="M829" s="174"/>
      <c r="N829" s="174"/>
      <c r="O829" s="174"/>
      <c r="P829" s="174"/>
    </row>
    <row r="830">
      <c r="A830" s="170" t="s">
        <v>397</v>
      </c>
      <c r="B830" s="170" t="s">
        <v>958</v>
      </c>
      <c r="C830" s="172" t="s">
        <v>314</v>
      </c>
      <c r="D830" s="173" t="s">
        <v>647</v>
      </c>
      <c r="E830" s="174"/>
      <c r="F830" s="174"/>
      <c r="G830" s="170"/>
      <c r="H830" s="172" t="s">
        <v>187</v>
      </c>
      <c r="I830" s="174"/>
      <c r="J830" s="174"/>
      <c r="K830" s="174"/>
      <c r="L830" s="174"/>
      <c r="M830" s="174"/>
      <c r="N830" s="174"/>
      <c r="O830" s="174"/>
      <c r="P830" s="174"/>
    </row>
    <row r="831">
      <c r="A831" s="170" t="s">
        <v>397</v>
      </c>
      <c r="B831" s="170" t="s">
        <v>959</v>
      </c>
      <c r="C831" s="172" t="s">
        <v>314</v>
      </c>
      <c r="D831" s="173" t="s">
        <v>648</v>
      </c>
      <c r="E831" s="174"/>
      <c r="F831" s="174"/>
      <c r="G831" s="170"/>
      <c r="H831" s="172" t="s">
        <v>187</v>
      </c>
      <c r="I831" s="174"/>
      <c r="J831" s="174"/>
      <c r="K831" s="174"/>
      <c r="L831" s="174"/>
      <c r="M831" s="174"/>
      <c r="N831" s="174"/>
      <c r="O831" s="174"/>
      <c r="P831" s="174"/>
    </row>
    <row r="832">
      <c r="A832" s="170" t="s">
        <v>397</v>
      </c>
      <c r="B832" s="170" t="s">
        <v>960</v>
      </c>
      <c r="C832" s="172" t="s">
        <v>314</v>
      </c>
      <c r="D832" s="173" t="s">
        <v>649</v>
      </c>
      <c r="E832" s="174"/>
      <c r="F832" s="174"/>
      <c r="G832" s="170"/>
      <c r="H832" s="172" t="s">
        <v>187</v>
      </c>
      <c r="I832" s="174"/>
      <c r="J832" s="174"/>
      <c r="K832" s="174"/>
      <c r="L832" s="174"/>
      <c r="M832" s="174"/>
      <c r="N832" s="174"/>
      <c r="O832" s="174"/>
      <c r="P832" s="174"/>
    </row>
    <row r="833">
      <c r="A833" s="170" t="s">
        <v>397</v>
      </c>
      <c r="B833" s="170" t="s">
        <v>961</v>
      </c>
      <c r="C833" s="172" t="s">
        <v>314</v>
      </c>
      <c r="D833" s="173" t="s">
        <v>650</v>
      </c>
      <c r="E833" s="174"/>
      <c r="F833" s="174"/>
      <c r="G833" s="170"/>
      <c r="H833" s="172" t="s">
        <v>187</v>
      </c>
      <c r="I833" s="174"/>
      <c r="J833" s="174"/>
      <c r="K833" s="174"/>
      <c r="L833" s="174"/>
      <c r="M833" s="174"/>
      <c r="N833" s="174"/>
      <c r="O833" s="174"/>
      <c r="P833" s="174"/>
    </row>
    <row r="834">
      <c r="A834" s="170" t="s">
        <v>397</v>
      </c>
      <c r="B834" s="170" t="s">
        <v>962</v>
      </c>
      <c r="C834" s="172" t="s">
        <v>314</v>
      </c>
      <c r="D834" s="173" t="s">
        <v>651</v>
      </c>
      <c r="E834" s="174"/>
      <c r="F834" s="174"/>
      <c r="G834" s="170"/>
      <c r="H834" s="172" t="s">
        <v>187</v>
      </c>
      <c r="I834" s="174"/>
      <c r="J834" s="174"/>
      <c r="K834" s="174"/>
      <c r="L834" s="174"/>
      <c r="M834" s="174"/>
      <c r="N834" s="174"/>
      <c r="O834" s="174"/>
      <c r="P834" s="174"/>
    </row>
    <row r="835">
      <c r="A835" s="170" t="s">
        <v>397</v>
      </c>
      <c r="B835" s="170" t="s">
        <v>963</v>
      </c>
      <c r="C835" s="172" t="s">
        <v>314</v>
      </c>
      <c r="D835" s="173" t="s">
        <v>652</v>
      </c>
      <c r="E835" s="174"/>
      <c r="F835" s="174"/>
      <c r="G835" s="170"/>
      <c r="H835" s="172" t="s">
        <v>187</v>
      </c>
      <c r="I835" s="174"/>
      <c r="J835" s="174"/>
      <c r="K835" s="174"/>
      <c r="L835" s="174"/>
      <c r="M835" s="174"/>
      <c r="N835" s="174"/>
      <c r="O835" s="174"/>
      <c r="P835" s="174"/>
    </row>
    <row r="836">
      <c r="A836" s="170" t="s">
        <v>397</v>
      </c>
      <c r="B836" s="170" t="s">
        <v>964</v>
      </c>
      <c r="C836" s="172" t="s">
        <v>314</v>
      </c>
      <c r="D836" s="173" t="s">
        <v>653</v>
      </c>
      <c r="E836" s="174"/>
      <c r="F836" s="174"/>
      <c r="G836" s="170"/>
      <c r="H836" s="172" t="s">
        <v>187</v>
      </c>
      <c r="I836" s="174"/>
      <c r="J836" s="174"/>
      <c r="K836" s="174"/>
      <c r="L836" s="174"/>
      <c r="M836" s="174"/>
      <c r="N836" s="174"/>
      <c r="O836" s="174"/>
      <c r="P836" s="174"/>
    </row>
    <row r="837">
      <c r="A837" s="170" t="s">
        <v>397</v>
      </c>
      <c r="B837" s="170" t="s">
        <v>965</v>
      </c>
      <c r="C837" s="172" t="s">
        <v>314</v>
      </c>
      <c r="D837" s="173" t="s">
        <v>654</v>
      </c>
      <c r="E837" s="174"/>
      <c r="F837" s="174"/>
      <c r="G837" s="170"/>
      <c r="H837" s="172" t="s">
        <v>187</v>
      </c>
      <c r="I837" s="174"/>
      <c r="J837" s="174"/>
      <c r="K837" s="174"/>
      <c r="L837" s="174"/>
      <c r="M837" s="174"/>
      <c r="N837" s="174"/>
      <c r="O837" s="174"/>
      <c r="P837" s="174"/>
    </row>
    <row r="838">
      <c r="A838" s="170" t="s">
        <v>398</v>
      </c>
      <c r="B838" s="170" t="s">
        <v>966</v>
      </c>
      <c r="C838" s="172" t="s">
        <v>315</v>
      </c>
      <c r="D838" s="173" t="s">
        <v>967</v>
      </c>
      <c r="E838" s="174"/>
      <c r="F838" s="174"/>
      <c r="G838" s="170"/>
      <c r="H838" s="172" t="s">
        <v>187</v>
      </c>
      <c r="I838" s="174"/>
      <c r="J838" s="174"/>
      <c r="K838" s="174"/>
      <c r="L838" s="174"/>
      <c r="M838" s="174"/>
      <c r="N838" s="174"/>
      <c r="O838" s="174"/>
      <c r="P838" s="174"/>
    </row>
    <row r="839">
      <c r="A839" s="170" t="s">
        <v>398</v>
      </c>
      <c r="B839" s="170" t="s">
        <v>968</v>
      </c>
      <c r="C839" s="172" t="s">
        <v>315</v>
      </c>
      <c r="D839" s="173" t="s">
        <v>661</v>
      </c>
      <c r="E839" s="174"/>
      <c r="F839" s="174"/>
      <c r="G839" s="170"/>
      <c r="H839" s="172" t="s">
        <v>187</v>
      </c>
      <c r="I839" s="174"/>
      <c r="J839" s="174"/>
      <c r="K839" s="174"/>
      <c r="L839" s="174"/>
      <c r="M839" s="174"/>
      <c r="N839" s="174"/>
      <c r="O839" s="174"/>
      <c r="P839" s="174"/>
    </row>
    <row r="840">
      <c r="A840" s="170" t="s">
        <v>398</v>
      </c>
      <c r="B840" s="170" t="s">
        <v>969</v>
      </c>
      <c r="C840" s="172" t="s">
        <v>315</v>
      </c>
      <c r="D840" s="173" t="s">
        <v>657</v>
      </c>
      <c r="E840" s="174"/>
      <c r="F840" s="174"/>
      <c r="G840" s="170"/>
      <c r="H840" s="172" t="s">
        <v>187</v>
      </c>
      <c r="I840" s="174"/>
      <c r="J840" s="174"/>
      <c r="K840" s="174"/>
      <c r="L840" s="174"/>
      <c r="M840" s="174"/>
      <c r="N840" s="174"/>
      <c r="O840" s="174"/>
      <c r="P840" s="174"/>
    </row>
    <row r="841">
      <c r="A841" s="170" t="s">
        <v>398</v>
      </c>
      <c r="B841" s="170" t="s">
        <v>970</v>
      </c>
      <c r="C841" s="172" t="s">
        <v>315</v>
      </c>
      <c r="D841" s="173" t="s">
        <v>663</v>
      </c>
      <c r="E841" s="174"/>
      <c r="F841" s="174"/>
      <c r="G841" s="170"/>
      <c r="H841" s="172" t="s">
        <v>187</v>
      </c>
      <c r="I841" s="174"/>
      <c r="J841" s="174"/>
      <c r="K841" s="174"/>
      <c r="L841" s="174"/>
      <c r="M841" s="174"/>
      <c r="N841" s="174"/>
      <c r="O841" s="174"/>
      <c r="P841" s="174"/>
    </row>
    <row r="842">
      <c r="A842" s="170" t="s">
        <v>399</v>
      </c>
      <c r="B842" s="170" t="s">
        <v>971</v>
      </c>
      <c r="C842" s="172" t="s">
        <v>972</v>
      </c>
      <c r="D842" s="173" t="s">
        <v>973</v>
      </c>
      <c r="E842" s="174"/>
      <c r="F842" s="174"/>
      <c r="G842" s="170"/>
      <c r="H842" s="172" t="s">
        <v>187</v>
      </c>
      <c r="I842" s="174"/>
      <c r="J842" s="174"/>
      <c r="K842" s="174"/>
      <c r="L842" s="174"/>
      <c r="M842" s="174"/>
      <c r="N842" s="174"/>
      <c r="O842" s="174"/>
      <c r="P842" s="174"/>
    </row>
    <row r="843">
      <c r="A843" s="170" t="s">
        <v>399</v>
      </c>
      <c r="B843" s="170" t="s">
        <v>974</v>
      </c>
      <c r="C843" s="172" t="s">
        <v>972</v>
      </c>
      <c r="D843" s="173" t="s">
        <v>975</v>
      </c>
      <c r="E843" s="174"/>
      <c r="F843" s="174"/>
      <c r="G843" s="170"/>
      <c r="H843" s="172" t="s">
        <v>187</v>
      </c>
      <c r="I843" s="174"/>
      <c r="J843" s="174"/>
      <c r="K843" s="174"/>
      <c r="L843" s="174"/>
      <c r="M843" s="174"/>
      <c r="N843" s="174"/>
      <c r="O843" s="174"/>
      <c r="P843" s="174"/>
    </row>
    <row r="844">
      <c r="A844" s="170" t="s">
        <v>399</v>
      </c>
      <c r="B844" s="170" t="s">
        <v>976</v>
      </c>
      <c r="C844" s="172" t="s">
        <v>972</v>
      </c>
      <c r="D844" s="173" t="s">
        <v>977</v>
      </c>
      <c r="E844" s="174"/>
      <c r="F844" s="174"/>
      <c r="G844" s="170"/>
      <c r="H844" s="172" t="s">
        <v>187</v>
      </c>
      <c r="I844" s="174"/>
      <c r="J844" s="174"/>
      <c r="K844" s="174"/>
      <c r="L844" s="174"/>
      <c r="M844" s="174"/>
      <c r="N844" s="174"/>
      <c r="O844" s="174"/>
      <c r="P844" s="174"/>
    </row>
    <row r="845">
      <c r="A845" s="170" t="s">
        <v>401</v>
      </c>
      <c r="B845" s="170" t="s">
        <v>978</v>
      </c>
      <c r="C845" s="172" t="s">
        <v>314</v>
      </c>
      <c r="D845" s="173" t="s">
        <v>647</v>
      </c>
      <c r="E845" s="174"/>
      <c r="F845" s="174"/>
      <c r="G845" s="170"/>
      <c r="H845" s="172" t="s">
        <v>187</v>
      </c>
      <c r="I845" s="174"/>
      <c r="J845" s="174"/>
      <c r="K845" s="174"/>
      <c r="L845" s="174"/>
      <c r="M845" s="174"/>
      <c r="N845" s="174"/>
      <c r="O845" s="174"/>
      <c r="P845" s="174"/>
    </row>
    <row r="846">
      <c r="A846" s="170" t="s">
        <v>401</v>
      </c>
      <c r="B846" s="170" t="s">
        <v>979</v>
      </c>
      <c r="C846" s="172" t="s">
        <v>314</v>
      </c>
      <c r="D846" s="173" t="s">
        <v>648</v>
      </c>
      <c r="E846" s="174"/>
      <c r="F846" s="174"/>
      <c r="G846" s="170"/>
      <c r="H846" s="172" t="s">
        <v>187</v>
      </c>
      <c r="I846" s="174"/>
      <c r="J846" s="174"/>
      <c r="K846" s="174"/>
      <c r="L846" s="174"/>
      <c r="M846" s="174"/>
      <c r="N846" s="174"/>
      <c r="O846" s="174"/>
      <c r="P846" s="174"/>
    </row>
    <row r="847">
      <c r="A847" s="170" t="s">
        <v>401</v>
      </c>
      <c r="B847" s="170" t="s">
        <v>980</v>
      </c>
      <c r="C847" s="172" t="s">
        <v>314</v>
      </c>
      <c r="D847" s="173" t="s">
        <v>649</v>
      </c>
      <c r="E847" s="174"/>
      <c r="F847" s="174"/>
      <c r="G847" s="170"/>
      <c r="H847" s="172" t="s">
        <v>187</v>
      </c>
      <c r="I847" s="174"/>
      <c r="J847" s="174"/>
      <c r="K847" s="174"/>
      <c r="L847" s="174"/>
      <c r="M847" s="174"/>
      <c r="N847" s="174"/>
      <c r="O847" s="174"/>
      <c r="P847" s="174"/>
    </row>
    <row r="848">
      <c r="A848" s="170" t="s">
        <v>401</v>
      </c>
      <c r="B848" s="170" t="s">
        <v>981</v>
      </c>
      <c r="C848" s="172" t="s">
        <v>314</v>
      </c>
      <c r="D848" s="173" t="s">
        <v>650</v>
      </c>
      <c r="E848" s="174"/>
      <c r="F848" s="174"/>
      <c r="G848" s="170"/>
      <c r="H848" s="172" t="s">
        <v>187</v>
      </c>
      <c r="I848" s="174"/>
      <c r="J848" s="174"/>
      <c r="K848" s="174"/>
      <c r="L848" s="174"/>
      <c r="M848" s="174"/>
      <c r="N848" s="174"/>
      <c r="O848" s="174"/>
      <c r="P848" s="174"/>
    </row>
    <row r="849">
      <c r="A849" s="170" t="s">
        <v>401</v>
      </c>
      <c r="B849" s="170" t="s">
        <v>982</v>
      </c>
      <c r="C849" s="172" t="s">
        <v>314</v>
      </c>
      <c r="D849" s="173" t="s">
        <v>651</v>
      </c>
      <c r="E849" s="174"/>
      <c r="F849" s="174"/>
      <c r="G849" s="170"/>
      <c r="H849" s="172" t="s">
        <v>187</v>
      </c>
      <c r="I849" s="174"/>
      <c r="J849" s="174"/>
      <c r="K849" s="174"/>
      <c r="L849" s="174"/>
      <c r="M849" s="174"/>
      <c r="N849" s="174"/>
      <c r="O849" s="174"/>
      <c r="P849" s="174"/>
    </row>
    <row r="850">
      <c r="A850" s="170" t="s">
        <v>401</v>
      </c>
      <c r="B850" s="170" t="s">
        <v>983</v>
      </c>
      <c r="C850" s="172" t="s">
        <v>314</v>
      </c>
      <c r="D850" s="173" t="s">
        <v>652</v>
      </c>
      <c r="E850" s="174"/>
      <c r="F850" s="174"/>
      <c r="G850" s="170"/>
      <c r="H850" s="172" t="s">
        <v>187</v>
      </c>
      <c r="I850" s="174"/>
      <c r="J850" s="174"/>
      <c r="K850" s="174"/>
      <c r="L850" s="174"/>
      <c r="M850" s="174"/>
      <c r="N850" s="174"/>
      <c r="O850" s="174"/>
      <c r="P850" s="174"/>
    </row>
    <row r="851">
      <c r="A851" s="170" t="s">
        <v>401</v>
      </c>
      <c r="B851" s="170" t="s">
        <v>984</v>
      </c>
      <c r="C851" s="172" t="s">
        <v>314</v>
      </c>
      <c r="D851" s="173" t="s">
        <v>653</v>
      </c>
      <c r="E851" s="174"/>
      <c r="F851" s="174"/>
      <c r="G851" s="170"/>
      <c r="H851" s="172" t="s">
        <v>187</v>
      </c>
      <c r="I851" s="174"/>
      <c r="J851" s="174"/>
      <c r="K851" s="174"/>
      <c r="L851" s="174"/>
      <c r="M851" s="174"/>
      <c r="N851" s="174"/>
      <c r="O851" s="174"/>
      <c r="P851" s="174"/>
    </row>
    <row r="852">
      <c r="A852" s="170" t="s">
        <v>401</v>
      </c>
      <c r="B852" s="170" t="s">
        <v>985</v>
      </c>
      <c r="C852" s="172" t="s">
        <v>314</v>
      </c>
      <c r="D852" s="173" t="s">
        <v>654</v>
      </c>
      <c r="E852" s="174"/>
      <c r="F852" s="174"/>
      <c r="G852" s="170"/>
      <c r="H852" s="172" t="s">
        <v>187</v>
      </c>
      <c r="I852" s="174"/>
      <c r="J852" s="174"/>
      <c r="K852" s="174"/>
      <c r="L852" s="174"/>
      <c r="M852" s="174"/>
      <c r="N852" s="174"/>
      <c r="O852" s="174"/>
      <c r="P852" s="174"/>
    </row>
    <row r="853">
      <c r="A853" s="170" t="s">
        <v>402</v>
      </c>
      <c r="B853" s="170" t="s">
        <v>986</v>
      </c>
      <c r="C853" s="172" t="s">
        <v>315</v>
      </c>
      <c r="D853" s="173" t="s">
        <v>987</v>
      </c>
      <c r="E853" s="174"/>
      <c r="F853" s="174"/>
      <c r="G853" s="170"/>
      <c r="H853" s="172" t="s">
        <v>187</v>
      </c>
      <c r="I853" s="174"/>
      <c r="J853" s="174"/>
      <c r="K853" s="174"/>
      <c r="L853" s="174"/>
      <c r="M853" s="174"/>
      <c r="N853" s="174"/>
      <c r="O853" s="174"/>
      <c r="P853" s="174"/>
    </row>
    <row r="854">
      <c r="A854" s="170" t="s">
        <v>402</v>
      </c>
      <c r="B854" s="170" t="s">
        <v>988</v>
      </c>
      <c r="C854" s="172" t="s">
        <v>315</v>
      </c>
      <c r="D854" s="173" t="s">
        <v>661</v>
      </c>
      <c r="E854" s="174"/>
      <c r="F854" s="174"/>
      <c r="G854" s="170"/>
      <c r="H854" s="172" t="s">
        <v>187</v>
      </c>
      <c r="I854" s="174"/>
      <c r="J854" s="174"/>
      <c r="K854" s="174"/>
      <c r="L854" s="174"/>
      <c r="M854" s="174"/>
      <c r="N854" s="174"/>
      <c r="O854" s="174"/>
      <c r="P854" s="174"/>
    </row>
    <row r="855">
      <c r="A855" s="170" t="s">
        <v>402</v>
      </c>
      <c r="B855" s="170" t="s">
        <v>989</v>
      </c>
      <c r="C855" s="172" t="s">
        <v>315</v>
      </c>
      <c r="D855" s="173" t="s">
        <v>657</v>
      </c>
      <c r="E855" s="174"/>
      <c r="F855" s="174"/>
      <c r="G855" s="170"/>
      <c r="H855" s="172" t="s">
        <v>187</v>
      </c>
      <c r="I855" s="174"/>
      <c r="J855" s="174"/>
      <c r="K855" s="174"/>
      <c r="L855" s="174"/>
      <c r="M855" s="174"/>
      <c r="N855" s="174"/>
      <c r="O855" s="174"/>
      <c r="P855" s="174"/>
    </row>
    <row r="856">
      <c r="A856" s="170" t="s">
        <v>402</v>
      </c>
      <c r="B856" s="170" t="s">
        <v>990</v>
      </c>
      <c r="C856" s="172" t="s">
        <v>315</v>
      </c>
      <c r="D856" s="173" t="s">
        <v>663</v>
      </c>
      <c r="E856" s="174"/>
      <c r="F856" s="174"/>
      <c r="G856" s="170"/>
      <c r="H856" s="172" t="s">
        <v>187</v>
      </c>
      <c r="I856" s="174"/>
      <c r="J856" s="174"/>
      <c r="K856" s="174"/>
      <c r="L856" s="174"/>
      <c r="M856" s="174"/>
      <c r="N856" s="174"/>
      <c r="O856" s="174"/>
      <c r="P856" s="174"/>
    </row>
    <row r="857">
      <c r="A857" s="170" t="s">
        <v>270</v>
      </c>
      <c r="B857" s="171" t="str">
        <f t="shared" ref="B857:B911" si="3">IF($A857="","",$A857&amp;"."&amp;COUNTIF($A$9:$A857,$A857))</f>
        <v>11.1</v>
      </c>
      <c r="C857" s="172" t="s">
        <v>271</v>
      </c>
      <c r="D857" s="173" t="s">
        <v>991</v>
      </c>
      <c r="E857" s="174"/>
      <c r="F857" s="174"/>
      <c r="G857" s="170" t="s">
        <v>77</v>
      </c>
      <c r="H857" s="172" t="s">
        <v>187</v>
      </c>
      <c r="I857" s="174"/>
      <c r="J857" s="174"/>
      <c r="K857" s="174"/>
      <c r="L857" s="174"/>
      <c r="M857" s="174"/>
      <c r="N857" s="174"/>
      <c r="O857" s="174"/>
      <c r="P857" s="174"/>
    </row>
    <row r="858" outlineLevel="1">
      <c r="A858" s="170" t="s">
        <v>270</v>
      </c>
      <c r="B858" s="171" t="str">
        <f t="shared" si="3"/>
        <v>11.2</v>
      </c>
      <c r="C858" s="172" t="s">
        <v>271</v>
      </c>
      <c r="D858" s="173" t="s">
        <v>992</v>
      </c>
      <c r="E858" s="174"/>
      <c r="F858" s="174"/>
      <c r="G858" s="170" t="s">
        <v>77</v>
      </c>
      <c r="H858" s="172" t="s">
        <v>187</v>
      </c>
      <c r="I858" s="174"/>
      <c r="J858" s="174"/>
      <c r="K858" s="174"/>
      <c r="L858" s="174"/>
      <c r="M858" s="174"/>
      <c r="N858" s="174"/>
      <c r="O858" s="174"/>
      <c r="P858" s="174"/>
    </row>
    <row r="859" outlineLevel="1">
      <c r="A859" s="170" t="s">
        <v>270</v>
      </c>
      <c r="B859" s="171" t="str">
        <f t="shared" si="3"/>
        <v>11.3</v>
      </c>
      <c r="C859" s="172" t="s">
        <v>271</v>
      </c>
      <c r="D859" s="173" t="s">
        <v>993</v>
      </c>
      <c r="E859" s="174"/>
      <c r="F859" s="174"/>
      <c r="G859" s="170" t="s">
        <v>77</v>
      </c>
      <c r="H859" s="172" t="s">
        <v>187</v>
      </c>
      <c r="I859" s="174"/>
      <c r="J859" s="174"/>
      <c r="K859" s="174"/>
      <c r="L859" s="174"/>
      <c r="M859" s="174"/>
      <c r="N859" s="174"/>
      <c r="O859" s="174"/>
      <c r="P859" s="174"/>
    </row>
    <row r="860" outlineLevel="1">
      <c r="A860" s="170" t="s">
        <v>270</v>
      </c>
      <c r="B860" s="171" t="str">
        <f t="shared" si="3"/>
        <v>11.4</v>
      </c>
      <c r="C860" s="172" t="s">
        <v>271</v>
      </c>
      <c r="D860" s="173" t="s">
        <v>994</v>
      </c>
      <c r="E860" s="174"/>
      <c r="F860" s="174"/>
      <c r="G860" s="170" t="s">
        <v>77</v>
      </c>
      <c r="H860" s="172" t="s">
        <v>187</v>
      </c>
      <c r="I860" s="174"/>
      <c r="J860" s="174"/>
      <c r="K860" s="174"/>
      <c r="L860" s="174"/>
      <c r="M860" s="174"/>
      <c r="N860" s="174"/>
      <c r="O860" s="174"/>
      <c r="P860" s="174"/>
    </row>
    <row r="861" outlineLevel="1">
      <c r="A861" s="170" t="s">
        <v>270</v>
      </c>
      <c r="B861" s="171" t="str">
        <f t="shared" si="3"/>
        <v>11.5</v>
      </c>
      <c r="C861" s="172" t="s">
        <v>271</v>
      </c>
      <c r="D861" s="173" t="s">
        <v>995</v>
      </c>
      <c r="E861" s="174"/>
      <c r="F861" s="174"/>
      <c r="G861" s="170" t="s">
        <v>77</v>
      </c>
      <c r="H861" s="172" t="s">
        <v>187</v>
      </c>
      <c r="I861" s="174"/>
      <c r="J861" s="174"/>
      <c r="K861" s="174"/>
      <c r="L861" s="174"/>
      <c r="M861" s="174"/>
      <c r="N861" s="174"/>
      <c r="O861" s="174"/>
      <c r="P861" s="174"/>
    </row>
    <row r="862" outlineLevel="1">
      <c r="A862" s="170" t="s">
        <v>270</v>
      </c>
      <c r="B862" s="171" t="str">
        <f t="shared" si="3"/>
        <v>11.6</v>
      </c>
      <c r="C862" s="172" t="s">
        <v>271</v>
      </c>
      <c r="D862" s="173" t="s">
        <v>996</v>
      </c>
      <c r="E862" s="174"/>
      <c r="F862" s="174"/>
      <c r="G862" s="170" t="s">
        <v>77</v>
      </c>
      <c r="H862" s="172" t="s">
        <v>187</v>
      </c>
      <c r="I862" s="174"/>
      <c r="J862" s="174"/>
      <c r="K862" s="174"/>
      <c r="L862" s="174"/>
      <c r="M862" s="174"/>
      <c r="N862" s="174"/>
      <c r="O862" s="174"/>
      <c r="P862" s="174"/>
    </row>
    <row r="863" outlineLevel="1">
      <c r="A863" s="170" t="s">
        <v>270</v>
      </c>
      <c r="B863" s="171" t="str">
        <f t="shared" si="3"/>
        <v>11.7</v>
      </c>
      <c r="C863" s="172" t="s">
        <v>271</v>
      </c>
      <c r="D863" s="173" t="s">
        <v>997</v>
      </c>
      <c r="E863" s="174"/>
      <c r="F863" s="174"/>
      <c r="G863" s="170" t="s">
        <v>77</v>
      </c>
      <c r="H863" s="172" t="s">
        <v>187</v>
      </c>
      <c r="I863" s="174"/>
      <c r="J863" s="174"/>
      <c r="K863" s="174"/>
      <c r="L863" s="174"/>
      <c r="M863" s="174"/>
      <c r="N863" s="174"/>
      <c r="O863" s="174"/>
      <c r="P863" s="174"/>
    </row>
    <row r="864">
      <c r="A864" s="170" t="s">
        <v>272</v>
      </c>
      <c r="B864" s="171" t="str">
        <f t="shared" si="3"/>
        <v>12.1</v>
      </c>
      <c r="C864" s="172" t="s">
        <v>998</v>
      </c>
      <c r="D864" s="173" t="s">
        <v>999</v>
      </c>
      <c r="E864" s="174"/>
      <c r="F864" s="174"/>
      <c r="G864" s="170" t="s">
        <v>77</v>
      </c>
      <c r="H864" s="172" t="s">
        <v>187</v>
      </c>
      <c r="I864" s="174"/>
      <c r="J864" s="174"/>
      <c r="K864" s="174"/>
      <c r="L864" s="174"/>
      <c r="M864" s="174"/>
      <c r="N864" s="174"/>
      <c r="O864" s="174"/>
      <c r="P864" s="174"/>
    </row>
    <row r="865" outlineLevel="1">
      <c r="A865" s="170" t="s">
        <v>272</v>
      </c>
      <c r="B865" s="171" t="str">
        <f t="shared" si="3"/>
        <v>12.2</v>
      </c>
      <c r="C865" s="172" t="s">
        <v>998</v>
      </c>
      <c r="D865" s="173" t="s">
        <v>1000</v>
      </c>
      <c r="E865" s="174"/>
      <c r="F865" s="174"/>
      <c r="G865" s="170" t="s">
        <v>77</v>
      </c>
      <c r="H865" s="172" t="s">
        <v>187</v>
      </c>
      <c r="I865" s="174"/>
      <c r="J865" s="174"/>
      <c r="K865" s="174"/>
      <c r="L865" s="174"/>
      <c r="M865" s="174"/>
      <c r="N865" s="174"/>
      <c r="O865" s="174"/>
      <c r="P865" s="174"/>
    </row>
    <row r="866" outlineLevel="1">
      <c r="A866" s="170" t="s">
        <v>272</v>
      </c>
      <c r="B866" s="171" t="str">
        <f t="shared" si="3"/>
        <v>12.3</v>
      </c>
      <c r="C866" s="172" t="s">
        <v>998</v>
      </c>
      <c r="D866" s="173" t="s">
        <v>1001</v>
      </c>
      <c r="E866" s="174"/>
      <c r="F866" s="174"/>
      <c r="G866" s="170" t="s">
        <v>77</v>
      </c>
      <c r="H866" s="172" t="s">
        <v>187</v>
      </c>
      <c r="I866" s="174"/>
      <c r="J866" s="174"/>
      <c r="K866" s="174"/>
      <c r="L866" s="174"/>
      <c r="M866" s="174"/>
      <c r="N866" s="174"/>
      <c r="O866" s="174"/>
      <c r="P866" s="174"/>
    </row>
    <row r="867" outlineLevel="1">
      <c r="A867" s="170" t="s">
        <v>272</v>
      </c>
      <c r="B867" s="171" t="str">
        <f t="shared" si="3"/>
        <v>12.4</v>
      </c>
      <c r="C867" s="172" t="s">
        <v>998</v>
      </c>
      <c r="D867" s="173" t="s">
        <v>1002</v>
      </c>
      <c r="E867" s="174"/>
      <c r="F867" s="174"/>
      <c r="G867" s="170" t="s">
        <v>77</v>
      </c>
      <c r="H867" s="172" t="s">
        <v>187</v>
      </c>
      <c r="I867" s="174"/>
      <c r="J867" s="174"/>
      <c r="K867" s="174"/>
      <c r="L867" s="174"/>
      <c r="M867" s="174"/>
      <c r="N867" s="174"/>
      <c r="O867" s="174"/>
      <c r="P867" s="174"/>
    </row>
    <row r="868" outlineLevel="1">
      <c r="A868" s="170" t="s">
        <v>272</v>
      </c>
      <c r="B868" s="171" t="str">
        <f t="shared" si="3"/>
        <v>12.5</v>
      </c>
      <c r="C868" s="172" t="s">
        <v>998</v>
      </c>
      <c r="D868" s="173" t="s">
        <v>1003</v>
      </c>
      <c r="E868" s="174"/>
      <c r="F868" s="174"/>
      <c r="G868" s="170" t="s">
        <v>77</v>
      </c>
      <c r="H868" s="172" t="s">
        <v>187</v>
      </c>
      <c r="I868" s="174"/>
      <c r="J868" s="174"/>
      <c r="K868" s="174"/>
      <c r="L868" s="174"/>
      <c r="M868" s="174"/>
      <c r="N868" s="174"/>
      <c r="O868" s="174"/>
      <c r="P868" s="174"/>
    </row>
    <row r="869" outlineLevel="1">
      <c r="A869" s="170" t="s">
        <v>272</v>
      </c>
      <c r="B869" s="171" t="str">
        <f t="shared" si="3"/>
        <v>12.6</v>
      </c>
      <c r="C869" s="172" t="s">
        <v>998</v>
      </c>
      <c r="D869" s="173" t="s">
        <v>1004</v>
      </c>
      <c r="E869" s="174"/>
      <c r="F869" s="174"/>
      <c r="G869" s="170" t="s">
        <v>77</v>
      </c>
      <c r="H869" s="172" t="s">
        <v>187</v>
      </c>
      <c r="I869" s="174"/>
      <c r="J869" s="174"/>
      <c r="K869" s="174"/>
      <c r="L869" s="174"/>
      <c r="M869" s="174"/>
      <c r="N869" s="174"/>
      <c r="O869" s="174"/>
      <c r="P869" s="174"/>
    </row>
    <row r="870" outlineLevel="1">
      <c r="A870" s="170" t="s">
        <v>272</v>
      </c>
      <c r="B870" s="171" t="str">
        <f t="shared" si="3"/>
        <v>12.7</v>
      </c>
      <c r="C870" s="172" t="s">
        <v>1005</v>
      </c>
      <c r="D870" s="173" t="s">
        <v>1006</v>
      </c>
      <c r="E870" s="174"/>
      <c r="F870" s="174"/>
      <c r="G870" s="170" t="s">
        <v>77</v>
      </c>
      <c r="H870" s="172" t="s">
        <v>187</v>
      </c>
      <c r="I870" s="174"/>
      <c r="J870" s="174"/>
      <c r="K870" s="174"/>
      <c r="L870" s="174"/>
      <c r="M870" s="174"/>
      <c r="N870" s="174"/>
      <c r="O870" s="174"/>
      <c r="P870" s="174"/>
    </row>
    <row r="871" outlineLevel="1">
      <c r="A871" s="170" t="s">
        <v>272</v>
      </c>
      <c r="B871" s="171" t="str">
        <f t="shared" si="3"/>
        <v>12.8</v>
      </c>
      <c r="C871" s="172" t="s">
        <v>1005</v>
      </c>
      <c r="D871" s="173" t="s">
        <v>1007</v>
      </c>
      <c r="E871" s="174"/>
      <c r="F871" s="174"/>
      <c r="G871" s="170" t="s">
        <v>77</v>
      </c>
      <c r="H871" s="172" t="s">
        <v>187</v>
      </c>
      <c r="I871" s="174"/>
      <c r="J871" s="174"/>
      <c r="K871" s="174"/>
      <c r="L871" s="174"/>
      <c r="M871" s="174"/>
      <c r="N871" s="174"/>
      <c r="O871" s="174"/>
      <c r="P871" s="174"/>
    </row>
    <row r="872" outlineLevel="1">
      <c r="A872" s="170" t="s">
        <v>272</v>
      </c>
      <c r="B872" s="171" t="str">
        <f t="shared" si="3"/>
        <v>12.9</v>
      </c>
      <c r="C872" s="172" t="s">
        <v>1005</v>
      </c>
      <c r="D872" s="173" t="s">
        <v>1008</v>
      </c>
      <c r="E872" s="174"/>
      <c r="F872" s="174"/>
      <c r="G872" s="170" t="s">
        <v>77</v>
      </c>
      <c r="H872" s="172" t="s">
        <v>187</v>
      </c>
      <c r="I872" s="174"/>
      <c r="J872" s="174"/>
      <c r="K872" s="174"/>
      <c r="L872" s="174"/>
      <c r="M872" s="174"/>
      <c r="N872" s="174"/>
      <c r="O872" s="174"/>
      <c r="P872" s="174"/>
    </row>
    <row r="873" outlineLevel="1">
      <c r="A873" s="170" t="s">
        <v>272</v>
      </c>
      <c r="B873" s="171" t="str">
        <f t="shared" si="3"/>
        <v>12.10</v>
      </c>
      <c r="C873" s="172" t="s">
        <v>1005</v>
      </c>
      <c r="D873" s="173" t="s">
        <v>1009</v>
      </c>
      <c r="E873" s="174"/>
      <c r="F873" s="174"/>
      <c r="G873" s="170" t="s">
        <v>77</v>
      </c>
      <c r="H873" s="172" t="s">
        <v>187</v>
      </c>
      <c r="I873" s="174"/>
      <c r="J873" s="174"/>
      <c r="K873" s="174"/>
      <c r="L873" s="174"/>
      <c r="M873" s="174"/>
      <c r="N873" s="174"/>
      <c r="O873" s="174"/>
      <c r="P873" s="174"/>
    </row>
    <row r="874" outlineLevel="1">
      <c r="A874" s="170" t="s">
        <v>272</v>
      </c>
      <c r="B874" s="171" t="str">
        <f t="shared" si="3"/>
        <v>12.11</v>
      </c>
      <c r="C874" s="172" t="s">
        <v>1005</v>
      </c>
      <c r="D874" s="173" t="s">
        <v>1010</v>
      </c>
      <c r="E874" s="174"/>
      <c r="F874" s="174"/>
      <c r="G874" s="170" t="s">
        <v>77</v>
      </c>
      <c r="H874" s="172" t="s">
        <v>187</v>
      </c>
      <c r="I874" s="174"/>
      <c r="J874" s="174"/>
      <c r="K874" s="174"/>
      <c r="L874" s="174"/>
      <c r="M874" s="174"/>
      <c r="N874" s="174"/>
      <c r="O874" s="174"/>
      <c r="P874" s="174"/>
    </row>
    <row r="875" outlineLevel="1">
      <c r="A875" s="170" t="s">
        <v>272</v>
      </c>
      <c r="B875" s="171" t="str">
        <f t="shared" si="3"/>
        <v>12.12</v>
      </c>
      <c r="C875" s="172" t="s">
        <v>1005</v>
      </c>
      <c r="D875" s="173" t="s">
        <v>1011</v>
      </c>
      <c r="E875" s="174"/>
      <c r="F875" s="174"/>
      <c r="G875" s="170" t="s">
        <v>77</v>
      </c>
      <c r="H875" s="172" t="s">
        <v>187</v>
      </c>
      <c r="I875" s="174"/>
      <c r="J875" s="174"/>
      <c r="K875" s="174"/>
      <c r="L875" s="174"/>
      <c r="M875" s="174"/>
      <c r="N875" s="174"/>
      <c r="O875" s="174"/>
      <c r="P875" s="174"/>
    </row>
    <row r="876" outlineLevel="1">
      <c r="A876" s="170" t="s">
        <v>272</v>
      </c>
      <c r="B876" s="171" t="str">
        <f t="shared" si="3"/>
        <v>12.13</v>
      </c>
      <c r="C876" s="172" t="s">
        <v>1005</v>
      </c>
      <c r="D876" s="173" t="s">
        <v>1012</v>
      </c>
      <c r="E876" s="174"/>
      <c r="F876" s="174"/>
      <c r="G876" s="170" t="s">
        <v>77</v>
      </c>
      <c r="H876" s="172" t="s">
        <v>187</v>
      </c>
      <c r="I876" s="174"/>
      <c r="J876" s="174"/>
      <c r="K876" s="174"/>
      <c r="L876" s="174"/>
      <c r="M876" s="174"/>
      <c r="N876" s="174"/>
      <c r="O876" s="174"/>
      <c r="P876" s="174"/>
    </row>
    <row r="877">
      <c r="A877" s="170" t="s">
        <v>275</v>
      </c>
      <c r="B877" s="171" t="str">
        <f t="shared" si="3"/>
        <v>12.1.1</v>
      </c>
      <c r="C877" s="172" t="s">
        <v>1013</v>
      </c>
      <c r="D877" s="173" t="s">
        <v>1014</v>
      </c>
      <c r="E877" s="174"/>
      <c r="F877" s="174"/>
      <c r="G877" s="170" t="s">
        <v>41</v>
      </c>
      <c r="H877" s="172" t="s">
        <v>187</v>
      </c>
      <c r="I877" s="174"/>
      <c r="J877" s="174"/>
      <c r="K877" s="174"/>
      <c r="L877" s="174"/>
      <c r="M877" s="174"/>
      <c r="N877" s="174"/>
      <c r="O877" s="174"/>
      <c r="P877" s="174"/>
    </row>
    <row r="878" outlineLevel="1">
      <c r="A878" s="170" t="s">
        <v>275</v>
      </c>
      <c r="B878" s="171" t="str">
        <f t="shared" si="3"/>
        <v>12.1.2</v>
      </c>
      <c r="C878" s="172" t="s">
        <v>1013</v>
      </c>
      <c r="D878" s="173" t="s">
        <v>1015</v>
      </c>
      <c r="E878" s="174"/>
      <c r="F878" s="174"/>
      <c r="G878" s="170" t="s">
        <v>41</v>
      </c>
      <c r="H878" s="172" t="s">
        <v>187</v>
      </c>
      <c r="I878" s="174"/>
      <c r="J878" s="174"/>
      <c r="K878" s="174"/>
      <c r="L878" s="174"/>
      <c r="M878" s="174"/>
      <c r="N878" s="174"/>
      <c r="O878" s="174"/>
      <c r="P878" s="174"/>
    </row>
    <row r="879" outlineLevel="1">
      <c r="A879" s="170" t="s">
        <v>275</v>
      </c>
      <c r="B879" s="171" t="str">
        <f t="shared" si="3"/>
        <v>12.1.3</v>
      </c>
      <c r="C879" s="172" t="s">
        <v>1013</v>
      </c>
      <c r="D879" s="173" t="s">
        <v>1016</v>
      </c>
      <c r="E879" s="174"/>
      <c r="F879" s="174"/>
      <c r="G879" s="170" t="s">
        <v>41</v>
      </c>
      <c r="H879" s="172" t="s">
        <v>187</v>
      </c>
      <c r="I879" s="174"/>
      <c r="J879" s="174"/>
      <c r="K879" s="174"/>
      <c r="L879" s="174"/>
      <c r="M879" s="174"/>
      <c r="N879" s="174"/>
      <c r="O879" s="174"/>
      <c r="P879" s="174"/>
    </row>
    <row r="880" outlineLevel="1">
      <c r="A880" s="170" t="s">
        <v>275</v>
      </c>
      <c r="B880" s="171" t="str">
        <f t="shared" si="3"/>
        <v>12.1.4</v>
      </c>
      <c r="C880" s="172" t="s">
        <v>1013</v>
      </c>
      <c r="D880" s="173" t="s">
        <v>1017</v>
      </c>
      <c r="E880" s="174"/>
      <c r="F880" s="174"/>
      <c r="G880" s="170" t="s">
        <v>41</v>
      </c>
      <c r="H880" s="172" t="s">
        <v>187</v>
      </c>
      <c r="I880" s="174"/>
      <c r="J880" s="174"/>
      <c r="K880" s="174"/>
      <c r="L880" s="174"/>
      <c r="M880" s="174"/>
      <c r="N880" s="174"/>
      <c r="O880" s="174"/>
      <c r="P880" s="174"/>
    </row>
    <row r="881" outlineLevel="1">
      <c r="A881" s="170" t="s">
        <v>275</v>
      </c>
      <c r="B881" s="171" t="str">
        <f t="shared" si="3"/>
        <v>12.1.5</v>
      </c>
      <c r="C881" s="172" t="s">
        <v>1013</v>
      </c>
      <c r="D881" s="173" t="s">
        <v>1018</v>
      </c>
      <c r="E881" s="174"/>
      <c r="F881" s="174"/>
      <c r="G881" s="170" t="s">
        <v>41</v>
      </c>
      <c r="H881" s="172" t="s">
        <v>187</v>
      </c>
      <c r="I881" s="174"/>
      <c r="J881" s="174"/>
      <c r="K881" s="174"/>
      <c r="L881" s="174"/>
      <c r="M881" s="174"/>
      <c r="N881" s="174"/>
      <c r="O881" s="174"/>
      <c r="P881" s="174"/>
    </row>
    <row r="882" outlineLevel="1">
      <c r="A882" s="170" t="s">
        <v>275</v>
      </c>
      <c r="B882" s="171" t="str">
        <f t="shared" si="3"/>
        <v>12.1.6</v>
      </c>
      <c r="C882" s="172" t="s">
        <v>1013</v>
      </c>
      <c r="D882" s="173" t="s">
        <v>1019</v>
      </c>
      <c r="E882" s="174"/>
      <c r="F882" s="174"/>
      <c r="G882" s="170" t="s">
        <v>41</v>
      </c>
      <c r="H882" s="172" t="s">
        <v>187</v>
      </c>
      <c r="I882" s="174"/>
      <c r="J882" s="174"/>
      <c r="K882" s="174"/>
      <c r="L882" s="174"/>
      <c r="M882" s="174"/>
      <c r="N882" s="174"/>
      <c r="O882" s="174"/>
      <c r="P882" s="174"/>
    </row>
    <row r="883">
      <c r="A883" s="170" t="s">
        <v>277</v>
      </c>
      <c r="B883" s="171" t="str">
        <f t="shared" si="3"/>
        <v>13.1</v>
      </c>
      <c r="C883" s="172" t="s">
        <v>278</v>
      </c>
      <c r="D883" s="173" t="s">
        <v>1020</v>
      </c>
      <c r="E883" s="174"/>
      <c r="F883" s="174"/>
      <c r="G883" s="170" t="s">
        <v>77</v>
      </c>
      <c r="H883" s="172" t="s">
        <v>187</v>
      </c>
      <c r="I883" s="174"/>
      <c r="J883" s="174"/>
      <c r="K883" s="174"/>
      <c r="L883" s="174"/>
      <c r="M883" s="174"/>
      <c r="N883" s="174"/>
      <c r="O883" s="174"/>
      <c r="P883" s="174"/>
    </row>
    <row r="884" outlineLevel="1">
      <c r="A884" s="170" t="s">
        <v>277</v>
      </c>
      <c r="B884" s="171" t="str">
        <f t="shared" si="3"/>
        <v>13.2</v>
      </c>
      <c r="C884" s="172" t="s">
        <v>278</v>
      </c>
      <c r="D884" s="173" t="s">
        <v>1021</v>
      </c>
      <c r="E884" s="174"/>
      <c r="F884" s="174"/>
      <c r="G884" s="170" t="s">
        <v>77</v>
      </c>
      <c r="H884" s="172" t="s">
        <v>187</v>
      </c>
      <c r="I884" s="174"/>
      <c r="J884" s="174"/>
      <c r="K884" s="174"/>
      <c r="L884" s="174"/>
      <c r="M884" s="174"/>
      <c r="N884" s="174"/>
      <c r="O884" s="174"/>
      <c r="P884" s="174"/>
    </row>
    <row r="885" outlineLevel="1">
      <c r="A885" s="170" t="s">
        <v>277</v>
      </c>
      <c r="B885" s="171" t="str">
        <f t="shared" si="3"/>
        <v>13.3</v>
      </c>
      <c r="C885" s="172" t="s">
        <v>278</v>
      </c>
      <c r="D885" s="173" t="s">
        <v>1022</v>
      </c>
      <c r="E885" s="174"/>
      <c r="F885" s="174"/>
      <c r="G885" s="170" t="s">
        <v>77</v>
      </c>
      <c r="H885" s="172" t="s">
        <v>187</v>
      </c>
      <c r="I885" s="174"/>
      <c r="J885" s="174"/>
      <c r="K885" s="174"/>
      <c r="L885" s="174"/>
      <c r="M885" s="174"/>
      <c r="N885" s="174"/>
      <c r="O885" s="174"/>
      <c r="P885" s="174"/>
    </row>
    <row r="886" outlineLevel="1">
      <c r="A886" s="170" t="s">
        <v>277</v>
      </c>
      <c r="B886" s="171" t="str">
        <f t="shared" si="3"/>
        <v>13.4</v>
      </c>
      <c r="C886" s="172" t="s">
        <v>278</v>
      </c>
      <c r="D886" s="173" t="s">
        <v>1023</v>
      </c>
      <c r="E886" s="174"/>
      <c r="F886" s="174"/>
      <c r="G886" s="170" t="s">
        <v>77</v>
      </c>
      <c r="H886" s="172" t="s">
        <v>187</v>
      </c>
      <c r="I886" s="174"/>
      <c r="J886" s="174"/>
      <c r="K886" s="174"/>
      <c r="L886" s="174"/>
      <c r="M886" s="174"/>
      <c r="N886" s="174"/>
      <c r="O886" s="174"/>
      <c r="P886" s="174"/>
    </row>
    <row r="887" outlineLevel="1">
      <c r="A887" s="170" t="s">
        <v>277</v>
      </c>
      <c r="B887" s="171" t="str">
        <f t="shared" si="3"/>
        <v>13.5</v>
      </c>
      <c r="C887" s="172" t="s">
        <v>278</v>
      </c>
      <c r="D887" s="173" t="s">
        <v>1024</v>
      </c>
      <c r="E887" s="174"/>
      <c r="F887" s="174"/>
      <c r="G887" s="170" t="s">
        <v>77</v>
      </c>
      <c r="H887" s="172" t="s">
        <v>187</v>
      </c>
      <c r="I887" s="174"/>
      <c r="J887" s="174"/>
      <c r="K887" s="174"/>
      <c r="L887" s="174"/>
      <c r="M887" s="174"/>
      <c r="N887" s="174"/>
      <c r="O887" s="174"/>
      <c r="P887" s="174"/>
    </row>
    <row r="888" outlineLevel="1">
      <c r="A888" s="170" t="s">
        <v>277</v>
      </c>
      <c r="B888" s="171" t="str">
        <f t="shared" si="3"/>
        <v>13.6</v>
      </c>
      <c r="C888" s="172" t="s">
        <v>278</v>
      </c>
      <c r="D888" s="173" t="s">
        <v>1025</v>
      </c>
      <c r="E888" s="174"/>
      <c r="F888" s="174"/>
      <c r="G888" s="170" t="s">
        <v>77</v>
      </c>
      <c r="H888" s="172" t="s">
        <v>187</v>
      </c>
      <c r="I888" s="174"/>
      <c r="J888" s="174"/>
      <c r="K888" s="174"/>
      <c r="L888" s="174"/>
      <c r="M888" s="174"/>
      <c r="N888" s="174"/>
      <c r="O888" s="174"/>
      <c r="P888" s="174"/>
    </row>
    <row r="889" outlineLevel="1">
      <c r="A889" s="170" t="s">
        <v>277</v>
      </c>
      <c r="B889" s="171" t="str">
        <f t="shared" si="3"/>
        <v>13.7</v>
      </c>
      <c r="C889" s="172" t="s">
        <v>278</v>
      </c>
      <c r="D889" s="173" t="s">
        <v>1026</v>
      </c>
      <c r="E889" s="174"/>
      <c r="F889" s="174"/>
      <c r="G889" s="170" t="s">
        <v>77</v>
      </c>
      <c r="H889" s="172" t="s">
        <v>187</v>
      </c>
      <c r="I889" s="174"/>
      <c r="J889" s="174"/>
      <c r="K889" s="174"/>
      <c r="L889" s="174"/>
      <c r="M889" s="174"/>
      <c r="N889" s="174"/>
      <c r="O889" s="174"/>
      <c r="P889" s="174"/>
    </row>
    <row r="890">
      <c r="A890" s="170" t="s">
        <v>281</v>
      </c>
      <c r="B890" s="171" t="str">
        <f t="shared" si="3"/>
        <v>13.1.1</v>
      </c>
      <c r="C890" s="172" t="s">
        <v>1027</v>
      </c>
      <c r="D890" s="173" t="s">
        <v>1028</v>
      </c>
      <c r="E890" s="174"/>
      <c r="F890" s="174"/>
      <c r="G890" s="170" t="s">
        <v>77</v>
      </c>
      <c r="H890" s="172" t="s">
        <v>187</v>
      </c>
      <c r="I890" s="174"/>
      <c r="J890" s="174"/>
      <c r="K890" s="174"/>
      <c r="L890" s="174"/>
      <c r="M890" s="174"/>
      <c r="N890" s="174"/>
      <c r="O890" s="174"/>
      <c r="P890" s="174"/>
    </row>
    <row r="891" outlineLevel="1">
      <c r="A891" s="170" t="s">
        <v>281</v>
      </c>
      <c r="B891" s="171" t="str">
        <f t="shared" si="3"/>
        <v>13.1.2</v>
      </c>
      <c r="C891" s="172" t="s">
        <v>1027</v>
      </c>
      <c r="D891" s="173" t="s">
        <v>1029</v>
      </c>
      <c r="E891" s="174"/>
      <c r="F891" s="174"/>
      <c r="G891" s="170" t="s">
        <v>77</v>
      </c>
      <c r="H891" s="172" t="s">
        <v>187</v>
      </c>
      <c r="I891" s="174"/>
      <c r="J891" s="174"/>
      <c r="K891" s="174"/>
      <c r="L891" s="174"/>
      <c r="M891" s="174"/>
      <c r="N891" s="174"/>
      <c r="O891" s="174"/>
      <c r="P891" s="174"/>
    </row>
    <row r="892" outlineLevel="1">
      <c r="A892" s="170" t="s">
        <v>281</v>
      </c>
      <c r="B892" s="171" t="str">
        <f t="shared" si="3"/>
        <v>13.1.3</v>
      </c>
      <c r="C892" s="172" t="s">
        <v>1027</v>
      </c>
      <c r="D892" s="173" t="s">
        <v>1030</v>
      </c>
      <c r="E892" s="174"/>
      <c r="F892" s="174"/>
      <c r="G892" s="170" t="s">
        <v>77</v>
      </c>
      <c r="H892" s="172" t="s">
        <v>187</v>
      </c>
      <c r="I892" s="174"/>
      <c r="J892" s="174"/>
      <c r="K892" s="174"/>
      <c r="L892" s="174"/>
      <c r="M892" s="174"/>
      <c r="N892" s="174"/>
      <c r="O892" s="174"/>
      <c r="P892" s="174"/>
    </row>
    <row r="893" outlineLevel="1">
      <c r="A893" s="170" t="s">
        <v>281</v>
      </c>
      <c r="B893" s="171" t="str">
        <f t="shared" si="3"/>
        <v>13.1.4</v>
      </c>
      <c r="C893" s="172" t="s">
        <v>1027</v>
      </c>
      <c r="D893" s="173" t="s">
        <v>1031</v>
      </c>
      <c r="E893" s="174"/>
      <c r="F893" s="174"/>
      <c r="G893" s="170" t="s">
        <v>77</v>
      </c>
      <c r="H893" s="172" t="s">
        <v>187</v>
      </c>
      <c r="I893" s="174"/>
      <c r="J893" s="174"/>
      <c r="K893" s="174"/>
      <c r="L893" s="174"/>
      <c r="M893" s="174"/>
      <c r="N893" s="174"/>
      <c r="O893" s="174"/>
      <c r="P893" s="174"/>
    </row>
    <row r="894">
      <c r="A894" s="170" t="s">
        <v>279</v>
      </c>
      <c r="B894" s="171" t="str">
        <f t="shared" si="3"/>
        <v>14.1</v>
      </c>
      <c r="C894" s="172" t="s">
        <v>1032</v>
      </c>
      <c r="D894" s="173" t="s">
        <v>1033</v>
      </c>
      <c r="E894" s="174"/>
      <c r="F894" s="174"/>
      <c r="G894" s="170" t="s">
        <v>41</v>
      </c>
      <c r="H894" s="172" t="s">
        <v>187</v>
      </c>
      <c r="I894" s="174"/>
      <c r="J894" s="174"/>
      <c r="K894" s="174"/>
      <c r="L894" s="174"/>
      <c r="M894" s="174"/>
      <c r="N894" s="174"/>
      <c r="O894" s="174"/>
      <c r="P894" s="174"/>
    </row>
    <row r="895" outlineLevel="1">
      <c r="A895" s="170" t="s">
        <v>279</v>
      </c>
      <c r="B895" s="171" t="str">
        <f t="shared" si="3"/>
        <v>14.2</v>
      </c>
      <c r="C895" s="172" t="s">
        <v>1032</v>
      </c>
      <c r="D895" s="173" t="s">
        <v>1034</v>
      </c>
      <c r="E895" s="174"/>
      <c r="F895" s="174"/>
      <c r="G895" s="170" t="s">
        <v>41</v>
      </c>
      <c r="H895" s="172" t="s">
        <v>187</v>
      </c>
      <c r="I895" s="174"/>
      <c r="J895" s="174"/>
      <c r="K895" s="174"/>
      <c r="L895" s="174"/>
      <c r="M895" s="174"/>
      <c r="N895" s="174"/>
      <c r="O895" s="174"/>
      <c r="P895" s="174"/>
    </row>
    <row r="896" outlineLevel="1">
      <c r="A896" s="170" t="s">
        <v>279</v>
      </c>
      <c r="B896" s="171" t="str">
        <f t="shared" si="3"/>
        <v>14.3</v>
      </c>
      <c r="C896" s="172" t="s">
        <v>1032</v>
      </c>
      <c r="D896" s="173" t="s">
        <v>1035</v>
      </c>
      <c r="E896" s="174"/>
      <c r="F896" s="174"/>
      <c r="G896" s="170" t="s">
        <v>41</v>
      </c>
      <c r="H896" s="172" t="s">
        <v>187</v>
      </c>
      <c r="I896" s="174"/>
      <c r="J896" s="174"/>
      <c r="K896" s="174"/>
      <c r="L896" s="174"/>
      <c r="M896" s="174"/>
      <c r="N896" s="174"/>
      <c r="O896" s="174"/>
      <c r="P896" s="174"/>
    </row>
    <row r="897" outlineLevel="1">
      <c r="A897" s="170" t="s">
        <v>279</v>
      </c>
      <c r="B897" s="171" t="str">
        <f t="shared" si="3"/>
        <v>14.4</v>
      </c>
      <c r="C897" s="172" t="s">
        <v>1032</v>
      </c>
      <c r="D897" s="173" t="s">
        <v>1036</v>
      </c>
      <c r="E897" s="174"/>
      <c r="F897" s="174"/>
      <c r="G897" s="170" t="s">
        <v>41</v>
      </c>
      <c r="H897" s="172" t="s">
        <v>187</v>
      </c>
      <c r="I897" s="174"/>
      <c r="J897" s="174"/>
      <c r="K897" s="174"/>
      <c r="L897" s="174"/>
      <c r="M897" s="174"/>
      <c r="N897" s="174"/>
      <c r="O897" s="174"/>
      <c r="P897" s="174"/>
    </row>
    <row r="898" outlineLevel="1">
      <c r="A898" s="170" t="s">
        <v>279</v>
      </c>
      <c r="B898" s="171" t="str">
        <f t="shared" si="3"/>
        <v>14.5</v>
      </c>
      <c r="C898" s="172" t="s">
        <v>1032</v>
      </c>
      <c r="D898" s="173" t="s">
        <v>1037</v>
      </c>
      <c r="E898" s="174"/>
      <c r="F898" s="174"/>
      <c r="G898" s="170" t="s">
        <v>41</v>
      </c>
      <c r="H898" s="172" t="s">
        <v>187</v>
      </c>
      <c r="I898" s="174"/>
      <c r="J898" s="174"/>
      <c r="K898" s="174"/>
      <c r="L898" s="174"/>
      <c r="M898" s="174"/>
      <c r="N898" s="174"/>
      <c r="O898" s="174"/>
      <c r="P898" s="174"/>
    </row>
    <row r="899" outlineLevel="1">
      <c r="A899" s="170" t="s">
        <v>279</v>
      </c>
      <c r="B899" s="171" t="str">
        <f t="shared" si="3"/>
        <v>14.6</v>
      </c>
      <c r="C899" s="172" t="s">
        <v>1032</v>
      </c>
      <c r="D899" s="173" t="s">
        <v>1038</v>
      </c>
      <c r="E899" s="174"/>
      <c r="F899" s="174"/>
      <c r="G899" s="170" t="s">
        <v>41</v>
      </c>
      <c r="H899" s="172" t="s">
        <v>187</v>
      </c>
      <c r="I899" s="174"/>
      <c r="J899" s="174"/>
      <c r="K899" s="174"/>
      <c r="L899" s="174"/>
      <c r="M899" s="174"/>
      <c r="N899" s="174"/>
      <c r="O899" s="174"/>
      <c r="P899" s="174"/>
    </row>
    <row r="900">
      <c r="A900" s="170" t="s">
        <v>412</v>
      </c>
      <c r="B900" s="171" t="str">
        <f t="shared" si="3"/>
        <v>20.01.1</v>
      </c>
      <c r="C900" s="172" t="s">
        <v>413</v>
      </c>
      <c r="D900" s="173" t="s">
        <v>1039</v>
      </c>
      <c r="E900" s="174"/>
      <c r="F900" s="174"/>
      <c r="G900" s="170" t="s">
        <v>65</v>
      </c>
      <c r="H900" s="172" t="s">
        <v>185</v>
      </c>
      <c r="I900" s="174"/>
      <c r="J900" s="174"/>
      <c r="K900" s="174"/>
      <c r="L900" s="174"/>
      <c r="M900" s="174"/>
      <c r="N900" s="174"/>
      <c r="O900" s="174"/>
      <c r="P900" s="174"/>
    </row>
    <row r="901" outlineLevel="1">
      <c r="A901" s="170" t="s">
        <v>412</v>
      </c>
      <c r="B901" s="171" t="str">
        <f t="shared" si="3"/>
        <v>20.01.2</v>
      </c>
      <c r="C901" s="172" t="s">
        <v>413</v>
      </c>
      <c r="D901" s="173" t="s">
        <v>1040</v>
      </c>
      <c r="E901" s="174"/>
      <c r="F901" s="174"/>
      <c r="G901" s="170" t="s">
        <v>65</v>
      </c>
      <c r="H901" s="172" t="s">
        <v>184</v>
      </c>
      <c r="I901" s="174"/>
      <c r="J901" s="174"/>
      <c r="K901" s="174"/>
      <c r="L901" s="174"/>
      <c r="M901" s="174"/>
      <c r="N901" s="174"/>
      <c r="O901" s="174"/>
      <c r="P901" s="174"/>
    </row>
    <row r="902" outlineLevel="1">
      <c r="A902" s="170" t="s">
        <v>412</v>
      </c>
      <c r="B902" s="171" t="str">
        <f t="shared" si="3"/>
        <v>20.01.3</v>
      </c>
      <c r="C902" s="172" t="s">
        <v>413</v>
      </c>
      <c r="D902" s="173" t="s">
        <v>1041</v>
      </c>
      <c r="E902" s="174"/>
      <c r="F902" s="174"/>
      <c r="G902" s="170" t="s">
        <v>65</v>
      </c>
      <c r="H902" s="172" t="s">
        <v>184</v>
      </c>
      <c r="I902" s="174"/>
      <c r="J902" s="174"/>
      <c r="K902" s="174"/>
      <c r="L902" s="174"/>
      <c r="M902" s="174"/>
      <c r="N902" s="174"/>
      <c r="O902" s="174"/>
      <c r="P902" s="174"/>
    </row>
    <row r="903" outlineLevel="1">
      <c r="A903" s="170" t="s">
        <v>412</v>
      </c>
      <c r="B903" s="171" t="str">
        <f t="shared" si="3"/>
        <v>20.01.4</v>
      </c>
      <c r="C903" s="172" t="s">
        <v>413</v>
      </c>
      <c r="D903" s="173" t="s">
        <v>1042</v>
      </c>
      <c r="E903" s="174"/>
      <c r="F903" s="174"/>
      <c r="G903" s="170" t="s">
        <v>65</v>
      </c>
      <c r="H903" s="172" t="s">
        <v>184</v>
      </c>
      <c r="I903" s="174"/>
      <c r="J903" s="174"/>
      <c r="K903" s="174"/>
      <c r="L903" s="174"/>
      <c r="M903" s="174"/>
      <c r="N903" s="174"/>
      <c r="O903" s="174"/>
      <c r="P903" s="174"/>
    </row>
    <row r="904" outlineLevel="1">
      <c r="A904" s="170" t="s">
        <v>412</v>
      </c>
      <c r="B904" s="171" t="str">
        <f t="shared" si="3"/>
        <v>20.01.5</v>
      </c>
      <c r="C904" s="172" t="s">
        <v>413</v>
      </c>
      <c r="D904" s="173" t="s">
        <v>1043</v>
      </c>
      <c r="E904" s="174"/>
      <c r="F904" s="174"/>
      <c r="G904" s="170" t="s">
        <v>65</v>
      </c>
      <c r="H904" s="172" t="s">
        <v>184</v>
      </c>
      <c r="I904" s="174"/>
      <c r="J904" s="174"/>
      <c r="K904" s="174"/>
      <c r="L904" s="174"/>
      <c r="M904" s="174"/>
      <c r="N904" s="174"/>
      <c r="O904" s="174"/>
      <c r="P904" s="174"/>
    </row>
    <row r="905" outlineLevel="1">
      <c r="A905" s="170" t="s">
        <v>412</v>
      </c>
      <c r="B905" s="171" t="str">
        <f t="shared" si="3"/>
        <v>20.01.6</v>
      </c>
      <c r="C905" s="172" t="s">
        <v>413</v>
      </c>
      <c r="D905" s="173" t="s">
        <v>1044</v>
      </c>
      <c r="E905" s="174"/>
      <c r="F905" s="174"/>
      <c r="G905" s="170" t="s">
        <v>65</v>
      </c>
      <c r="H905" s="172" t="s">
        <v>184</v>
      </c>
      <c r="I905" s="174"/>
      <c r="J905" s="174"/>
      <c r="K905" s="174"/>
      <c r="L905" s="174"/>
      <c r="M905" s="174"/>
      <c r="N905" s="174"/>
      <c r="O905" s="174"/>
      <c r="P905" s="174"/>
    </row>
    <row r="906" outlineLevel="1">
      <c r="A906" s="170" t="s">
        <v>412</v>
      </c>
      <c r="B906" s="171" t="str">
        <f t="shared" si="3"/>
        <v>20.01.7</v>
      </c>
      <c r="C906" s="172" t="s">
        <v>413</v>
      </c>
      <c r="D906" s="173" t="s">
        <v>1045</v>
      </c>
      <c r="E906" s="174"/>
      <c r="F906" s="174"/>
      <c r="G906" s="170" t="s">
        <v>65</v>
      </c>
      <c r="H906" s="172" t="s">
        <v>187</v>
      </c>
      <c r="I906" s="174"/>
      <c r="J906" s="174"/>
      <c r="K906" s="174"/>
      <c r="L906" s="174"/>
      <c r="M906" s="174"/>
      <c r="N906" s="174"/>
      <c r="O906" s="174"/>
      <c r="P906" s="174"/>
    </row>
    <row r="907" outlineLevel="1">
      <c r="A907" s="170" t="s">
        <v>412</v>
      </c>
      <c r="B907" s="171" t="str">
        <f t="shared" si="3"/>
        <v>20.01.8</v>
      </c>
      <c r="C907" s="172" t="s">
        <v>413</v>
      </c>
      <c r="D907" s="173" t="s">
        <v>1046</v>
      </c>
      <c r="E907" s="174"/>
      <c r="F907" s="174"/>
      <c r="G907" s="170" t="s">
        <v>65</v>
      </c>
      <c r="H907" s="172" t="s">
        <v>187</v>
      </c>
      <c r="I907" s="174"/>
      <c r="J907" s="174"/>
      <c r="K907" s="174"/>
      <c r="L907" s="174"/>
      <c r="M907" s="174"/>
      <c r="N907" s="174"/>
      <c r="O907" s="174"/>
      <c r="P907" s="174"/>
    </row>
    <row r="908" outlineLevel="1">
      <c r="A908" s="170" t="s">
        <v>412</v>
      </c>
      <c r="B908" s="171" t="str">
        <f t="shared" si="3"/>
        <v>20.01.9</v>
      </c>
      <c r="C908" s="172" t="s">
        <v>413</v>
      </c>
      <c r="D908" s="173" t="s">
        <v>1047</v>
      </c>
      <c r="E908" s="174"/>
      <c r="F908" s="174"/>
      <c r="G908" s="170" t="s">
        <v>65</v>
      </c>
      <c r="H908" s="172" t="s">
        <v>187</v>
      </c>
      <c r="I908" s="174"/>
      <c r="J908" s="174"/>
      <c r="K908" s="174"/>
      <c r="L908" s="174"/>
      <c r="M908" s="174"/>
      <c r="N908" s="174"/>
      <c r="O908" s="174"/>
      <c r="P908" s="174"/>
    </row>
    <row r="909" outlineLevel="1">
      <c r="A909" s="170" t="s">
        <v>412</v>
      </c>
      <c r="B909" s="171" t="str">
        <f t="shared" si="3"/>
        <v>20.01.10</v>
      </c>
      <c r="C909" s="172" t="s">
        <v>413</v>
      </c>
      <c r="D909" s="173" t="s">
        <v>1048</v>
      </c>
      <c r="E909" s="174"/>
      <c r="F909" s="174"/>
      <c r="G909" s="170" t="s">
        <v>65</v>
      </c>
      <c r="H909" s="172" t="s">
        <v>187</v>
      </c>
      <c r="I909" s="174"/>
      <c r="J909" s="174"/>
      <c r="K909" s="174"/>
      <c r="L909" s="174"/>
      <c r="M909" s="174"/>
      <c r="N909" s="174"/>
      <c r="O909" s="174"/>
      <c r="P909" s="174"/>
    </row>
    <row r="910" outlineLevel="1">
      <c r="A910" s="170" t="s">
        <v>412</v>
      </c>
      <c r="B910" s="171" t="str">
        <f t="shared" si="3"/>
        <v>20.01.11</v>
      </c>
      <c r="C910" s="172" t="s">
        <v>413</v>
      </c>
      <c r="D910" s="173" t="s">
        <v>1049</v>
      </c>
      <c r="E910" s="174"/>
      <c r="F910" s="174"/>
      <c r="G910" s="170" t="s">
        <v>65</v>
      </c>
      <c r="H910" s="172" t="s">
        <v>187</v>
      </c>
      <c r="I910" s="174"/>
      <c r="J910" s="174"/>
      <c r="K910" s="174"/>
      <c r="L910" s="174"/>
      <c r="M910" s="174"/>
      <c r="N910" s="174"/>
      <c r="O910" s="174"/>
      <c r="P910" s="174"/>
    </row>
    <row r="911">
      <c r="A911" s="171"/>
      <c r="B911" s="171" t="str">
        <f t="shared" si="3"/>
        <v/>
      </c>
      <c r="C911" s="174"/>
      <c r="D911" s="179"/>
      <c r="E911" s="174"/>
      <c r="F911" s="174"/>
      <c r="G911" s="171"/>
      <c r="H911" s="174"/>
      <c r="I911" s="174"/>
      <c r="J911" s="174"/>
      <c r="K911" s="174"/>
      <c r="L911" s="174"/>
      <c r="M911" s="174"/>
      <c r="N911" s="174"/>
      <c r="O911" s="174"/>
      <c r="P911" s="174"/>
    </row>
    <row r="912">
      <c r="A912" s="170"/>
      <c r="B912" s="171"/>
      <c r="C912" s="174"/>
      <c r="D912" s="179"/>
      <c r="E912" s="174"/>
      <c r="F912" s="174"/>
      <c r="G912" s="171"/>
      <c r="H912" s="174"/>
      <c r="I912" s="174"/>
      <c r="J912" s="174"/>
      <c r="K912" s="174"/>
      <c r="L912" s="174"/>
      <c r="M912" s="174"/>
      <c r="N912" s="174"/>
      <c r="O912" s="174"/>
      <c r="P912" s="174"/>
    </row>
    <row r="913">
      <c r="A913" s="171"/>
      <c r="B913" s="171" t="str">
        <f t="shared" ref="B913:B970" si="4">IF($A913="","",$A913&amp;"."&amp;COUNTIF($A$9:$A913,$A913))</f>
        <v/>
      </c>
      <c r="C913" s="174"/>
      <c r="D913" s="179"/>
      <c r="E913" s="174"/>
      <c r="F913" s="174"/>
      <c r="G913" s="171"/>
      <c r="H913" s="174"/>
      <c r="I913" s="174"/>
      <c r="J913" s="174"/>
      <c r="K913" s="174"/>
      <c r="L913" s="174"/>
      <c r="M913" s="174"/>
      <c r="N913" s="174"/>
      <c r="O913" s="174"/>
      <c r="P913" s="174"/>
    </row>
    <row r="914">
      <c r="A914" s="171"/>
      <c r="B914" s="171" t="str">
        <f t="shared" si="4"/>
        <v/>
      </c>
      <c r="C914" s="174"/>
      <c r="D914" s="179"/>
      <c r="E914" s="174"/>
      <c r="F914" s="174"/>
      <c r="G914" s="171"/>
      <c r="H914" s="174"/>
      <c r="I914" s="174"/>
      <c r="J914" s="174"/>
      <c r="K914" s="174"/>
      <c r="L914" s="174"/>
      <c r="M914" s="174"/>
      <c r="N914" s="174"/>
      <c r="O914" s="174"/>
      <c r="P914" s="174"/>
    </row>
    <row r="915">
      <c r="A915" s="171"/>
      <c r="B915" s="171" t="str">
        <f t="shared" si="4"/>
        <v/>
      </c>
      <c r="C915" s="174"/>
      <c r="D915" s="179"/>
      <c r="E915" s="174"/>
      <c r="F915" s="174"/>
      <c r="G915" s="171"/>
      <c r="H915" s="174"/>
      <c r="I915" s="174"/>
      <c r="J915" s="174"/>
      <c r="K915" s="174"/>
      <c r="L915" s="174"/>
      <c r="M915" s="174"/>
      <c r="N915" s="174"/>
      <c r="O915" s="174"/>
      <c r="P915" s="174"/>
    </row>
    <row r="916">
      <c r="A916" s="171"/>
      <c r="B916" s="171" t="str">
        <f t="shared" si="4"/>
        <v/>
      </c>
      <c r="C916" s="174"/>
      <c r="D916" s="179"/>
      <c r="E916" s="174"/>
      <c r="F916" s="174"/>
      <c r="G916" s="171"/>
      <c r="H916" s="174"/>
      <c r="I916" s="174"/>
      <c r="J916" s="174"/>
      <c r="K916" s="174"/>
      <c r="L916" s="174"/>
      <c r="M916" s="174"/>
      <c r="N916" s="174"/>
      <c r="O916" s="174"/>
      <c r="P916" s="174"/>
    </row>
    <row r="917">
      <c r="A917" s="171"/>
      <c r="B917" s="171" t="str">
        <f t="shared" si="4"/>
        <v/>
      </c>
      <c r="C917" s="174"/>
      <c r="D917" s="179"/>
      <c r="E917" s="174"/>
      <c r="F917" s="174"/>
      <c r="G917" s="171"/>
      <c r="H917" s="174"/>
      <c r="I917" s="174"/>
      <c r="J917" s="174"/>
      <c r="K917" s="174"/>
      <c r="L917" s="174"/>
      <c r="M917" s="174"/>
      <c r="N917" s="174"/>
      <c r="O917" s="174"/>
      <c r="P917" s="174"/>
    </row>
    <row r="918">
      <c r="A918" s="171"/>
      <c r="B918" s="171" t="str">
        <f t="shared" si="4"/>
        <v/>
      </c>
      <c r="C918" s="174"/>
      <c r="D918" s="179"/>
      <c r="E918" s="174"/>
      <c r="F918" s="174"/>
      <c r="G918" s="171"/>
      <c r="H918" s="174"/>
      <c r="I918" s="174"/>
      <c r="J918" s="174"/>
      <c r="K918" s="174"/>
      <c r="L918" s="174"/>
      <c r="M918" s="174"/>
      <c r="N918" s="174"/>
      <c r="O918" s="174"/>
      <c r="P918" s="174"/>
    </row>
    <row r="919">
      <c r="A919" s="171"/>
      <c r="B919" s="171" t="str">
        <f t="shared" si="4"/>
        <v/>
      </c>
      <c r="C919" s="174"/>
      <c r="D919" s="179"/>
      <c r="E919" s="174"/>
      <c r="F919" s="174"/>
      <c r="G919" s="171"/>
      <c r="H919" s="174"/>
      <c r="I919" s="174"/>
      <c r="J919" s="174"/>
      <c r="K919" s="174"/>
      <c r="L919" s="174"/>
      <c r="M919" s="174"/>
      <c r="N919" s="174"/>
      <c r="O919" s="174"/>
      <c r="P919" s="174"/>
    </row>
    <row r="920">
      <c r="A920" s="171"/>
      <c r="B920" s="171" t="str">
        <f t="shared" si="4"/>
        <v/>
      </c>
      <c r="C920" s="174"/>
      <c r="D920" s="179"/>
      <c r="E920" s="174"/>
      <c r="F920" s="174"/>
      <c r="G920" s="171"/>
      <c r="H920" s="174"/>
      <c r="I920" s="174"/>
      <c r="J920" s="174"/>
      <c r="K920" s="174"/>
      <c r="L920" s="174"/>
      <c r="M920" s="174"/>
      <c r="N920" s="174"/>
      <c r="O920" s="174"/>
      <c r="P920" s="174"/>
    </row>
    <row r="921">
      <c r="A921" s="171"/>
      <c r="B921" s="171" t="str">
        <f t="shared" si="4"/>
        <v/>
      </c>
      <c r="C921" s="174"/>
      <c r="D921" s="179"/>
      <c r="E921" s="174"/>
      <c r="F921" s="174"/>
      <c r="G921" s="171"/>
      <c r="H921" s="174"/>
      <c r="I921" s="174"/>
      <c r="J921" s="174"/>
      <c r="K921" s="174"/>
      <c r="L921" s="174"/>
      <c r="M921" s="174"/>
      <c r="N921" s="174"/>
      <c r="O921" s="174"/>
      <c r="P921" s="174"/>
    </row>
    <row r="922">
      <c r="A922" s="171"/>
      <c r="B922" s="171" t="str">
        <f t="shared" si="4"/>
        <v/>
      </c>
      <c r="C922" s="174"/>
      <c r="D922" s="179"/>
      <c r="E922" s="174"/>
      <c r="F922" s="174"/>
      <c r="G922" s="171"/>
      <c r="H922" s="174"/>
      <c r="I922" s="174"/>
      <c r="J922" s="174"/>
      <c r="K922" s="174"/>
      <c r="L922" s="174"/>
      <c r="M922" s="174"/>
      <c r="N922" s="174"/>
      <c r="O922" s="174"/>
      <c r="P922" s="174"/>
    </row>
    <row r="923">
      <c r="A923" s="171"/>
      <c r="B923" s="171" t="str">
        <f t="shared" si="4"/>
        <v/>
      </c>
      <c r="C923" s="174"/>
      <c r="D923" s="179"/>
      <c r="E923" s="174"/>
      <c r="F923" s="174"/>
      <c r="G923" s="171"/>
      <c r="H923" s="174"/>
      <c r="I923" s="174"/>
      <c r="J923" s="174"/>
      <c r="K923" s="174"/>
      <c r="L923" s="174"/>
      <c r="M923" s="174"/>
      <c r="N923" s="174"/>
      <c r="O923" s="174"/>
      <c r="P923" s="174"/>
    </row>
    <row r="924">
      <c r="A924" s="171"/>
      <c r="B924" s="171" t="str">
        <f t="shared" si="4"/>
        <v/>
      </c>
      <c r="C924" s="174"/>
      <c r="D924" s="179"/>
      <c r="E924" s="174"/>
      <c r="F924" s="174"/>
      <c r="G924" s="171"/>
      <c r="H924" s="174"/>
      <c r="I924" s="174"/>
      <c r="J924" s="174"/>
      <c r="K924" s="174"/>
      <c r="L924" s="174"/>
      <c r="M924" s="174"/>
      <c r="N924" s="174"/>
      <c r="O924" s="174"/>
      <c r="P924" s="174"/>
    </row>
    <row r="925">
      <c r="A925" s="171"/>
      <c r="B925" s="171" t="str">
        <f t="shared" si="4"/>
        <v/>
      </c>
      <c r="C925" s="174"/>
      <c r="D925" s="179"/>
      <c r="E925" s="174"/>
      <c r="F925" s="174"/>
      <c r="G925" s="171"/>
      <c r="H925" s="174"/>
      <c r="I925" s="174"/>
      <c r="J925" s="174"/>
      <c r="K925" s="174"/>
      <c r="L925" s="174"/>
      <c r="M925" s="174"/>
      <c r="N925" s="174"/>
      <c r="O925" s="174"/>
      <c r="P925" s="174"/>
    </row>
    <row r="926">
      <c r="A926" s="171"/>
      <c r="B926" s="171" t="str">
        <f t="shared" si="4"/>
        <v/>
      </c>
      <c r="C926" s="174"/>
      <c r="D926" s="179"/>
      <c r="E926" s="174"/>
      <c r="F926" s="174"/>
      <c r="G926" s="171"/>
      <c r="H926" s="174"/>
      <c r="I926" s="174"/>
      <c r="J926" s="174"/>
      <c r="K926" s="174"/>
      <c r="L926" s="174"/>
      <c r="M926" s="174"/>
      <c r="N926" s="174"/>
      <c r="O926" s="174"/>
      <c r="P926" s="174"/>
    </row>
    <row r="927">
      <c r="A927" s="171"/>
      <c r="B927" s="171" t="str">
        <f t="shared" si="4"/>
        <v/>
      </c>
      <c r="C927" s="174"/>
      <c r="D927" s="179"/>
      <c r="E927" s="174"/>
      <c r="F927" s="174"/>
      <c r="G927" s="171"/>
      <c r="H927" s="174"/>
      <c r="I927" s="174"/>
      <c r="J927" s="174"/>
      <c r="K927" s="174"/>
      <c r="L927" s="174"/>
      <c r="M927" s="174"/>
      <c r="N927" s="174"/>
      <c r="O927" s="174"/>
      <c r="P927" s="174"/>
    </row>
    <row r="928">
      <c r="A928" s="171"/>
      <c r="B928" s="171" t="str">
        <f t="shared" si="4"/>
        <v/>
      </c>
      <c r="C928" s="174"/>
      <c r="D928" s="179"/>
      <c r="E928" s="174"/>
      <c r="F928" s="174"/>
      <c r="G928" s="171"/>
      <c r="H928" s="174"/>
      <c r="I928" s="174"/>
      <c r="J928" s="174"/>
      <c r="K928" s="174"/>
      <c r="L928" s="174"/>
      <c r="M928" s="174"/>
      <c r="N928" s="174"/>
      <c r="O928" s="174"/>
      <c r="P928" s="174"/>
    </row>
    <row r="929">
      <c r="A929" s="171"/>
      <c r="B929" s="171" t="str">
        <f t="shared" si="4"/>
        <v/>
      </c>
      <c r="C929" s="174"/>
      <c r="D929" s="179"/>
      <c r="E929" s="174"/>
      <c r="F929" s="174"/>
      <c r="G929" s="171"/>
      <c r="H929" s="174"/>
      <c r="I929" s="174"/>
      <c r="J929" s="174"/>
      <c r="K929" s="174"/>
      <c r="L929" s="174"/>
      <c r="M929" s="174"/>
      <c r="N929" s="174"/>
      <c r="O929" s="174"/>
      <c r="P929" s="174"/>
    </row>
    <row r="930">
      <c r="A930" s="171"/>
      <c r="B930" s="171" t="str">
        <f t="shared" si="4"/>
        <v/>
      </c>
      <c r="C930" s="174"/>
      <c r="D930" s="179"/>
      <c r="E930" s="174"/>
      <c r="F930" s="174"/>
      <c r="G930" s="171"/>
      <c r="H930" s="174"/>
      <c r="I930" s="174"/>
      <c r="J930" s="174"/>
      <c r="K930" s="174"/>
      <c r="L930" s="174"/>
      <c r="M930" s="174"/>
      <c r="N930" s="174"/>
      <c r="O930" s="174"/>
      <c r="P930" s="174"/>
    </row>
    <row r="931">
      <c r="A931" s="171"/>
      <c r="B931" s="171" t="str">
        <f t="shared" si="4"/>
        <v/>
      </c>
      <c r="C931" s="174"/>
      <c r="D931" s="179"/>
      <c r="E931" s="174"/>
      <c r="F931" s="174"/>
      <c r="G931" s="171"/>
      <c r="H931" s="174"/>
      <c r="I931" s="174"/>
      <c r="J931" s="174"/>
      <c r="K931" s="174"/>
      <c r="L931" s="174"/>
      <c r="M931" s="174"/>
      <c r="N931" s="174"/>
      <c r="O931" s="174"/>
      <c r="P931" s="174"/>
    </row>
    <row r="932">
      <c r="A932" s="171"/>
      <c r="B932" s="171" t="str">
        <f t="shared" si="4"/>
        <v/>
      </c>
      <c r="C932" s="174"/>
      <c r="D932" s="179"/>
      <c r="E932" s="174"/>
      <c r="F932" s="174"/>
      <c r="G932" s="171"/>
      <c r="H932" s="174"/>
      <c r="I932" s="174"/>
      <c r="J932" s="174"/>
      <c r="K932" s="174"/>
      <c r="L932" s="174"/>
      <c r="M932" s="174"/>
      <c r="N932" s="174"/>
      <c r="O932" s="174"/>
      <c r="P932" s="174"/>
    </row>
    <row r="933">
      <c r="A933" s="171"/>
      <c r="B933" s="171" t="str">
        <f t="shared" si="4"/>
        <v/>
      </c>
      <c r="C933" s="174"/>
      <c r="D933" s="179"/>
      <c r="E933" s="174"/>
      <c r="F933" s="174"/>
      <c r="G933" s="171"/>
      <c r="H933" s="174"/>
      <c r="I933" s="174"/>
      <c r="J933" s="174"/>
      <c r="K933" s="174"/>
      <c r="L933" s="174"/>
      <c r="M933" s="174"/>
      <c r="N933" s="174"/>
      <c r="O933" s="174"/>
      <c r="P933" s="174"/>
    </row>
    <row r="934">
      <c r="A934" s="171"/>
      <c r="B934" s="171" t="str">
        <f t="shared" si="4"/>
        <v/>
      </c>
      <c r="C934" s="174"/>
      <c r="D934" s="179"/>
      <c r="E934" s="174"/>
      <c r="F934" s="174"/>
      <c r="G934" s="171"/>
      <c r="H934" s="174"/>
      <c r="I934" s="174"/>
      <c r="J934" s="174"/>
      <c r="K934" s="174"/>
      <c r="L934" s="174"/>
      <c r="M934" s="174"/>
      <c r="N934" s="174"/>
      <c r="O934" s="174"/>
      <c r="P934" s="174"/>
    </row>
    <row r="935">
      <c r="A935" s="171"/>
      <c r="B935" s="171" t="str">
        <f t="shared" si="4"/>
        <v/>
      </c>
      <c r="C935" s="174"/>
      <c r="D935" s="179"/>
      <c r="E935" s="174"/>
      <c r="F935" s="174"/>
      <c r="G935" s="171"/>
      <c r="H935" s="174"/>
      <c r="I935" s="174"/>
      <c r="J935" s="174"/>
      <c r="K935" s="174"/>
      <c r="L935" s="174"/>
      <c r="M935" s="174"/>
      <c r="N935" s="174"/>
      <c r="O935" s="174"/>
      <c r="P935" s="174"/>
    </row>
    <row r="936">
      <c r="A936" s="171"/>
      <c r="B936" s="171" t="str">
        <f t="shared" si="4"/>
        <v/>
      </c>
      <c r="C936" s="174"/>
      <c r="D936" s="179"/>
      <c r="E936" s="174"/>
      <c r="F936" s="174"/>
      <c r="G936" s="171"/>
      <c r="H936" s="174"/>
      <c r="I936" s="174"/>
      <c r="J936" s="174"/>
      <c r="K936" s="174"/>
      <c r="L936" s="174"/>
      <c r="M936" s="174"/>
      <c r="N936" s="174"/>
      <c r="O936" s="174"/>
      <c r="P936" s="174"/>
    </row>
    <row r="937">
      <c r="A937" s="171"/>
      <c r="B937" s="171" t="str">
        <f t="shared" si="4"/>
        <v/>
      </c>
      <c r="C937" s="174"/>
      <c r="D937" s="179"/>
      <c r="E937" s="174"/>
      <c r="F937" s="174"/>
      <c r="G937" s="171"/>
      <c r="H937" s="174"/>
      <c r="I937" s="174"/>
      <c r="J937" s="174"/>
      <c r="K937" s="174"/>
      <c r="L937" s="174"/>
      <c r="M937" s="174"/>
      <c r="N937" s="174"/>
      <c r="O937" s="174"/>
      <c r="P937" s="174"/>
    </row>
    <row r="938">
      <c r="A938" s="171"/>
      <c r="B938" s="171" t="str">
        <f t="shared" si="4"/>
        <v/>
      </c>
      <c r="C938" s="174"/>
      <c r="D938" s="179"/>
      <c r="E938" s="174"/>
      <c r="F938" s="174"/>
      <c r="G938" s="171"/>
      <c r="H938" s="174"/>
      <c r="I938" s="174"/>
      <c r="J938" s="174"/>
      <c r="K938" s="174"/>
      <c r="L938" s="174"/>
      <c r="M938" s="174"/>
      <c r="N938" s="174"/>
      <c r="O938" s="174"/>
      <c r="P938" s="174"/>
    </row>
    <row r="939">
      <c r="A939" s="171"/>
      <c r="B939" s="171" t="str">
        <f t="shared" si="4"/>
        <v/>
      </c>
      <c r="C939" s="174"/>
      <c r="D939" s="179"/>
      <c r="E939" s="174"/>
      <c r="F939" s="174"/>
      <c r="G939" s="171"/>
      <c r="H939" s="174"/>
      <c r="I939" s="174"/>
      <c r="J939" s="174"/>
      <c r="K939" s="174"/>
      <c r="L939" s="174"/>
      <c r="M939" s="174"/>
      <c r="N939" s="174"/>
      <c r="O939" s="174"/>
      <c r="P939" s="174"/>
    </row>
    <row r="940">
      <c r="A940" s="171"/>
      <c r="B940" s="171" t="str">
        <f t="shared" si="4"/>
        <v/>
      </c>
      <c r="C940" s="174"/>
      <c r="D940" s="179"/>
      <c r="E940" s="174"/>
      <c r="F940" s="174"/>
      <c r="G940" s="171"/>
      <c r="H940" s="174"/>
      <c r="I940" s="174"/>
      <c r="J940" s="174"/>
      <c r="K940" s="174"/>
      <c r="L940" s="174"/>
      <c r="M940" s="174"/>
      <c r="N940" s="174"/>
      <c r="O940" s="174"/>
      <c r="P940" s="174"/>
    </row>
    <row r="941">
      <c r="A941" s="171"/>
      <c r="B941" s="171" t="str">
        <f t="shared" si="4"/>
        <v/>
      </c>
      <c r="C941" s="174"/>
      <c r="D941" s="179"/>
      <c r="E941" s="174"/>
      <c r="F941" s="174"/>
      <c r="G941" s="171"/>
      <c r="H941" s="174"/>
      <c r="I941" s="174"/>
      <c r="J941" s="174"/>
      <c r="K941" s="174"/>
      <c r="L941" s="174"/>
      <c r="M941" s="174"/>
      <c r="N941" s="174"/>
      <c r="O941" s="174"/>
      <c r="P941" s="174"/>
    </row>
    <row r="942">
      <c r="A942" s="171"/>
      <c r="B942" s="171" t="str">
        <f t="shared" si="4"/>
        <v/>
      </c>
      <c r="C942" s="174"/>
      <c r="D942" s="179"/>
      <c r="E942" s="174"/>
      <c r="F942" s="174"/>
      <c r="G942" s="171"/>
      <c r="H942" s="174"/>
      <c r="I942" s="174"/>
      <c r="J942" s="174"/>
      <c r="K942" s="174"/>
      <c r="L942" s="174"/>
      <c r="M942" s="174"/>
      <c r="N942" s="174"/>
      <c r="O942" s="174"/>
      <c r="P942" s="174"/>
    </row>
    <row r="943">
      <c r="A943" s="171"/>
      <c r="B943" s="171" t="str">
        <f t="shared" si="4"/>
        <v/>
      </c>
      <c r="C943" s="174"/>
      <c r="D943" s="179"/>
      <c r="E943" s="174"/>
      <c r="F943" s="174"/>
      <c r="G943" s="171"/>
      <c r="H943" s="174"/>
      <c r="I943" s="174"/>
      <c r="J943" s="174"/>
      <c r="K943" s="174"/>
      <c r="L943" s="174"/>
      <c r="M943" s="174"/>
      <c r="N943" s="174"/>
      <c r="O943" s="174"/>
      <c r="P943" s="174"/>
    </row>
    <row r="944">
      <c r="A944" s="171"/>
      <c r="B944" s="171" t="str">
        <f t="shared" si="4"/>
        <v/>
      </c>
      <c r="C944" s="174"/>
      <c r="D944" s="179"/>
      <c r="E944" s="174"/>
      <c r="F944" s="174"/>
      <c r="G944" s="171"/>
      <c r="H944" s="174"/>
      <c r="I944" s="174"/>
      <c r="J944" s="174"/>
      <c r="K944" s="174"/>
      <c r="L944" s="174"/>
      <c r="M944" s="174"/>
      <c r="N944" s="174"/>
      <c r="O944" s="174"/>
      <c r="P944" s="174"/>
    </row>
    <row r="945">
      <c r="A945" s="171"/>
      <c r="B945" s="171" t="str">
        <f t="shared" si="4"/>
        <v/>
      </c>
      <c r="C945" s="174"/>
      <c r="D945" s="179"/>
      <c r="E945" s="174"/>
      <c r="F945" s="174"/>
      <c r="G945" s="171"/>
      <c r="H945" s="174"/>
      <c r="I945" s="174"/>
      <c r="J945" s="174"/>
      <c r="K945" s="174"/>
      <c r="L945" s="174"/>
      <c r="M945" s="174"/>
      <c r="N945" s="174"/>
      <c r="O945" s="174"/>
      <c r="P945" s="174"/>
    </row>
    <row r="946">
      <c r="A946" s="171"/>
      <c r="B946" s="171" t="str">
        <f t="shared" si="4"/>
        <v/>
      </c>
      <c r="C946" s="174"/>
      <c r="D946" s="179"/>
      <c r="E946" s="174"/>
      <c r="F946" s="174"/>
      <c r="G946" s="171"/>
      <c r="H946" s="174"/>
      <c r="I946" s="174"/>
      <c r="J946" s="174"/>
      <c r="K946" s="174"/>
      <c r="L946" s="174"/>
      <c r="M946" s="174"/>
      <c r="N946" s="174"/>
      <c r="O946" s="174"/>
      <c r="P946" s="174"/>
    </row>
    <row r="947">
      <c r="A947" s="171"/>
      <c r="B947" s="171" t="str">
        <f t="shared" si="4"/>
        <v/>
      </c>
      <c r="C947" s="174"/>
      <c r="D947" s="179"/>
      <c r="E947" s="174"/>
      <c r="F947" s="174"/>
      <c r="G947" s="171"/>
      <c r="H947" s="174"/>
      <c r="I947" s="174"/>
      <c r="J947" s="174"/>
      <c r="K947" s="174"/>
      <c r="L947" s="174"/>
      <c r="M947" s="174"/>
      <c r="N947" s="174"/>
      <c r="O947" s="174"/>
      <c r="P947" s="174"/>
    </row>
    <row r="948">
      <c r="A948" s="171"/>
      <c r="B948" s="171" t="str">
        <f t="shared" si="4"/>
        <v/>
      </c>
      <c r="C948" s="174"/>
      <c r="D948" s="179"/>
      <c r="E948" s="174"/>
      <c r="F948" s="174"/>
      <c r="G948" s="171"/>
      <c r="H948" s="174"/>
      <c r="I948" s="174"/>
      <c r="J948" s="174"/>
      <c r="K948" s="174"/>
      <c r="L948" s="174"/>
      <c r="M948" s="174"/>
      <c r="N948" s="174"/>
      <c r="O948" s="174"/>
      <c r="P948" s="174"/>
    </row>
    <row r="949">
      <c r="A949" s="171"/>
      <c r="B949" s="171" t="str">
        <f t="shared" si="4"/>
        <v/>
      </c>
      <c r="C949" s="174"/>
      <c r="D949" s="179"/>
      <c r="E949" s="174"/>
      <c r="F949" s="174"/>
      <c r="G949" s="171"/>
      <c r="H949" s="174"/>
      <c r="I949" s="174"/>
      <c r="J949" s="174"/>
      <c r="K949" s="174"/>
      <c r="L949" s="174"/>
      <c r="M949" s="174"/>
      <c r="N949" s="174"/>
      <c r="O949" s="174"/>
      <c r="P949" s="174"/>
    </row>
    <row r="950">
      <c r="A950" s="171"/>
      <c r="B950" s="171" t="str">
        <f t="shared" si="4"/>
        <v/>
      </c>
      <c r="C950" s="174"/>
      <c r="D950" s="179"/>
      <c r="E950" s="174"/>
      <c r="F950" s="174"/>
      <c r="G950" s="171"/>
      <c r="H950" s="174"/>
      <c r="I950" s="174"/>
      <c r="J950" s="174"/>
      <c r="K950" s="174"/>
      <c r="L950" s="174"/>
      <c r="M950" s="174"/>
      <c r="N950" s="174"/>
      <c r="O950" s="174"/>
      <c r="P950" s="174"/>
    </row>
    <row r="951">
      <c r="A951" s="171"/>
      <c r="B951" s="171" t="str">
        <f t="shared" si="4"/>
        <v/>
      </c>
      <c r="C951" s="174"/>
      <c r="D951" s="179"/>
      <c r="E951" s="174"/>
      <c r="F951" s="174"/>
      <c r="G951" s="171"/>
      <c r="H951" s="174"/>
      <c r="I951" s="174"/>
      <c r="J951" s="174"/>
      <c r="K951" s="174"/>
      <c r="L951" s="174"/>
      <c r="M951" s="174"/>
      <c r="N951" s="174"/>
      <c r="O951" s="174"/>
      <c r="P951" s="174"/>
    </row>
    <row r="952">
      <c r="A952" s="171"/>
      <c r="B952" s="171" t="str">
        <f t="shared" si="4"/>
        <v/>
      </c>
      <c r="C952" s="174"/>
      <c r="D952" s="179"/>
      <c r="E952" s="174"/>
      <c r="F952" s="174"/>
      <c r="G952" s="171"/>
      <c r="H952" s="174"/>
      <c r="I952" s="174"/>
      <c r="J952" s="174"/>
      <c r="K952" s="174"/>
      <c r="L952" s="174"/>
      <c r="M952" s="174"/>
      <c r="N952" s="174"/>
      <c r="O952" s="174"/>
      <c r="P952" s="174"/>
    </row>
    <row r="953">
      <c r="A953" s="171"/>
      <c r="B953" s="171" t="str">
        <f t="shared" si="4"/>
        <v/>
      </c>
      <c r="C953" s="174"/>
      <c r="D953" s="179"/>
      <c r="E953" s="174"/>
      <c r="F953" s="174"/>
      <c r="G953" s="171"/>
      <c r="H953" s="174"/>
      <c r="I953" s="174"/>
      <c r="J953" s="174"/>
      <c r="K953" s="174"/>
      <c r="L953" s="174"/>
      <c r="M953" s="174"/>
      <c r="N953" s="174"/>
      <c r="O953" s="174"/>
      <c r="P953" s="174"/>
    </row>
    <row r="954">
      <c r="A954" s="171"/>
      <c r="B954" s="171" t="str">
        <f t="shared" si="4"/>
        <v/>
      </c>
      <c r="C954" s="174"/>
      <c r="D954" s="179"/>
      <c r="E954" s="174"/>
      <c r="F954" s="174"/>
      <c r="G954" s="171"/>
      <c r="H954" s="174"/>
      <c r="I954" s="174"/>
      <c r="J954" s="174"/>
      <c r="K954" s="174"/>
      <c r="L954" s="174"/>
      <c r="M954" s="174"/>
      <c r="N954" s="174"/>
      <c r="O954" s="174"/>
      <c r="P954" s="174"/>
    </row>
    <row r="955">
      <c r="A955" s="171"/>
      <c r="B955" s="171" t="str">
        <f t="shared" si="4"/>
        <v/>
      </c>
      <c r="C955" s="174"/>
      <c r="D955" s="179"/>
      <c r="E955" s="174"/>
      <c r="F955" s="174"/>
      <c r="G955" s="171"/>
      <c r="H955" s="174"/>
      <c r="I955" s="174"/>
      <c r="J955" s="174"/>
      <c r="K955" s="174"/>
      <c r="L955" s="174"/>
      <c r="M955" s="174"/>
      <c r="N955" s="174"/>
      <c r="O955" s="174"/>
      <c r="P955" s="174"/>
    </row>
    <row r="956">
      <c r="A956" s="171"/>
      <c r="B956" s="171" t="str">
        <f t="shared" si="4"/>
        <v/>
      </c>
      <c r="C956" s="174"/>
      <c r="D956" s="179"/>
      <c r="E956" s="174"/>
      <c r="F956" s="174"/>
      <c r="G956" s="171"/>
      <c r="H956" s="174"/>
      <c r="I956" s="174"/>
      <c r="J956" s="174"/>
      <c r="K956" s="174"/>
      <c r="L956" s="174"/>
      <c r="M956" s="174"/>
      <c r="N956" s="174"/>
      <c r="O956" s="174"/>
      <c r="P956" s="174"/>
    </row>
    <row r="957">
      <c r="A957" s="171"/>
      <c r="B957" s="171" t="str">
        <f t="shared" si="4"/>
        <v/>
      </c>
      <c r="C957" s="174"/>
      <c r="D957" s="179"/>
      <c r="E957" s="174"/>
      <c r="F957" s="174"/>
      <c r="G957" s="171"/>
      <c r="H957" s="174"/>
      <c r="I957" s="174"/>
      <c r="J957" s="174"/>
      <c r="K957" s="174"/>
      <c r="L957" s="174"/>
      <c r="M957" s="174"/>
      <c r="N957" s="174"/>
      <c r="O957" s="174"/>
      <c r="P957" s="174"/>
    </row>
    <row r="958">
      <c r="A958" s="171"/>
      <c r="B958" s="171" t="str">
        <f t="shared" si="4"/>
        <v/>
      </c>
      <c r="C958" s="174"/>
      <c r="D958" s="179"/>
      <c r="E958" s="174"/>
      <c r="F958" s="174"/>
      <c r="G958" s="171"/>
      <c r="H958" s="174"/>
      <c r="I958" s="174"/>
      <c r="J958" s="174"/>
      <c r="K958" s="174"/>
      <c r="L958" s="174"/>
      <c r="M958" s="174"/>
      <c r="N958" s="174"/>
      <c r="O958" s="174"/>
      <c r="P958" s="174"/>
    </row>
    <row r="959">
      <c r="A959" s="171"/>
      <c r="B959" s="171" t="str">
        <f t="shared" si="4"/>
        <v/>
      </c>
      <c r="C959" s="174"/>
      <c r="D959" s="179"/>
      <c r="E959" s="174"/>
      <c r="F959" s="174"/>
      <c r="G959" s="171"/>
      <c r="H959" s="174"/>
      <c r="I959" s="174"/>
      <c r="J959" s="174"/>
      <c r="K959" s="174"/>
      <c r="L959" s="174"/>
      <c r="M959" s="174"/>
      <c r="N959" s="174"/>
      <c r="O959" s="174"/>
      <c r="P959" s="174"/>
    </row>
    <row r="960">
      <c r="A960" s="171"/>
      <c r="B960" s="171" t="str">
        <f t="shared" si="4"/>
        <v/>
      </c>
      <c r="C960" s="174"/>
      <c r="D960" s="179"/>
      <c r="E960" s="174"/>
      <c r="F960" s="174"/>
      <c r="G960" s="171"/>
      <c r="H960" s="174"/>
      <c r="I960" s="174"/>
      <c r="J960" s="174"/>
      <c r="K960" s="174"/>
      <c r="L960" s="174"/>
      <c r="M960" s="174"/>
      <c r="N960" s="174"/>
      <c r="O960" s="174"/>
      <c r="P960" s="174"/>
    </row>
    <row r="961">
      <c r="A961" s="171"/>
      <c r="B961" s="171" t="str">
        <f t="shared" si="4"/>
        <v/>
      </c>
      <c r="C961" s="174"/>
      <c r="D961" s="179"/>
      <c r="E961" s="174"/>
      <c r="F961" s="174"/>
      <c r="G961" s="171"/>
      <c r="H961" s="174"/>
      <c r="I961" s="174"/>
      <c r="J961" s="174"/>
      <c r="K961" s="174"/>
      <c r="L961" s="174"/>
      <c r="M961" s="174"/>
      <c r="N961" s="174"/>
      <c r="O961" s="174"/>
      <c r="P961" s="174"/>
    </row>
    <row r="962">
      <c r="A962" s="171"/>
      <c r="B962" s="171" t="str">
        <f t="shared" si="4"/>
        <v/>
      </c>
      <c r="C962" s="174"/>
      <c r="D962" s="179"/>
      <c r="E962" s="174"/>
      <c r="F962" s="174"/>
      <c r="G962" s="171"/>
      <c r="H962" s="174"/>
      <c r="I962" s="174"/>
      <c r="J962" s="174"/>
      <c r="K962" s="174"/>
      <c r="L962" s="174"/>
      <c r="M962" s="174"/>
      <c r="N962" s="174"/>
      <c r="O962" s="174"/>
      <c r="P962" s="174"/>
    </row>
    <row r="963">
      <c r="A963" s="171"/>
      <c r="B963" s="171" t="str">
        <f t="shared" si="4"/>
        <v/>
      </c>
      <c r="C963" s="174"/>
      <c r="D963" s="179"/>
      <c r="E963" s="174"/>
      <c r="F963" s="174"/>
      <c r="G963" s="171"/>
      <c r="H963" s="174"/>
      <c r="I963" s="174"/>
      <c r="J963" s="174"/>
      <c r="K963" s="174"/>
      <c r="L963" s="174"/>
      <c r="M963" s="174"/>
      <c r="N963" s="174"/>
      <c r="O963" s="174"/>
      <c r="P963" s="174"/>
    </row>
    <row r="964">
      <c r="A964" s="171"/>
      <c r="B964" s="171" t="str">
        <f t="shared" si="4"/>
        <v/>
      </c>
      <c r="C964" s="174"/>
      <c r="D964" s="179"/>
      <c r="E964" s="174"/>
      <c r="F964" s="174"/>
      <c r="G964" s="171"/>
      <c r="H964" s="174"/>
      <c r="I964" s="174"/>
      <c r="J964" s="174"/>
      <c r="K964" s="174"/>
      <c r="L964" s="174"/>
      <c r="M964" s="174"/>
      <c r="N964" s="174"/>
      <c r="O964" s="174"/>
      <c r="P964" s="174"/>
    </row>
    <row r="965">
      <c r="A965" s="171"/>
      <c r="B965" s="171" t="str">
        <f t="shared" si="4"/>
        <v/>
      </c>
      <c r="C965" s="174"/>
      <c r="D965" s="179"/>
      <c r="E965" s="174"/>
      <c r="F965" s="174"/>
      <c r="G965" s="171"/>
      <c r="H965" s="174"/>
      <c r="I965" s="174"/>
      <c r="J965" s="174"/>
      <c r="K965" s="174"/>
      <c r="L965" s="174"/>
      <c r="M965" s="174"/>
      <c r="N965" s="174"/>
      <c r="O965" s="174"/>
      <c r="P965" s="174"/>
    </row>
    <row r="966">
      <c r="A966" s="171"/>
      <c r="B966" s="171" t="str">
        <f t="shared" si="4"/>
        <v/>
      </c>
      <c r="C966" s="174"/>
      <c r="D966" s="179"/>
      <c r="E966" s="174"/>
      <c r="F966" s="174"/>
      <c r="G966" s="171"/>
      <c r="H966" s="174"/>
      <c r="I966" s="174"/>
      <c r="J966" s="174"/>
      <c r="K966" s="174"/>
      <c r="L966" s="174"/>
      <c r="M966" s="174"/>
      <c r="N966" s="174"/>
      <c r="O966" s="174"/>
      <c r="P966" s="174"/>
    </row>
    <row r="967">
      <c r="A967" s="171"/>
      <c r="B967" s="171" t="str">
        <f t="shared" si="4"/>
        <v/>
      </c>
      <c r="C967" s="174"/>
      <c r="D967" s="179"/>
      <c r="E967" s="174"/>
      <c r="F967" s="174"/>
      <c r="G967" s="171"/>
      <c r="H967" s="174"/>
      <c r="I967" s="174"/>
      <c r="J967" s="174"/>
      <c r="K967" s="174"/>
      <c r="L967" s="174"/>
      <c r="M967" s="174"/>
      <c r="N967" s="174"/>
      <c r="O967" s="174"/>
      <c r="P967" s="174"/>
    </row>
    <row r="968">
      <c r="A968" s="171"/>
      <c r="B968" s="171" t="str">
        <f t="shared" si="4"/>
        <v/>
      </c>
      <c r="C968" s="174"/>
      <c r="D968" s="179"/>
      <c r="E968" s="174"/>
      <c r="F968" s="174"/>
      <c r="G968" s="171"/>
      <c r="H968" s="174"/>
      <c r="I968" s="174"/>
      <c r="J968" s="174"/>
      <c r="K968" s="174"/>
      <c r="L968" s="174"/>
      <c r="M968" s="174"/>
      <c r="N968" s="174"/>
      <c r="O968" s="174"/>
      <c r="P968" s="174"/>
    </row>
    <row r="969">
      <c r="A969" s="171"/>
      <c r="B969" s="171" t="str">
        <f t="shared" si="4"/>
        <v/>
      </c>
      <c r="C969" s="174"/>
      <c r="D969" s="179"/>
      <c r="E969" s="174"/>
      <c r="F969" s="174"/>
      <c r="G969" s="171"/>
      <c r="H969" s="174"/>
      <c r="I969" s="174"/>
      <c r="J969" s="174"/>
      <c r="K969" s="174"/>
      <c r="L969" s="174"/>
      <c r="M969" s="174"/>
      <c r="N969" s="174"/>
      <c r="O969" s="174"/>
      <c r="P969" s="174"/>
    </row>
    <row r="970">
      <c r="A970" s="171"/>
      <c r="B970" s="171" t="str">
        <f t="shared" si="4"/>
        <v/>
      </c>
      <c r="C970" s="174"/>
      <c r="D970" s="179"/>
      <c r="E970" s="174"/>
      <c r="F970" s="174"/>
      <c r="G970" s="171"/>
      <c r="H970" s="174"/>
      <c r="I970" s="174"/>
      <c r="J970" s="174"/>
      <c r="K970" s="174"/>
      <c r="L970" s="174"/>
      <c r="M970" s="174"/>
      <c r="N970" s="174"/>
      <c r="O970" s="174"/>
      <c r="P970" s="174"/>
    </row>
    <row r="971">
      <c r="A971" s="180"/>
      <c r="B971" s="180"/>
      <c r="C971" s="180"/>
      <c r="D971" s="181"/>
      <c r="E971" s="180"/>
      <c r="F971" s="180"/>
      <c r="G971" s="171"/>
      <c r="H971" s="180"/>
      <c r="I971" s="180"/>
      <c r="J971" s="180"/>
      <c r="K971" s="180"/>
      <c r="L971" s="180"/>
      <c r="M971" s="180"/>
      <c r="N971" s="180"/>
      <c r="O971" s="180"/>
      <c r="P971" s="180"/>
    </row>
    <row r="972">
      <c r="A972" s="180"/>
      <c r="B972" s="180"/>
      <c r="C972" s="180"/>
      <c r="D972" s="181"/>
      <c r="E972" s="180"/>
      <c r="F972" s="180"/>
      <c r="G972" s="171"/>
      <c r="H972" s="180"/>
      <c r="I972" s="180"/>
      <c r="J972" s="180"/>
      <c r="K972" s="180"/>
      <c r="L972" s="180"/>
      <c r="M972" s="180"/>
      <c r="N972" s="180"/>
      <c r="O972" s="180"/>
      <c r="P972" s="180"/>
    </row>
    <row r="973">
      <c r="A973" s="180"/>
      <c r="B973" s="180"/>
      <c r="C973" s="180"/>
      <c r="D973" s="181"/>
      <c r="E973" s="180"/>
      <c r="F973" s="180"/>
      <c r="G973" s="171"/>
      <c r="H973" s="180"/>
      <c r="I973" s="180"/>
      <c r="J973" s="180"/>
      <c r="K973" s="180"/>
      <c r="L973" s="180"/>
      <c r="M973" s="180"/>
      <c r="N973" s="180"/>
      <c r="O973" s="180"/>
      <c r="P973" s="180"/>
    </row>
    <row r="974">
      <c r="A974" s="180"/>
      <c r="B974" s="180"/>
      <c r="C974" s="180"/>
      <c r="D974" s="181"/>
      <c r="E974" s="180"/>
      <c r="F974" s="180"/>
      <c r="G974" s="171"/>
      <c r="H974" s="180"/>
      <c r="I974" s="180"/>
      <c r="J974" s="180"/>
      <c r="K974" s="180"/>
      <c r="L974" s="180"/>
      <c r="M974" s="180"/>
      <c r="N974" s="180"/>
      <c r="O974" s="180"/>
      <c r="P974" s="180"/>
    </row>
    <row r="975">
      <c r="A975" s="180"/>
      <c r="B975" s="180"/>
      <c r="C975" s="180"/>
      <c r="D975" s="181"/>
      <c r="E975" s="180"/>
      <c r="F975" s="180"/>
      <c r="G975" s="171"/>
      <c r="H975" s="180"/>
      <c r="I975" s="180"/>
      <c r="J975" s="180"/>
      <c r="K975" s="180"/>
      <c r="L975" s="180"/>
      <c r="M975" s="180"/>
      <c r="N975" s="180"/>
      <c r="O975" s="180"/>
      <c r="P975" s="180"/>
    </row>
    <row r="976">
      <c r="A976" s="180"/>
      <c r="B976" s="180"/>
      <c r="C976" s="180"/>
      <c r="D976" s="181"/>
      <c r="E976" s="180"/>
      <c r="F976" s="180"/>
      <c r="G976" s="171"/>
      <c r="H976" s="180"/>
      <c r="I976" s="180"/>
      <c r="J976" s="180"/>
      <c r="K976" s="180"/>
      <c r="L976" s="180"/>
      <c r="M976" s="180"/>
      <c r="N976" s="180"/>
      <c r="O976" s="180"/>
      <c r="P976" s="180"/>
    </row>
    <row r="977">
      <c r="A977" s="180"/>
      <c r="B977" s="180"/>
      <c r="C977" s="180"/>
      <c r="D977" s="181"/>
      <c r="E977" s="180"/>
      <c r="F977" s="180"/>
      <c r="G977" s="171"/>
      <c r="H977" s="180"/>
      <c r="I977" s="180"/>
      <c r="J977" s="180"/>
      <c r="K977" s="180"/>
      <c r="L977" s="180"/>
      <c r="M977" s="180"/>
      <c r="N977" s="180"/>
      <c r="O977" s="180"/>
      <c r="P977" s="180"/>
    </row>
    <row r="978">
      <c r="A978" s="180"/>
      <c r="B978" s="180"/>
      <c r="C978" s="180"/>
      <c r="D978" s="181"/>
      <c r="E978" s="180"/>
      <c r="F978" s="180"/>
      <c r="G978" s="171"/>
      <c r="H978" s="180"/>
      <c r="I978" s="180"/>
      <c r="J978" s="180"/>
      <c r="K978" s="180"/>
      <c r="L978" s="180"/>
      <c r="M978" s="180"/>
      <c r="N978" s="180"/>
      <c r="O978" s="180"/>
      <c r="P978" s="180"/>
    </row>
    <row r="979">
      <c r="A979" s="180"/>
      <c r="B979" s="180"/>
      <c r="C979" s="180"/>
      <c r="D979" s="181"/>
      <c r="E979" s="180"/>
      <c r="F979" s="180"/>
      <c r="G979" s="171"/>
      <c r="H979" s="180"/>
      <c r="I979" s="180"/>
      <c r="J979" s="180"/>
      <c r="K979" s="180"/>
      <c r="L979" s="180"/>
      <c r="M979" s="180"/>
      <c r="N979" s="180"/>
      <c r="O979" s="180"/>
      <c r="P979" s="180"/>
    </row>
    <row r="980">
      <c r="A980" s="180"/>
      <c r="B980" s="180"/>
      <c r="C980" s="180"/>
      <c r="D980" s="181"/>
      <c r="E980" s="180"/>
      <c r="F980" s="180"/>
      <c r="G980" s="171"/>
      <c r="H980" s="180"/>
      <c r="I980" s="180"/>
      <c r="J980" s="180"/>
      <c r="K980" s="180"/>
      <c r="L980" s="180"/>
      <c r="M980" s="180"/>
      <c r="N980" s="180"/>
      <c r="O980" s="180"/>
      <c r="P980" s="180"/>
    </row>
    <row r="981">
      <c r="A981" s="180"/>
      <c r="B981" s="180"/>
      <c r="C981" s="180"/>
      <c r="D981" s="181"/>
      <c r="E981" s="180"/>
      <c r="F981" s="180"/>
      <c r="G981" s="171"/>
      <c r="H981" s="180"/>
      <c r="I981" s="180"/>
      <c r="J981" s="180"/>
      <c r="K981" s="180"/>
      <c r="L981" s="180"/>
      <c r="M981" s="180"/>
      <c r="N981" s="180"/>
      <c r="O981" s="180"/>
      <c r="P981" s="180"/>
    </row>
    <row r="982">
      <c r="A982" s="180"/>
      <c r="B982" s="180"/>
      <c r="C982" s="180"/>
      <c r="D982" s="181"/>
      <c r="E982" s="180"/>
      <c r="F982" s="180"/>
      <c r="G982" s="171"/>
      <c r="H982" s="180"/>
      <c r="I982" s="180"/>
      <c r="J982" s="180"/>
      <c r="K982" s="180"/>
      <c r="L982" s="180"/>
      <c r="M982" s="180"/>
      <c r="N982" s="180"/>
      <c r="O982" s="180"/>
      <c r="P982" s="180"/>
    </row>
    <row r="983">
      <c r="A983" s="180"/>
      <c r="B983" s="180"/>
      <c r="C983" s="180"/>
      <c r="D983" s="181"/>
      <c r="E983" s="180"/>
      <c r="F983" s="180"/>
      <c r="G983" s="171"/>
      <c r="H983" s="180"/>
      <c r="I983" s="180"/>
      <c r="J983" s="180"/>
      <c r="K983" s="180"/>
      <c r="L983" s="180"/>
      <c r="M983" s="180"/>
      <c r="N983" s="180"/>
      <c r="O983" s="180"/>
      <c r="P983" s="180"/>
    </row>
    <row r="984">
      <c r="A984" s="180"/>
      <c r="B984" s="180"/>
      <c r="C984" s="180"/>
      <c r="D984" s="181"/>
      <c r="E984" s="180"/>
      <c r="F984" s="180"/>
      <c r="G984" s="171"/>
      <c r="H984" s="180"/>
      <c r="I984" s="180"/>
      <c r="J984" s="180"/>
      <c r="K984" s="180"/>
      <c r="L984" s="180"/>
      <c r="M984" s="180"/>
      <c r="N984" s="180"/>
      <c r="O984" s="180"/>
      <c r="P984" s="180"/>
    </row>
    <row r="985">
      <c r="A985" s="180"/>
      <c r="B985" s="180"/>
      <c r="C985" s="180"/>
      <c r="D985" s="181"/>
      <c r="E985" s="180"/>
      <c r="F985" s="180"/>
      <c r="G985" s="171"/>
      <c r="H985" s="180"/>
      <c r="I985" s="180"/>
      <c r="J985" s="180"/>
      <c r="K985" s="180"/>
      <c r="L985" s="180"/>
      <c r="M985" s="180"/>
      <c r="N985" s="180"/>
      <c r="O985" s="180"/>
      <c r="P985" s="180"/>
    </row>
    <row r="986">
      <c r="A986" s="180"/>
      <c r="B986" s="180"/>
      <c r="C986" s="180"/>
      <c r="D986" s="181"/>
      <c r="E986" s="180"/>
      <c r="F986" s="180"/>
      <c r="G986" s="171"/>
      <c r="H986" s="180"/>
      <c r="I986" s="180"/>
      <c r="J986" s="180"/>
      <c r="K986" s="180"/>
      <c r="L986" s="180"/>
      <c r="M986" s="180"/>
      <c r="N986" s="180"/>
      <c r="O986" s="180"/>
      <c r="P986" s="180"/>
    </row>
    <row r="987">
      <c r="A987" s="180"/>
      <c r="B987" s="180"/>
      <c r="C987" s="180"/>
      <c r="D987" s="181"/>
      <c r="E987" s="180"/>
      <c r="F987" s="180"/>
      <c r="G987" s="171"/>
      <c r="H987" s="180"/>
      <c r="I987" s="180"/>
      <c r="J987" s="180"/>
      <c r="K987" s="180"/>
      <c r="L987" s="180"/>
      <c r="M987" s="180"/>
      <c r="N987" s="180"/>
      <c r="O987" s="180"/>
      <c r="P987" s="180"/>
    </row>
    <row r="988">
      <c r="A988" s="180"/>
      <c r="B988" s="180"/>
      <c r="C988" s="180"/>
      <c r="D988" s="181"/>
      <c r="E988" s="180"/>
      <c r="F988" s="180"/>
      <c r="G988" s="171"/>
      <c r="H988" s="180"/>
      <c r="I988" s="180"/>
      <c r="J988" s="180"/>
      <c r="K988" s="180"/>
      <c r="L988" s="180"/>
      <c r="M988" s="180"/>
      <c r="N988" s="180"/>
      <c r="O988" s="180"/>
      <c r="P988" s="180"/>
    </row>
    <row r="989">
      <c r="A989" s="180"/>
      <c r="B989" s="180"/>
      <c r="C989" s="180"/>
      <c r="D989" s="181"/>
      <c r="E989" s="180"/>
      <c r="F989" s="180"/>
      <c r="G989" s="171"/>
      <c r="H989" s="180"/>
      <c r="I989" s="180"/>
      <c r="J989" s="180"/>
      <c r="K989" s="180"/>
      <c r="L989" s="180"/>
      <c r="M989" s="180"/>
      <c r="N989" s="180"/>
      <c r="O989" s="180"/>
      <c r="P989" s="180"/>
    </row>
    <row r="990">
      <c r="A990" s="180"/>
      <c r="B990" s="180"/>
      <c r="C990" s="180"/>
      <c r="D990" s="181"/>
      <c r="E990" s="180"/>
      <c r="F990" s="180"/>
      <c r="G990" s="171"/>
      <c r="H990" s="180"/>
      <c r="I990" s="180"/>
      <c r="J990" s="180"/>
      <c r="K990" s="180"/>
      <c r="L990" s="180"/>
      <c r="M990" s="180"/>
      <c r="N990" s="180"/>
      <c r="O990" s="180"/>
      <c r="P990" s="180"/>
    </row>
    <row r="991">
      <c r="A991" s="180"/>
      <c r="B991" s="180"/>
      <c r="C991" s="180"/>
      <c r="D991" s="181"/>
      <c r="E991" s="180"/>
      <c r="F991" s="180"/>
      <c r="G991" s="171"/>
      <c r="H991" s="180"/>
      <c r="I991" s="180"/>
      <c r="J991" s="180"/>
      <c r="K991" s="180"/>
      <c r="L991" s="180"/>
      <c r="M991" s="180"/>
      <c r="N991" s="180"/>
      <c r="O991" s="180"/>
      <c r="P991" s="180"/>
    </row>
    <row r="992">
      <c r="A992" s="180"/>
      <c r="B992" s="180"/>
      <c r="C992" s="180"/>
      <c r="D992" s="181"/>
      <c r="E992" s="180"/>
      <c r="F992" s="180"/>
      <c r="G992" s="171"/>
      <c r="H992" s="180"/>
      <c r="I992" s="180"/>
      <c r="J992" s="180"/>
      <c r="K992" s="180"/>
      <c r="L992" s="180"/>
      <c r="M992" s="180"/>
      <c r="N992" s="180"/>
      <c r="O992" s="180"/>
      <c r="P992" s="180"/>
    </row>
    <row r="993">
      <c r="A993" s="180"/>
      <c r="B993" s="180"/>
      <c r="C993" s="180"/>
      <c r="D993" s="181"/>
      <c r="E993" s="180"/>
      <c r="F993" s="180"/>
      <c r="G993" s="171"/>
      <c r="H993" s="180"/>
      <c r="I993" s="180"/>
      <c r="J993" s="180"/>
      <c r="K993" s="180"/>
      <c r="L993" s="180"/>
      <c r="M993" s="180"/>
      <c r="N993" s="180"/>
      <c r="O993" s="180"/>
      <c r="P993" s="180"/>
    </row>
    <row r="994">
      <c r="A994" s="180"/>
      <c r="B994" s="180"/>
      <c r="C994" s="180"/>
      <c r="D994" s="181"/>
      <c r="E994" s="180"/>
      <c r="F994" s="180"/>
      <c r="G994" s="171"/>
      <c r="H994" s="180"/>
      <c r="I994" s="180"/>
      <c r="J994" s="180"/>
      <c r="K994" s="180"/>
      <c r="L994" s="180"/>
      <c r="M994" s="180"/>
      <c r="N994" s="180"/>
      <c r="O994" s="180"/>
      <c r="P994" s="180"/>
    </row>
    <row r="995">
      <c r="A995" s="180"/>
      <c r="B995" s="180"/>
      <c r="C995" s="180"/>
      <c r="D995" s="181"/>
      <c r="E995" s="180"/>
      <c r="F995" s="180"/>
      <c r="G995" s="171"/>
      <c r="H995" s="180"/>
      <c r="I995" s="180"/>
      <c r="J995" s="180"/>
      <c r="K995" s="180"/>
      <c r="L995" s="180"/>
      <c r="M995" s="180"/>
      <c r="N995" s="180"/>
      <c r="O995" s="180"/>
      <c r="P995" s="180"/>
    </row>
    <row r="996">
      <c r="A996" s="180"/>
      <c r="B996" s="180"/>
      <c r="C996" s="180"/>
      <c r="D996" s="181"/>
      <c r="E996" s="180"/>
      <c r="F996" s="180"/>
      <c r="G996" s="171"/>
      <c r="H996" s="180"/>
      <c r="I996" s="180"/>
      <c r="J996" s="180"/>
      <c r="K996" s="180"/>
      <c r="L996" s="180"/>
      <c r="M996" s="180"/>
      <c r="N996" s="180"/>
      <c r="O996" s="180"/>
      <c r="P996" s="180"/>
    </row>
    <row r="997">
      <c r="A997" s="180"/>
      <c r="B997" s="180"/>
      <c r="C997" s="180"/>
      <c r="D997" s="181"/>
      <c r="E997" s="180"/>
      <c r="F997" s="180"/>
      <c r="G997" s="171"/>
      <c r="H997" s="180"/>
      <c r="I997" s="180"/>
      <c r="J997" s="180"/>
      <c r="K997" s="180"/>
      <c r="L997" s="180"/>
      <c r="M997" s="180"/>
      <c r="N997" s="180"/>
      <c r="O997" s="180"/>
      <c r="P997" s="180"/>
    </row>
    <row r="998">
      <c r="A998" s="180"/>
      <c r="B998" s="180"/>
      <c r="C998" s="180"/>
      <c r="D998" s="181"/>
      <c r="E998" s="180"/>
      <c r="F998" s="180"/>
      <c r="G998" s="171"/>
      <c r="H998" s="180"/>
      <c r="I998" s="180"/>
      <c r="J998" s="180"/>
      <c r="K998" s="180"/>
      <c r="L998" s="180"/>
      <c r="M998" s="180"/>
      <c r="N998" s="180"/>
      <c r="O998" s="180"/>
      <c r="P998" s="180"/>
    </row>
    <row r="999">
      <c r="A999" s="180"/>
      <c r="B999" s="180"/>
      <c r="C999" s="180"/>
      <c r="D999" s="181"/>
      <c r="E999" s="180"/>
      <c r="F999" s="180"/>
      <c r="G999" s="171"/>
      <c r="H999" s="180"/>
      <c r="I999" s="180"/>
      <c r="J999" s="180"/>
      <c r="K999" s="180"/>
      <c r="L999" s="180"/>
      <c r="M999" s="180"/>
      <c r="N999" s="180"/>
      <c r="O999" s="180"/>
      <c r="P999" s="180"/>
    </row>
    <row r="1000">
      <c r="A1000" s="180"/>
      <c r="B1000" s="180"/>
      <c r="C1000" s="180"/>
      <c r="D1000" s="181"/>
      <c r="E1000" s="180"/>
      <c r="F1000" s="180"/>
      <c r="G1000" s="171"/>
      <c r="H1000" s="180"/>
      <c r="I1000" s="180"/>
      <c r="J1000" s="180"/>
      <c r="K1000" s="180"/>
      <c r="L1000" s="180"/>
      <c r="M1000" s="180"/>
      <c r="N1000" s="180"/>
      <c r="O1000" s="180"/>
      <c r="P1000" s="180"/>
    </row>
    <row r="1001">
      <c r="A1001" s="180"/>
      <c r="B1001" s="180"/>
      <c r="C1001" s="180"/>
      <c r="D1001" s="181"/>
      <c r="E1001" s="180"/>
      <c r="F1001" s="180"/>
      <c r="G1001" s="171"/>
      <c r="H1001" s="180"/>
      <c r="I1001" s="180"/>
      <c r="J1001" s="180"/>
      <c r="K1001" s="180"/>
      <c r="L1001" s="180"/>
      <c r="M1001" s="180"/>
      <c r="N1001" s="180"/>
      <c r="O1001" s="180"/>
      <c r="P1001" s="180"/>
    </row>
    <row r="1002">
      <c r="A1002" s="180"/>
      <c r="B1002" s="180"/>
      <c r="C1002" s="180"/>
      <c r="D1002" s="181"/>
      <c r="E1002" s="180"/>
      <c r="F1002" s="180"/>
      <c r="G1002" s="171"/>
      <c r="H1002" s="180"/>
      <c r="I1002" s="180"/>
      <c r="J1002" s="180"/>
      <c r="K1002" s="180"/>
      <c r="L1002" s="180"/>
      <c r="M1002" s="180"/>
      <c r="N1002" s="180"/>
      <c r="O1002" s="180"/>
      <c r="P1002" s="180"/>
    </row>
    <row r="1003">
      <c r="A1003" s="180"/>
      <c r="B1003" s="180"/>
      <c r="C1003" s="180"/>
      <c r="D1003" s="181"/>
      <c r="E1003" s="180"/>
      <c r="F1003" s="180"/>
      <c r="G1003" s="171"/>
      <c r="H1003" s="180"/>
      <c r="I1003" s="180"/>
      <c r="J1003" s="180"/>
      <c r="K1003" s="180"/>
      <c r="L1003" s="180"/>
      <c r="M1003" s="180"/>
      <c r="N1003" s="180"/>
      <c r="O1003" s="180"/>
      <c r="P1003" s="180"/>
    </row>
    <row r="1004">
      <c r="A1004" s="180"/>
      <c r="B1004" s="180"/>
      <c r="C1004" s="180"/>
      <c r="D1004" s="181"/>
      <c r="E1004" s="180"/>
      <c r="F1004" s="180"/>
      <c r="G1004" s="171"/>
      <c r="H1004" s="180"/>
      <c r="I1004" s="180"/>
      <c r="J1004" s="180"/>
      <c r="K1004" s="180"/>
      <c r="L1004" s="180"/>
      <c r="M1004" s="180"/>
      <c r="N1004" s="180"/>
      <c r="O1004" s="180"/>
      <c r="P1004" s="180"/>
    </row>
    <row r="1005">
      <c r="A1005" s="180"/>
      <c r="B1005" s="180"/>
      <c r="C1005" s="180"/>
      <c r="D1005" s="181"/>
      <c r="E1005" s="180"/>
      <c r="F1005" s="180"/>
      <c r="G1005" s="171"/>
      <c r="H1005" s="180"/>
      <c r="I1005" s="180"/>
      <c r="J1005" s="180"/>
      <c r="K1005" s="180"/>
      <c r="L1005" s="180"/>
      <c r="M1005" s="180"/>
      <c r="N1005" s="180"/>
      <c r="O1005" s="180"/>
      <c r="P1005" s="180"/>
    </row>
    <row r="1006">
      <c r="A1006" s="180"/>
      <c r="B1006" s="180"/>
      <c r="C1006" s="180"/>
      <c r="D1006" s="181"/>
      <c r="E1006" s="180"/>
      <c r="F1006" s="180"/>
      <c r="G1006" s="171"/>
      <c r="H1006" s="180"/>
      <c r="I1006" s="180"/>
      <c r="J1006" s="180"/>
      <c r="K1006" s="180"/>
      <c r="L1006" s="180"/>
      <c r="M1006" s="180"/>
      <c r="N1006" s="180"/>
      <c r="O1006" s="180"/>
      <c r="P1006" s="180"/>
    </row>
    <row r="1007">
      <c r="A1007" s="180"/>
      <c r="B1007" s="180"/>
      <c r="C1007" s="180"/>
      <c r="D1007" s="181"/>
      <c r="E1007" s="180"/>
      <c r="F1007" s="180"/>
      <c r="G1007" s="171"/>
      <c r="H1007" s="180"/>
      <c r="I1007" s="180"/>
      <c r="J1007" s="180"/>
      <c r="K1007" s="180"/>
      <c r="L1007" s="180"/>
      <c r="M1007" s="180"/>
      <c r="N1007" s="180"/>
      <c r="O1007" s="180"/>
      <c r="P1007" s="180"/>
    </row>
    <row r="1008">
      <c r="A1008" s="180"/>
      <c r="B1008" s="180"/>
      <c r="C1008" s="180"/>
      <c r="D1008" s="181"/>
      <c r="E1008" s="180"/>
      <c r="F1008" s="180"/>
      <c r="G1008" s="171"/>
      <c r="H1008" s="180"/>
      <c r="I1008" s="180"/>
      <c r="J1008" s="180"/>
      <c r="K1008" s="180"/>
      <c r="L1008" s="180"/>
      <c r="M1008" s="180"/>
      <c r="N1008" s="180"/>
      <c r="O1008" s="180"/>
      <c r="P1008" s="180"/>
    </row>
    <row r="1009">
      <c r="A1009" s="180"/>
      <c r="B1009" s="180"/>
      <c r="C1009" s="180"/>
      <c r="D1009" s="181"/>
      <c r="E1009" s="180"/>
      <c r="F1009" s="180"/>
      <c r="G1009" s="171"/>
      <c r="H1009" s="180"/>
      <c r="I1009" s="180"/>
      <c r="J1009" s="180"/>
      <c r="K1009" s="180"/>
      <c r="L1009" s="180"/>
      <c r="M1009" s="180"/>
      <c r="N1009" s="180"/>
      <c r="O1009" s="180"/>
      <c r="P1009" s="180"/>
    </row>
    <row r="1010">
      <c r="A1010" s="180"/>
      <c r="B1010" s="180"/>
      <c r="C1010" s="180"/>
      <c r="D1010" s="181"/>
      <c r="E1010" s="180"/>
      <c r="F1010" s="180"/>
      <c r="G1010" s="171"/>
      <c r="H1010" s="180"/>
      <c r="I1010" s="180"/>
      <c r="J1010" s="180"/>
      <c r="K1010" s="180"/>
      <c r="L1010" s="180"/>
      <c r="M1010" s="180"/>
      <c r="N1010" s="180"/>
      <c r="O1010" s="180"/>
      <c r="P1010" s="180"/>
    </row>
    <row r="1011">
      <c r="A1011" s="180"/>
      <c r="B1011" s="180"/>
      <c r="C1011" s="180"/>
      <c r="D1011" s="181"/>
      <c r="E1011" s="180"/>
      <c r="F1011" s="180"/>
      <c r="G1011" s="171"/>
      <c r="H1011" s="180"/>
      <c r="I1011" s="180"/>
      <c r="J1011" s="180"/>
      <c r="K1011" s="180"/>
      <c r="L1011" s="180"/>
      <c r="M1011" s="180"/>
      <c r="N1011" s="180"/>
      <c r="O1011" s="180"/>
      <c r="P1011" s="180"/>
    </row>
    <row r="1012">
      <c r="A1012" s="180"/>
      <c r="B1012" s="180"/>
      <c r="C1012" s="180"/>
      <c r="D1012" s="181"/>
      <c r="E1012" s="180"/>
      <c r="F1012" s="180"/>
      <c r="G1012" s="171"/>
      <c r="H1012" s="180"/>
      <c r="I1012" s="180"/>
      <c r="J1012" s="180"/>
      <c r="K1012" s="180"/>
      <c r="L1012" s="180"/>
      <c r="M1012" s="180"/>
      <c r="N1012" s="180"/>
      <c r="O1012" s="180"/>
      <c r="P1012" s="180"/>
    </row>
    <row r="1013">
      <c r="A1013" s="180"/>
      <c r="B1013" s="180"/>
      <c r="C1013" s="180"/>
      <c r="D1013" s="181"/>
      <c r="E1013" s="180"/>
      <c r="F1013" s="180"/>
      <c r="G1013" s="171"/>
      <c r="H1013" s="180"/>
      <c r="I1013" s="180"/>
      <c r="J1013" s="180"/>
      <c r="K1013" s="180"/>
      <c r="L1013" s="180"/>
      <c r="M1013" s="180"/>
      <c r="N1013" s="180"/>
      <c r="O1013" s="180"/>
      <c r="P1013" s="180"/>
    </row>
    <row r="1014">
      <c r="A1014" s="180"/>
      <c r="B1014" s="180"/>
      <c r="C1014" s="180"/>
      <c r="D1014" s="181"/>
      <c r="E1014" s="180"/>
      <c r="F1014" s="180"/>
      <c r="G1014" s="171"/>
      <c r="H1014" s="180"/>
      <c r="I1014" s="180"/>
      <c r="J1014" s="180"/>
      <c r="K1014" s="180"/>
      <c r="L1014" s="180"/>
      <c r="M1014" s="180"/>
      <c r="N1014" s="180"/>
      <c r="O1014" s="180"/>
      <c r="P1014" s="180"/>
    </row>
    <row r="1015">
      <c r="A1015" s="180"/>
      <c r="B1015" s="180"/>
      <c r="C1015" s="180"/>
      <c r="D1015" s="181"/>
      <c r="E1015" s="180"/>
      <c r="F1015" s="180"/>
      <c r="G1015" s="171"/>
      <c r="H1015" s="180"/>
      <c r="I1015" s="180"/>
      <c r="J1015" s="180"/>
      <c r="K1015" s="180"/>
      <c r="L1015" s="180"/>
      <c r="M1015" s="180"/>
      <c r="N1015" s="180"/>
      <c r="O1015" s="180"/>
      <c r="P1015" s="180"/>
    </row>
    <row r="1016">
      <c r="A1016" s="180"/>
      <c r="B1016" s="180"/>
      <c r="C1016" s="180"/>
      <c r="D1016" s="181"/>
      <c r="E1016" s="180"/>
      <c r="F1016" s="180"/>
      <c r="G1016" s="171"/>
      <c r="H1016" s="180"/>
      <c r="I1016" s="180"/>
      <c r="J1016" s="180"/>
      <c r="K1016" s="180"/>
      <c r="L1016" s="180"/>
      <c r="M1016" s="180"/>
      <c r="N1016" s="180"/>
      <c r="O1016" s="180"/>
      <c r="P1016" s="180"/>
    </row>
    <row r="1017">
      <c r="A1017" s="180"/>
      <c r="B1017" s="180"/>
      <c r="C1017" s="180"/>
      <c r="D1017" s="181"/>
      <c r="E1017" s="180"/>
      <c r="F1017" s="180"/>
      <c r="G1017" s="171"/>
      <c r="H1017" s="180"/>
      <c r="I1017" s="180"/>
      <c r="J1017" s="180"/>
      <c r="K1017" s="180"/>
      <c r="L1017" s="180"/>
      <c r="M1017" s="180"/>
      <c r="N1017" s="180"/>
      <c r="O1017" s="180"/>
      <c r="P1017" s="180"/>
    </row>
    <row r="1018">
      <c r="A1018" s="180"/>
      <c r="B1018" s="180"/>
      <c r="C1018" s="180"/>
      <c r="D1018" s="181"/>
      <c r="E1018" s="180"/>
      <c r="F1018" s="180"/>
      <c r="G1018" s="171"/>
      <c r="H1018" s="180"/>
      <c r="I1018" s="180"/>
      <c r="J1018" s="180"/>
      <c r="K1018" s="180"/>
      <c r="L1018" s="180"/>
      <c r="M1018" s="180"/>
      <c r="N1018" s="180"/>
      <c r="O1018" s="180"/>
      <c r="P1018" s="180"/>
    </row>
    <row r="1019">
      <c r="A1019" s="180"/>
      <c r="B1019" s="180"/>
      <c r="C1019" s="180"/>
      <c r="D1019" s="181"/>
      <c r="E1019" s="180"/>
      <c r="F1019" s="180"/>
      <c r="G1019" s="171"/>
      <c r="H1019" s="180"/>
      <c r="I1019" s="180"/>
      <c r="J1019" s="180"/>
      <c r="K1019" s="180"/>
      <c r="L1019" s="180"/>
      <c r="M1019" s="180"/>
      <c r="N1019" s="180"/>
      <c r="O1019" s="180"/>
      <c r="P1019" s="180"/>
    </row>
    <row r="1020">
      <c r="A1020" s="180"/>
      <c r="B1020" s="180"/>
      <c r="C1020" s="180"/>
      <c r="D1020" s="181"/>
      <c r="E1020" s="180"/>
      <c r="F1020" s="180"/>
      <c r="G1020" s="171"/>
      <c r="H1020" s="180"/>
      <c r="I1020" s="180"/>
      <c r="J1020" s="180"/>
      <c r="K1020" s="180"/>
      <c r="L1020" s="180"/>
      <c r="M1020" s="180"/>
      <c r="N1020" s="180"/>
      <c r="O1020" s="180"/>
      <c r="P1020" s="180"/>
    </row>
    <row r="1021">
      <c r="A1021" s="180"/>
      <c r="B1021" s="180"/>
      <c r="C1021" s="180"/>
      <c r="D1021" s="181"/>
      <c r="E1021" s="180"/>
      <c r="F1021" s="180"/>
      <c r="G1021" s="171"/>
      <c r="H1021" s="180"/>
      <c r="I1021" s="180"/>
      <c r="J1021" s="180"/>
      <c r="K1021" s="180"/>
      <c r="L1021" s="180"/>
      <c r="M1021" s="180"/>
      <c r="N1021" s="180"/>
      <c r="O1021" s="180"/>
      <c r="P1021" s="180"/>
    </row>
    <row r="1022">
      <c r="A1022" s="180"/>
      <c r="B1022" s="180"/>
      <c r="C1022" s="180"/>
      <c r="D1022" s="181"/>
      <c r="E1022" s="180"/>
      <c r="F1022" s="180"/>
      <c r="G1022" s="171"/>
      <c r="H1022" s="180"/>
      <c r="I1022" s="180"/>
      <c r="J1022" s="180"/>
      <c r="K1022" s="180"/>
      <c r="L1022" s="180"/>
      <c r="M1022" s="180"/>
      <c r="N1022" s="180"/>
      <c r="O1022" s="180"/>
      <c r="P1022" s="180"/>
    </row>
    <row r="1023">
      <c r="A1023" s="180"/>
      <c r="B1023" s="180"/>
      <c r="C1023" s="180"/>
      <c r="D1023" s="181"/>
      <c r="E1023" s="180"/>
      <c r="F1023" s="180"/>
      <c r="G1023" s="171"/>
      <c r="H1023" s="180"/>
      <c r="I1023" s="180"/>
      <c r="J1023" s="180"/>
      <c r="K1023" s="180"/>
      <c r="L1023" s="180"/>
      <c r="M1023" s="180"/>
      <c r="N1023" s="180"/>
      <c r="O1023" s="180"/>
      <c r="P1023" s="180"/>
    </row>
    <row r="1024">
      <c r="A1024" s="180"/>
      <c r="B1024" s="180"/>
      <c r="C1024" s="180"/>
      <c r="D1024" s="181"/>
      <c r="E1024" s="180"/>
      <c r="F1024" s="180"/>
      <c r="G1024" s="171"/>
      <c r="H1024" s="180"/>
      <c r="I1024" s="180"/>
      <c r="J1024" s="180"/>
      <c r="K1024" s="180"/>
      <c r="L1024" s="180"/>
      <c r="M1024" s="180"/>
      <c r="N1024" s="180"/>
      <c r="O1024" s="180"/>
      <c r="P1024" s="180"/>
    </row>
    <row r="1025">
      <c r="A1025" s="180"/>
      <c r="B1025" s="180"/>
      <c r="C1025" s="180"/>
      <c r="D1025" s="181"/>
      <c r="E1025" s="180"/>
      <c r="F1025" s="180"/>
      <c r="G1025" s="171"/>
      <c r="H1025" s="180"/>
      <c r="I1025" s="180"/>
      <c r="J1025" s="180"/>
      <c r="K1025" s="180"/>
      <c r="L1025" s="180"/>
      <c r="M1025" s="180"/>
      <c r="N1025" s="180"/>
      <c r="O1025" s="180"/>
      <c r="P1025" s="180"/>
    </row>
    <row r="1026">
      <c r="A1026" s="180"/>
      <c r="B1026" s="180"/>
      <c r="C1026" s="180"/>
      <c r="D1026" s="181"/>
      <c r="E1026" s="180"/>
      <c r="F1026" s="180"/>
      <c r="G1026" s="171"/>
      <c r="H1026" s="180"/>
      <c r="I1026" s="180"/>
      <c r="J1026" s="180"/>
      <c r="K1026" s="180"/>
      <c r="L1026" s="180"/>
      <c r="M1026" s="180"/>
      <c r="N1026" s="180"/>
      <c r="O1026" s="180"/>
      <c r="P1026" s="180"/>
    </row>
    <row r="1027">
      <c r="A1027" s="180"/>
      <c r="B1027" s="180"/>
      <c r="C1027" s="180"/>
      <c r="D1027" s="181"/>
      <c r="E1027" s="180"/>
      <c r="F1027" s="180"/>
      <c r="G1027" s="171"/>
      <c r="H1027" s="180"/>
      <c r="I1027" s="180"/>
      <c r="J1027" s="180"/>
      <c r="K1027" s="180"/>
      <c r="L1027" s="180"/>
      <c r="M1027" s="180"/>
      <c r="N1027" s="180"/>
      <c r="O1027" s="180"/>
      <c r="P1027" s="180"/>
    </row>
    <row r="1028">
      <c r="A1028" s="180"/>
      <c r="B1028" s="180"/>
      <c r="C1028" s="180"/>
      <c r="D1028" s="181"/>
      <c r="E1028" s="180"/>
      <c r="F1028" s="180"/>
      <c r="G1028" s="171"/>
      <c r="H1028" s="180"/>
      <c r="I1028" s="180"/>
      <c r="J1028" s="180"/>
      <c r="K1028" s="180"/>
      <c r="L1028" s="180"/>
      <c r="M1028" s="180"/>
      <c r="N1028" s="180"/>
      <c r="O1028" s="180"/>
      <c r="P1028" s="180"/>
    </row>
    <row r="1029">
      <c r="A1029" s="180"/>
      <c r="B1029" s="180"/>
      <c r="C1029" s="180"/>
      <c r="D1029" s="181"/>
      <c r="E1029" s="180"/>
      <c r="F1029" s="180"/>
      <c r="G1029" s="171"/>
      <c r="H1029" s="180"/>
      <c r="I1029" s="180"/>
      <c r="J1029" s="180"/>
      <c r="K1029" s="180"/>
      <c r="L1029" s="180"/>
      <c r="M1029" s="180"/>
      <c r="N1029" s="180"/>
      <c r="O1029" s="180"/>
      <c r="P1029" s="180"/>
    </row>
    <row r="1030">
      <c r="A1030" s="180"/>
      <c r="B1030" s="180"/>
      <c r="C1030" s="180"/>
      <c r="D1030" s="181"/>
      <c r="E1030" s="180"/>
      <c r="F1030" s="180"/>
      <c r="G1030" s="171"/>
      <c r="H1030" s="180"/>
      <c r="I1030" s="180"/>
      <c r="J1030" s="180"/>
      <c r="K1030" s="180"/>
      <c r="L1030" s="180"/>
      <c r="M1030" s="180"/>
      <c r="N1030" s="180"/>
      <c r="O1030" s="180"/>
      <c r="P1030" s="180"/>
    </row>
    <row r="1031">
      <c r="A1031" s="180"/>
      <c r="B1031" s="180"/>
      <c r="C1031" s="180"/>
      <c r="D1031" s="181"/>
      <c r="E1031" s="180"/>
      <c r="F1031" s="180"/>
      <c r="G1031" s="171"/>
      <c r="H1031" s="180"/>
      <c r="I1031" s="180"/>
      <c r="J1031" s="180"/>
      <c r="K1031" s="180"/>
      <c r="L1031" s="180"/>
      <c r="M1031" s="180"/>
      <c r="N1031" s="180"/>
      <c r="O1031" s="180"/>
      <c r="P1031" s="180"/>
    </row>
    <row r="1032">
      <c r="A1032" s="180"/>
      <c r="B1032" s="180"/>
      <c r="C1032" s="180"/>
      <c r="D1032" s="181"/>
      <c r="E1032" s="180"/>
      <c r="F1032" s="180"/>
      <c r="G1032" s="171"/>
      <c r="H1032" s="180"/>
      <c r="I1032" s="180"/>
      <c r="J1032" s="180"/>
      <c r="K1032" s="180"/>
      <c r="L1032" s="180"/>
      <c r="M1032" s="180"/>
      <c r="N1032" s="180"/>
      <c r="O1032" s="180"/>
      <c r="P1032" s="180"/>
    </row>
    <row r="1033">
      <c r="A1033" s="180"/>
      <c r="B1033" s="180"/>
      <c r="C1033" s="180"/>
      <c r="D1033" s="181"/>
      <c r="E1033" s="180"/>
      <c r="F1033" s="180"/>
      <c r="G1033" s="171"/>
      <c r="H1033" s="180"/>
      <c r="I1033" s="180"/>
      <c r="J1033" s="180"/>
      <c r="K1033" s="180"/>
      <c r="L1033" s="180"/>
      <c r="M1033" s="180"/>
      <c r="N1033" s="180"/>
      <c r="O1033" s="180"/>
      <c r="P1033" s="180"/>
    </row>
    <row r="1034">
      <c r="A1034" s="180"/>
      <c r="B1034" s="180"/>
      <c r="C1034" s="180"/>
      <c r="D1034" s="181"/>
      <c r="E1034" s="180"/>
      <c r="F1034" s="180"/>
      <c r="G1034" s="171"/>
      <c r="H1034" s="180"/>
      <c r="I1034" s="180"/>
      <c r="J1034" s="180"/>
      <c r="K1034" s="180"/>
      <c r="L1034" s="180"/>
      <c r="M1034" s="180"/>
      <c r="N1034" s="180"/>
      <c r="O1034" s="180"/>
      <c r="P1034" s="180"/>
    </row>
    <row r="1035">
      <c r="A1035" s="180"/>
      <c r="B1035" s="180"/>
      <c r="C1035" s="180"/>
      <c r="D1035" s="181"/>
      <c r="E1035" s="180"/>
      <c r="F1035" s="180"/>
      <c r="G1035" s="171"/>
      <c r="H1035" s="180"/>
      <c r="I1035" s="180"/>
      <c r="J1035" s="180"/>
      <c r="K1035" s="180"/>
      <c r="L1035" s="180"/>
      <c r="M1035" s="180"/>
      <c r="N1035" s="180"/>
      <c r="O1035" s="180"/>
      <c r="P1035" s="180"/>
    </row>
    <row r="1036">
      <c r="A1036" s="180"/>
      <c r="B1036" s="180"/>
      <c r="C1036" s="180"/>
      <c r="D1036" s="181"/>
      <c r="E1036" s="180"/>
      <c r="F1036" s="180"/>
      <c r="G1036" s="171"/>
      <c r="H1036" s="180"/>
      <c r="I1036" s="180"/>
      <c r="J1036" s="180"/>
      <c r="K1036" s="180"/>
      <c r="L1036" s="180"/>
      <c r="M1036" s="180"/>
      <c r="N1036" s="180"/>
      <c r="O1036" s="180"/>
      <c r="P1036" s="180"/>
    </row>
    <row r="1037">
      <c r="A1037" s="180"/>
      <c r="B1037" s="180"/>
      <c r="C1037" s="180"/>
      <c r="D1037" s="181"/>
      <c r="E1037" s="180"/>
      <c r="F1037" s="180"/>
      <c r="G1037" s="171"/>
      <c r="H1037" s="180"/>
      <c r="I1037" s="180"/>
      <c r="J1037" s="180"/>
      <c r="K1037" s="180"/>
      <c r="L1037" s="180"/>
      <c r="M1037" s="180"/>
      <c r="N1037" s="180"/>
      <c r="O1037" s="180"/>
      <c r="P1037" s="180"/>
    </row>
    <row r="1038">
      <c r="A1038" s="180"/>
      <c r="B1038" s="180"/>
      <c r="C1038" s="180"/>
      <c r="D1038" s="181"/>
      <c r="E1038" s="180"/>
      <c r="F1038" s="180"/>
      <c r="G1038" s="171"/>
      <c r="H1038" s="180"/>
      <c r="I1038" s="180"/>
      <c r="J1038" s="180"/>
      <c r="K1038" s="180"/>
      <c r="L1038" s="180"/>
      <c r="M1038" s="180"/>
      <c r="N1038" s="180"/>
      <c r="O1038" s="180"/>
      <c r="P1038" s="180"/>
    </row>
    <row r="1039">
      <c r="A1039" s="180"/>
      <c r="B1039" s="180"/>
      <c r="C1039" s="180"/>
      <c r="D1039" s="181"/>
      <c r="E1039" s="180"/>
      <c r="F1039" s="180"/>
      <c r="G1039" s="171"/>
      <c r="H1039" s="180"/>
      <c r="I1039" s="180"/>
      <c r="J1039" s="180"/>
      <c r="K1039" s="180"/>
      <c r="L1039" s="180"/>
      <c r="M1039" s="180"/>
      <c r="N1039" s="180"/>
      <c r="O1039" s="180"/>
      <c r="P1039" s="180"/>
    </row>
    <row r="1040">
      <c r="A1040" s="180"/>
      <c r="B1040" s="180"/>
      <c r="C1040" s="180"/>
      <c r="D1040" s="181"/>
      <c r="E1040" s="180"/>
      <c r="F1040" s="180"/>
      <c r="G1040" s="171"/>
      <c r="H1040" s="180"/>
      <c r="I1040" s="180"/>
      <c r="J1040" s="180"/>
      <c r="K1040" s="180"/>
      <c r="L1040" s="180"/>
      <c r="M1040" s="180"/>
      <c r="N1040" s="180"/>
      <c r="O1040" s="180"/>
      <c r="P1040" s="180"/>
    </row>
    <row r="1041">
      <c r="A1041" s="180"/>
      <c r="B1041" s="180"/>
      <c r="C1041" s="180"/>
      <c r="D1041" s="181"/>
      <c r="E1041" s="180"/>
      <c r="F1041" s="180"/>
      <c r="G1041" s="171"/>
      <c r="H1041" s="180"/>
      <c r="I1041" s="180"/>
      <c r="J1041" s="180"/>
      <c r="K1041" s="180"/>
      <c r="L1041" s="180"/>
      <c r="M1041" s="180"/>
      <c r="N1041" s="180"/>
      <c r="O1041" s="180"/>
      <c r="P1041" s="180"/>
    </row>
    <row r="1042">
      <c r="A1042" s="180"/>
      <c r="B1042" s="180"/>
      <c r="C1042" s="180"/>
      <c r="D1042" s="181"/>
      <c r="E1042" s="180"/>
      <c r="F1042" s="180"/>
      <c r="G1042" s="171"/>
      <c r="H1042" s="180"/>
      <c r="I1042" s="180"/>
      <c r="J1042" s="180"/>
      <c r="K1042" s="180"/>
      <c r="L1042" s="180"/>
      <c r="M1042" s="180"/>
      <c r="N1042" s="180"/>
      <c r="O1042" s="180"/>
      <c r="P1042" s="180"/>
    </row>
    <row r="1043">
      <c r="A1043" s="180"/>
      <c r="B1043" s="180"/>
      <c r="C1043" s="180"/>
      <c r="D1043" s="181"/>
      <c r="E1043" s="180"/>
      <c r="F1043" s="180"/>
      <c r="G1043" s="171"/>
      <c r="H1043" s="180"/>
      <c r="I1043" s="180"/>
      <c r="J1043" s="180"/>
      <c r="K1043" s="180"/>
      <c r="L1043" s="180"/>
      <c r="M1043" s="180"/>
      <c r="N1043" s="180"/>
      <c r="O1043" s="180"/>
      <c r="P1043" s="180"/>
    </row>
    <row r="1044">
      <c r="A1044" s="180"/>
      <c r="B1044" s="180"/>
      <c r="C1044" s="180"/>
      <c r="D1044" s="181"/>
      <c r="E1044" s="180"/>
      <c r="F1044" s="180"/>
      <c r="G1044" s="171"/>
      <c r="H1044" s="180"/>
      <c r="I1044" s="180"/>
      <c r="J1044" s="180"/>
      <c r="K1044" s="180"/>
      <c r="L1044" s="180"/>
      <c r="M1044" s="180"/>
      <c r="N1044" s="180"/>
      <c r="O1044" s="180"/>
      <c r="P1044" s="180"/>
    </row>
    <row r="1045">
      <c r="A1045" s="180"/>
      <c r="B1045" s="180"/>
      <c r="C1045" s="180"/>
      <c r="D1045" s="181"/>
      <c r="E1045" s="180"/>
      <c r="F1045" s="180"/>
      <c r="G1045" s="171"/>
      <c r="H1045" s="180"/>
      <c r="I1045" s="180"/>
      <c r="J1045" s="180"/>
      <c r="K1045" s="180"/>
      <c r="L1045" s="180"/>
      <c r="M1045" s="180"/>
      <c r="N1045" s="180"/>
      <c r="O1045" s="180"/>
      <c r="P1045" s="180"/>
    </row>
    <row r="1046">
      <c r="A1046" s="180"/>
      <c r="B1046" s="180"/>
      <c r="C1046" s="180"/>
      <c r="D1046" s="181"/>
      <c r="E1046" s="180"/>
      <c r="F1046" s="180"/>
      <c r="G1046" s="171"/>
      <c r="H1046" s="180"/>
      <c r="I1046" s="180"/>
      <c r="J1046" s="180"/>
      <c r="K1046" s="180"/>
      <c r="L1046" s="180"/>
      <c r="M1046" s="180"/>
      <c r="N1046" s="180"/>
      <c r="O1046" s="180"/>
      <c r="P1046" s="180"/>
    </row>
    <row r="1047">
      <c r="A1047" s="180"/>
      <c r="B1047" s="180"/>
      <c r="C1047" s="180"/>
      <c r="D1047" s="181"/>
      <c r="E1047" s="180"/>
      <c r="F1047" s="180"/>
      <c r="G1047" s="171"/>
      <c r="H1047" s="180"/>
      <c r="I1047" s="180"/>
      <c r="J1047" s="180"/>
      <c r="K1047" s="180"/>
      <c r="L1047" s="180"/>
      <c r="M1047" s="180"/>
      <c r="N1047" s="180"/>
      <c r="O1047" s="180"/>
      <c r="P1047" s="180"/>
    </row>
    <row r="1048">
      <c r="A1048" s="180"/>
      <c r="B1048" s="180"/>
      <c r="C1048" s="180"/>
      <c r="D1048" s="181"/>
      <c r="E1048" s="180"/>
      <c r="F1048" s="180"/>
      <c r="G1048" s="171"/>
      <c r="H1048" s="180"/>
      <c r="I1048" s="180"/>
      <c r="J1048" s="180"/>
      <c r="K1048" s="180"/>
      <c r="L1048" s="180"/>
      <c r="M1048" s="180"/>
      <c r="N1048" s="180"/>
      <c r="O1048" s="180"/>
      <c r="P1048" s="180"/>
    </row>
    <row r="1049">
      <c r="A1049" s="180"/>
      <c r="B1049" s="180"/>
      <c r="C1049" s="180"/>
      <c r="D1049" s="181"/>
      <c r="E1049" s="180"/>
      <c r="F1049" s="180"/>
      <c r="G1049" s="171"/>
      <c r="H1049" s="180"/>
      <c r="I1049" s="180"/>
      <c r="J1049" s="180"/>
      <c r="K1049" s="180"/>
      <c r="L1049" s="180"/>
      <c r="M1049" s="180"/>
      <c r="N1049" s="180"/>
      <c r="O1049" s="180"/>
      <c r="P1049" s="180"/>
    </row>
    <row r="1050">
      <c r="A1050" s="180"/>
      <c r="B1050" s="180"/>
      <c r="C1050" s="180"/>
      <c r="D1050" s="181"/>
      <c r="E1050" s="180"/>
      <c r="F1050" s="180"/>
      <c r="G1050" s="171"/>
      <c r="H1050" s="180"/>
      <c r="I1050" s="180"/>
      <c r="J1050" s="180"/>
      <c r="K1050" s="180"/>
      <c r="L1050" s="180"/>
      <c r="M1050" s="180"/>
      <c r="N1050" s="180"/>
      <c r="O1050" s="180"/>
      <c r="P1050" s="180"/>
    </row>
    <row r="1051">
      <c r="A1051" s="180"/>
      <c r="B1051" s="180"/>
      <c r="C1051" s="180"/>
      <c r="D1051" s="181"/>
      <c r="E1051" s="180"/>
      <c r="F1051" s="180"/>
      <c r="G1051" s="171"/>
      <c r="H1051" s="180"/>
      <c r="I1051" s="180"/>
      <c r="J1051" s="180"/>
      <c r="K1051" s="180"/>
      <c r="L1051" s="180"/>
      <c r="M1051" s="180"/>
      <c r="N1051" s="180"/>
      <c r="O1051" s="180"/>
      <c r="P1051" s="180"/>
    </row>
    <row r="1052">
      <c r="A1052" s="180"/>
      <c r="B1052" s="180"/>
      <c r="C1052" s="180"/>
      <c r="D1052" s="181"/>
      <c r="E1052" s="180"/>
      <c r="F1052" s="180"/>
      <c r="G1052" s="171"/>
      <c r="H1052" s="180"/>
      <c r="I1052" s="180"/>
      <c r="J1052" s="180"/>
      <c r="K1052" s="180"/>
      <c r="L1052" s="180"/>
      <c r="M1052" s="180"/>
      <c r="N1052" s="180"/>
      <c r="O1052" s="180"/>
      <c r="P1052" s="180"/>
    </row>
    <row r="1053">
      <c r="A1053" s="180"/>
      <c r="B1053" s="180"/>
      <c r="C1053" s="180"/>
      <c r="D1053" s="181"/>
      <c r="E1053" s="180"/>
      <c r="F1053" s="180"/>
      <c r="G1053" s="171"/>
      <c r="H1053" s="180"/>
      <c r="I1053" s="180"/>
      <c r="J1053" s="180"/>
      <c r="K1053" s="180"/>
      <c r="L1053" s="180"/>
      <c r="M1053" s="180"/>
      <c r="N1053" s="180"/>
      <c r="O1053" s="180"/>
      <c r="P1053" s="180"/>
    </row>
    <row r="1054">
      <c r="A1054" s="180"/>
      <c r="B1054" s="180"/>
      <c r="C1054" s="180"/>
      <c r="D1054" s="181"/>
      <c r="E1054" s="180"/>
      <c r="F1054" s="180"/>
      <c r="G1054" s="171"/>
      <c r="H1054" s="180"/>
      <c r="I1054" s="180"/>
      <c r="J1054" s="180"/>
      <c r="K1054" s="180"/>
      <c r="L1054" s="180"/>
      <c r="M1054" s="180"/>
      <c r="N1054" s="180"/>
      <c r="O1054" s="180"/>
      <c r="P1054" s="180"/>
    </row>
    <row r="1055">
      <c r="A1055" s="180"/>
      <c r="B1055" s="180"/>
      <c r="C1055" s="180"/>
      <c r="D1055" s="181"/>
      <c r="E1055" s="180"/>
      <c r="F1055" s="180"/>
      <c r="G1055" s="171"/>
      <c r="H1055" s="180"/>
      <c r="I1055" s="180"/>
      <c r="J1055" s="180"/>
      <c r="K1055" s="180"/>
      <c r="L1055" s="180"/>
      <c r="M1055" s="180"/>
      <c r="N1055" s="180"/>
      <c r="O1055" s="180"/>
      <c r="P1055" s="180"/>
    </row>
    <row r="1056">
      <c r="A1056" s="180"/>
      <c r="B1056" s="180"/>
      <c r="C1056" s="180"/>
      <c r="D1056" s="181"/>
      <c r="E1056" s="180"/>
      <c r="F1056" s="180"/>
      <c r="G1056" s="171"/>
      <c r="H1056" s="180"/>
      <c r="I1056" s="180"/>
      <c r="J1056" s="180"/>
      <c r="K1056" s="180"/>
      <c r="L1056" s="180"/>
      <c r="M1056" s="180"/>
      <c r="N1056" s="180"/>
      <c r="O1056" s="180"/>
      <c r="P1056" s="180"/>
    </row>
    <row r="1057">
      <c r="A1057" s="180"/>
      <c r="B1057" s="180"/>
      <c r="C1057" s="180"/>
      <c r="D1057" s="181"/>
      <c r="E1057" s="180"/>
      <c r="F1057" s="180"/>
      <c r="G1057" s="171"/>
      <c r="H1057" s="180"/>
      <c r="I1057" s="180"/>
      <c r="J1057" s="180"/>
      <c r="K1057" s="180"/>
      <c r="L1057" s="180"/>
      <c r="M1057" s="180"/>
      <c r="N1057" s="180"/>
      <c r="O1057" s="180"/>
      <c r="P1057" s="180"/>
    </row>
    <row r="1058">
      <c r="A1058" s="180"/>
      <c r="B1058" s="180"/>
      <c r="C1058" s="180"/>
      <c r="D1058" s="181"/>
      <c r="E1058" s="180"/>
      <c r="F1058" s="180"/>
      <c r="G1058" s="171"/>
      <c r="H1058" s="180"/>
      <c r="I1058" s="180"/>
      <c r="J1058" s="180"/>
      <c r="K1058" s="180"/>
      <c r="L1058" s="180"/>
      <c r="M1058" s="180"/>
      <c r="N1058" s="180"/>
      <c r="O1058" s="180"/>
      <c r="P1058" s="180"/>
    </row>
    <row r="1059">
      <c r="A1059" s="180"/>
      <c r="B1059" s="180"/>
      <c r="C1059" s="180"/>
      <c r="D1059" s="181"/>
      <c r="E1059" s="180"/>
      <c r="F1059" s="180"/>
      <c r="G1059" s="171"/>
      <c r="H1059" s="180"/>
      <c r="I1059" s="180"/>
      <c r="J1059" s="180"/>
      <c r="K1059" s="180"/>
      <c r="L1059" s="180"/>
      <c r="M1059" s="180"/>
      <c r="N1059" s="180"/>
      <c r="O1059" s="180"/>
      <c r="P1059" s="180"/>
    </row>
    <row r="1060">
      <c r="A1060" s="180"/>
      <c r="B1060" s="180"/>
      <c r="C1060" s="180"/>
      <c r="D1060" s="181"/>
      <c r="E1060" s="180"/>
      <c r="F1060" s="180"/>
      <c r="G1060" s="171"/>
      <c r="H1060" s="180"/>
      <c r="I1060" s="180"/>
      <c r="J1060" s="180"/>
      <c r="K1060" s="180"/>
      <c r="L1060" s="180"/>
      <c r="M1060" s="180"/>
      <c r="N1060" s="180"/>
      <c r="O1060" s="180"/>
      <c r="P1060" s="180"/>
    </row>
    <row r="1061">
      <c r="A1061" s="180"/>
      <c r="B1061" s="180"/>
      <c r="C1061" s="180"/>
      <c r="D1061" s="181"/>
      <c r="E1061" s="180"/>
      <c r="F1061" s="180"/>
      <c r="G1061" s="171"/>
      <c r="H1061" s="180"/>
      <c r="I1061" s="180"/>
      <c r="J1061" s="180"/>
      <c r="K1061" s="180"/>
      <c r="L1061" s="180"/>
      <c r="M1061" s="180"/>
      <c r="N1061" s="180"/>
      <c r="O1061" s="180"/>
      <c r="P1061" s="180"/>
    </row>
    <row r="1062">
      <c r="A1062" s="180"/>
      <c r="B1062" s="180"/>
      <c r="C1062" s="180"/>
      <c r="D1062" s="181"/>
      <c r="E1062" s="180"/>
      <c r="F1062" s="180"/>
      <c r="G1062" s="171"/>
      <c r="H1062" s="180"/>
      <c r="I1062" s="180"/>
      <c r="J1062" s="180"/>
      <c r="K1062" s="180"/>
      <c r="L1062" s="180"/>
      <c r="M1062" s="180"/>
      <c r="N1062" s="180"/>
      <c r="O1062" s="180"/>
      <c r="P1062" s="180"/>
    </row>
    <row r="1063">
      <c r="A1063" s="180"/>
      <c r="B1063" s="180"/>
      <c r="C1063" s="180"/>
      <c r="D1063" s="181"/>
      <c r="E1063" s="180"/>
      <c r="F1063" s="180"/>
      <c r="G1063" s="171"/>
      <c r="H1063" s="180"/>
      <c r="I1063" s="180"/>
      <c r="J1063" s="180"/>
      <c r="K1063" s="180"/>
      <c r="L1063" s="180"/>
      <c r="M1063" s="180"/>
      <c r="N1063" s="180"/>
      <c r="O1063" s="180"/>
      <c r="P1063" s="180"/>
    </row>
    <row r="1064">
      <c r="A1064" s="180"/>
      <c r="B1064" s="180"/>
      <c r="C1064" s="180"/>
      <c r="D1064" s="181"/>
      <c r="E1064" s="180"/>
      <c r="F1064" s="180"/>
      <c r="G1064" s="171"/>
      <c r="H1064" s="180"/>
      <c r="I1064" s="180"/>
      <c r="J1064" s="180"/>
      <c r="K1064" s="180"/>
      <c r="L1064" s="180"/>
      <c r="M1064" s="180"/>
      <c r="N1064" s="180"/>
      <c r="O1064" s="180"/>
      <c r="P1064" s="180"/>
    </row>
    <row r="1065">
      <c r="A1065" s="180"/>
      <c r="B1065" s="180"/>
      <c r="C1065" s="180"/>
      <c r="D1065" s="181"/>
      <c r="E1065" s="180"/>
      <c r="F1065" s="180"/>
      <c r="G1065" s="171"/>
      <c r="H1065" s="180"/>
      <c r="I1065" s="180"/>
      <c r="J1065" s="180"/>
      <c r="K1065" s="180"/>
      <c r="L1065" s="180"/>
      <c r="M1065" s="180"/>
      <c r="N1065" s="180"/>
      <c r="O1065" s="180"/>
      <c r="P1065" s="180"/>
    </row>
    <row r="1066">
      <c r="A1066" s="180"/>
      <c r="B1066" s="180"/>
      <c r="C1066" s="180"/>
      <c r="D1066" s="181"/>
      <c r="E1066" s="180"/>
      <c r="F1066" s="180"/>
      <c r="G1066" s="171"/>
      <c r="H1066" s="180"/>
      <c r="I1066" s="180"/>
      <c r="J1066" s="180"/>
      <c r="K1066" s="180"/>
      <c r="L1066" s="180"/>
      <c r="M1066" s="180"/>
      <c r="N1066" s="180"/>
      <c r="O1066" s="180"/>
      <c r="P1066" s="180"/>
    </row>
    <row r="1067">
      <c r="A1067" s="180"/>
      <c r="B1067" s="180"/>
      <c r="C1067" s="180"/>
      <c r="D1067" s="181"/>
      <c r="E1067" s="180"/>
      <c r="F1067" s="180"/>
      <c r="G1067" s="171"/>
      <c r="H1067" s="180"/>
      <c r="I1067" s="180"/>
      <c r="J1067" s="180"/>
      <c r="K1067" s="180"/>
      <c r="L1067" s="180"/>
      <c r="M1067" s="180"/>
      <c r="N1067" s="180"/>
      <c r="O1067" s="180"/>
      <c r="P1067" s="180"/>
    </row>
    <row r="1068">
      <c r="A1068" s="180"/>
      <c r="B1068" s="180"/>
      <c r="C1068" s="180"/>
      <c r="D1068" s="181"/>
      <c r="E1068" s="180"/>
      <c r="F1068" s="180"/>
      <c r="G1068" s="171"/>
      <c r="H1068" s="180"/>
      <c r="I1068" s="180"/>
      <c r="J1068" s="180"/>
      <c r="K1068" s="180"/>
      <c r="L1068" s="180"/>
      <c r="M1068" s="180"/>
      <c r="N1068" s="180"/>
      <c r="O1068" s="180"/>
      <c r="P1068" s="180"/>
    </row>
    <row r="1069">
      <c r="A1069" s="180"/>
      <c r="B1069" s="180"/>
      <c r="C1069" s="180"/>
      <c r="D1069" s="181"/>
      <c r="E1069" s="180"/>
      <c r="F1069" s="180"/>
      <c r="G1069" s="171"/>
      <c r="H1069" s="180"/>
      <c r="I1069" s="180"/>
      <c r="J1069" s="180"/>
      <c r="K1069" s="180"/>
      <c r="L1069" s="180"/>
      <c r="M1069" s="180"/>
      <c r="N1069" s="180"/>
      <c r="O1069" s="180"/>
      <c r="P1069" s="180"/>
    </row>
    <row r="1070">
      <c r="A1070" s="180"/>
      <c r="B1070" s="180"/>
      <c r="C1070" s="180"/>
      <c r="D1070" s="181"/>
      <c r="E1070" s="180"/>
      <c r="F1070" s="180"/>
      <c r="G1070" s="171"/>
      <c r="H1070" s="180"/>
      <c r="I1070" s="180"/>
      <c r="J1070" s="180"/>
      <c r="K1070" s="180"/>
      <c r="L1070" s="180"/>
      <c r="M1070" s="180"/>
      <c r="N1070" s="180"/>
      <c r="O1070" s="180"/>
      <c r="P1070" s="180"/>
    </row>
    <row r="1071">
      <c r="A1071" s="180"/>
      <c r="B1071" s="180"/>
      <c r="C1071" s="180"/>
      <c r="D1071" s="181"/>
      <c r="E1071" s="180"/>
      <c r="F1071" s="180"/>
      <c r="G1071" s="171"/>
      <c r="H1071" s="180"/>
      <c r="I1071" s="180"/>
      <c r="J1071" s="180"/>
      <c r="K1071" s="180"/>
      <c r="L1071" s="180"/>
      <c r="M1071" s="180"/>
      <c r="N1071" s="180"/>
      <c r="O1071" s="180"/>
      <c r="P1071" s="180"/>
    </row>
    <row r="1072">
      <c r="A1072" s="180"/>
      <c r="B1072" s="180"/>
      <c r="C1072" s="180"/>
      <c r="D1072" s="181"/>
      <c r="E1072" s="180"/>
      <c r="F1072" s="180"/>
      <c r="G1072" s="171"/>
      <c r="H1072" s="180"/>
      <c r="I1072" s="180"/>
      <c r="J1072" s="180"/>
      <c r="K1072" s="180"/>
      <c r="L1072" s="180"/>
      <c r="M1072" s="180"/>
      <c r="N1072" s="180"/>
      <c r="O1072" s="180"/>
      <c r="P1072" s="180"/>
    </row>
    <row r="1073">
      <c r="A1073" s="180"/>
      <c r="B1073" s="180"/>
      <c r="C1073" s="180"/>
      <c r="D1073" s="181"/>
      <c r="E1073" s="180"/>
      <c r="F1073" s="180"/>
      <c r="G1073" s="171"/>
      <c r="H1073" s="180"/>
      <c r="I1073" s="180"/>
      <c r="J1073" s="180"/>
      <c r="K1073" s="180"/>
      <c r="L1073" s="180"/>
      <c r="M1073" s="180"/>
      <c r="N1073" s="180"/>
      <c r="O1073" s="180"/>
      <c r="P1073" s="180"/>
    </row>
    <row r="1074">
      <c r="A1074" s="180"/>
      <c r="B1074" s="180"/>
      <c r="C1074" s="180"/>
      <c r="D1074" s="181"/>
      <c r="E1074" s="180"/>
      <c r="F1074" s="180"/>
      <c r="G1074" s="171"/>
      <c r="H1074" s="180"/>
      <c r="I1074" s="180"/>
      <c r="J1074" s="180"/>
      <c r="K1074" s="180"/>
      <c r="L1074" s="180"/>
      <c r="M1074" s="180"/>
      <c r="N1074" s="180"/>
      <c r="O1074" s="180"/>
      <c r="P1074" s="180"/>
    </row>
    <row r="1075">
      <c r="A1075" s="180"/>
      <c r="B1075" s="180"/>
      <c r="C1075" s="180"/>
      <c r="D1075" s="181"/>
      <c r="E1075" s="180"/>
      <c r="F1075" s="180"/>
      <c r="G1075" s="171"/>
      <c r="H1075" s="180"/>
      <c r="I1075" s="180"/>
      <c r="J1075" s="180"/>
      <c r="K1075" s="180"/>
      <c r="L1075" s="180"/>
      <c r="M1075" s="180"/>
      <c r="N1075" s="180"/>
      <c r="O1075" s="180"/>
      <c r="P1075" s="180"/>
    </row>
    <row r="1076">
      <c r="A1076" s="180"/>
      <c r="B1076" s="180"/>
      <c r="C1076" s="180"/>
      <c r="D1076" s="181"/>
      <c r="E1076" s="180"/>
      <c r="F1076" s="180"/>
      <c r="G1076" s="171"/>
      <c r="H1076" s="180"/>
      <c r="I1076" s="180"/>
      <c r="J1076" s="180"/>
      <c r="K1076" s="180"/>
      <c r="L1076" s="180"/>
      <c r="M1076" s="180"/>
      <c r="N1076" s="180"/>
      <c r="O1076" s="180"/>
      <c r="P1076" s="180"/>
    </row>
    <row r="1077">
      <c r="A1077" s="180"/>
      <c r="B1077" s="180"/>
      <c r="C1077" s="180"/>
      <c r="D1077" s="181"/>
      <c r="E1077" s="180"/>
      <c r="F1077" s="180"/>
      <c r="G1077" s="171"/>
      <c r="H1077" s="180"/>
      <c r="I1077" s="180"/>
      <c r="J1077" s="180"/>
      <c r="K1077" s="180"/>
      <c r="L1077" s="180"/>
      <c r="M1077" s="180"/>
      <c r="N1077" s="180"/>
      <c r="O1077" s="180"/>
      <c r="P1077" s="180"/>
    </row>
    <row r="1078">
      <c r="A1078" s="180"/>
      <c r="B1078" s="180"/>
      <c r="C1078" s="180"/>
      <c r="D1078" s="181"/>
      <c r="E1078" s="180"/>
      <c r="F1078" s="180"/>
      <c r="G1078" s="171"/>
      <c r="H1078" s="180"/>
      <c r="I1078" s="180"/>
      <c r="J1078" s="180"/>
      <c r="K1078" s="180"/>
      <c r="L1078" s="180"/>
      <c r="M1078" s="180"/>
      <c r="N1078" s="180"/>
      <c r="O1078" s="180"/>
      <c r="P1078" s="180"/>
    </row>
    <row r="1079">
      <c r="A1079" s="180"/>
      <c r="B1079" s="180"/>
      <c r="C1079" s="180"/>
      <c r="D1079" s="181"/>
      <c r="E1079" s="180"/>
      <c r="F1079" s="180"/>
      <c r="G1079" s="171"/>
      <c r="H1079" s="180"/>
      <c r="I1079" s="180"/>
      <c r="J1079" s="180"/>
      <c r="K1079" s="180"/>
      <c r="L1079" s="180"/>
      <c r="M1079" s="180"/>
      <c r="N1079" s="180"/>
      <c r="O1079" s="180"/>
      <c r="P1079" s="180"/>
    </row>
    <row r="1080">
      <c r="A1080" s="180"/>
      <c r="B1080" s="180"/>
      <c r="C1080" s="180"/>
      <c r="D1080" s="181"/>
      <c r="E1080" s="180"/>
      <c r="F1080" s="180"/>
      <c r="G1080" s="171"/>
      <c r="H1080" s="180"/>
      <c r="I1080" s="180"/>
      <c r="J1080" s="180"/>
      <c r="K1080" s="180"/>
      <c r="L1080" s="180"/>
      <c r="M1080" s="180"/>
      <c r="N1080" s="180"/>
      <c r="O1080" s="180"/>
      <c r="P1080" s="180"/>
    </row>
    <row r="1081">
      <c r="A1081" s="180"/>
      <c r="B1081" s="180"/>
      <c r="C1081" s="180"/>
      <c r="D1081" s="181"/>
      <c r="E1081" s="180"/>
      <c r="F1081" s="180"/>
      <c r="G1081" s="171"/>
      <c r="H1081" s="180"/>
      <c r="I1081" s="180"/>
      <c r="J1081" s="180"/>
      <c r="K1081" s="180"/>
      <c r="L1081" s="180"/>
      <c r="M1081" s="180"/>
      <c r="N1081" s="180"/>
      <c r="O1081" s="180"/>
      <c r="P1081" s="180"/>
    </row>
    <row r="1082">
      <c r="A1082" s="180"/>
      <c r="B1082" s="180"/>
      <c r="C1082" s="180"/>
      <c r="D1082" s="181"/>
      <c r="E1082" s="180"/>
      <c r="F1082" s="180"/>
      <c r="G1082" s="171"/>
      <c r="H1082" s="180"/>
      <c r="I1082" s="180"/>
      <c r="J1082" s="180"/>
      <c r="K1082" s="180"/>
      <c r="L1082" s="180"/>
      <c r="M1082" s="180"/>
      <c r="N1082" s="180"/>
      <c r="O1082" s="180"/>
      <c r="P1082" s="180"/>
    </row>
    <row r="1083">
      <c r="A1083" s="180"/>
      <c r="B1083" s="180"/>
      <c r="C1083" s="180"/>
      <c r="D1083" s="181"/>
      <c r="E1083" s="180"/>
      <c r="F1083" s="180"/>
      <c r="G1083" s="171"/>
      <c r="H1083" s="180"/>
      <c r="I1083" s="180"/>
      <c r="J1083" s="180"/>
      <c r="K1083" s="180"/>
      <c r="L1083" s="180"/>
      <c r="M1083" s="180"/>
      <c r="N1083" s="180"/>
      <c r="O1083" s="180"/>
      <c r="P1083" s="180"/>
    </row>
    <row r="1084">
      <c r="A1084" s="180"/>
      <c r="B1084" s="180"/>
      <c r="C1084" s="180"/>
      <c r="D1084" s="181"/>
      <c r="E1084" s="180"/>
      <c r="F1084" s="180"/>
      <c r="G1084" s="171"/>
      <c r="H1084" s="180"/>
      <c r="I1084" s="180"/>
      <c r="J1084" s="180"/>
      <c r="K1084" s="180"/>
      <c r="L1084" s="180"/>
      <c r="M1084" s="180"/>
      <c r="N1084" s="180"/>
      <c r="O1084" s="180"/>
      <c r="P1084" s="180"/>
    </row>
    <row r="1085">
      <c r="A1085" s="180"/>
      <c r="B1085" s="180"/>
      <c r="C1085" s="180"/>
      <c r="D1085" s="181"/>
      <c r="E1085" s="180"/>
      <c r="F1085" s="180"/>
      <c r="G1085" s="171"/>
      <c r="H1085" s="180"/>
      <c r="I1085" s="180"/>
      <c r="J1085" s="180"/>
      <c r="K1085" s="180"/>
      <c r="L1085" s="180"/>
      <c r="M1085" s="180"/>
      <c r="N1085" s="180"/>
      <c r="O1085" s="180"/>
      <c r="P1085" s="180"/>
    </row>
    <row r="1086">
      <c r="A1086" s="180"/>
      <c r="B1086" s="180"/>
      <c r="C1086" s="180"/>
      <c r="D1086" s="181"/>
      <c r="E1086" s="180"/>
      <c r="F1086" s="180"/>
      <c r="G1086" s="171"/>
      <c r="H1086" s="180"/>
      <c r="I1086" s="180"/>
      <c r="J1086" s="180"/>
      <c r="K1086" s="180"/>
      <c r="L1086" s="180"/>
      <c r="M1086" s="180"/>
      <c r="N1086" s="180"/>
      <c r="O1086" s="180"/>
      <c r="P1086" s="180"/>
    </row>
    <row r="1087">
      <c r="A1087" s="180"/>
      <c r="B1087" s="180"/>
      <c r="C1087" s="180"/>
      <c r="D1087" s="181"/>
      <c r="E1087" s="180"/>
      <c r="F1087" s="180"/>
      <c r="G1087" s="171"/>
      <c r="H1087" s="180"/>
      <c r="I1087" s="180"/>
      <c r="J1087" s="180"/>
      <c r="K1087" s="180"/>
      <c r="L1087" s="180"/>
      <c r="M1087" s="180"/>
      <c r="N1087" s="180"/>
      <c r="O1087" s="180"/>
      <c r="P1087" s="180"/>
    </row>
    <row r="1088">
      <c r="A1088" s="180"/>
      <c r="B1088" s="180"/>
      <c r="C1088" s="180"/>
      <c r="D1088" s="181"/>
      <c r="E1088" s="180"/>
      <c r="F1088" s="180"/>
      <c r="G1088" s="171"/>
      <c r="H1088" s="180"/>
      <c r="I1088" s="180"/>
      <c r="J1088" s="180"/>
      <c r="K1088" s="180"/>
      <c r="L1088" s="180"/>
      <c r="M1088" s="180"/>
      <c r="N1088" s="180"/>
      <c r="O1088" s="180"/>
      <c r="P1088" s="180"/>
    </row>
    <row r="1089">
      <c r="A1089" s="180"/>
      <c r="B1089" s="180"/>
      <c r="C1089" s="180"/>
      <c r="D1089" s="181"/>
      <c r="E1089" s="180"/>
      <c r="F1089" s="180"/>
      <c r="G1089" s="171"/>
      <c r="H1089" s="180"/>
      <c r="I1089" s="180"/>
      <c r="J1089" s="180"/>
      <c r="K1089" s="180"/>
      <c r="L1089" s="180"/>
      <c r="M1089" s="180"/>
      <c r="N1089" s="180"/>
      <c r="O1089" s="180"/>
      <c r="P1089" s="180"/>
    </row>
    <row r="1090">
      <c r="A1090" s="180"/>
      <c r="B1090" s="180"/>
      <c r="C1090" s="180"/>
      <c r="D1090" s="181"/>
      <c r="E1090" s="180"/>
      <c r="F1090" s="180"/>
      <c r="G1090" s="171"/>
      <c r="H1090" s="180"/>
      <c r="I1090" s="180"/>
      <c r="J1090" s="180"/>
      <c r="K1090" s="180"/>
      <c r="L1090" s="180"/>
      <c r="M1090" s="180"/>
      <c r="N1090" s="180"/>
      <c r="O1090" s="180"/>
      <c r="P1090" s="180"/>
    </row>
    <row r="1091">
      <c r="A1091" s="180"/>
      <c r="B1091" s="180"/>
      <c r="C1091" s="180"/>
      <c r="D1091" s="181"/>
      <c r="E1091" s="180"/>
      <c r="F1091" s="180"/>
      <c r="G1091" s="171"/>
      <c r="H1091" s="180"/>
      <c r="I1091" s="180"/>
      <c r="J1091" s="180"/>
      <c r="K1091" s="180"/>
      <c r="L1091" s="180"/>
      <c r="M1091" s="180"/>
      <c r="N1091" s="180"/>
      <c r="O1091" s="180"/>
      <c r="P1091" s="180"/>
    </row>
    <row r="1092">
      <c r="A1092" s="180"/>
      <c r="B1092" s="180"/>
      <c r="C1092" s="180"/>
      <c r="D1092" s="181"/>
      <c r="E1092" s="180"/>
      <c r="F1092" s="180"/>
      <c r="G1092" s="171"/>
      <c r="H1092" s="180"/>
      <c r="I1092" s="180"/>
      <c r="J1092" s="180"/>
      <c r="K1092" s="180"/>
      <c r="L1092" s="180"/>
      <c r="M1092" s="180"/>
      <c r="N1092" s="180"/>
      <c r="O1092" s="180"/>
      <c r="P1092" s="180"/>
    </row>
    <row r="1093">
      <c r="A1093" s="180"/>
      <c r="B1093" s="180"/>
      <c r="C1093" s="180"/>
      <c r="D1093" s="181"/>
      <c r="E1093" s="180"/>
      <c r="F1093" s="180"/>
      <c r="G1093" s="171"/>
      <c r="H1093" s="180"/>
      <c r="I1093" s="180"/>
      <c r="J1093" s="180"/>
      <c r="K1093" s="180"/>
      <c r="L1093" s="180"/>
      <c r="M1093" s="180"/>
      <c r="N1093" s="180"/>
      <c r="O1093" s="180"/>
      <c r="P1093" s="180"/>
    </row>
    <row r="1094">
      <c r="A1094" s="180"/>
      <c r="B1094" s="180"/>
      <c r="C1094" s="180"/>
      <c r="D1094" s="181"/>
      <c r="E1094" s="180"/>
      <c r="F1094" s="180"/>
      <c r="G1094" s="171"/>
      <c r="H1094" s="180"/>
      <c r="I1094" s="180"/>
      <c r="J1094" s="180"/>
      <c r="K1094" s="180"/>
      <c r="L1094" s="180"/>
      <c r="M1094" s="180"/>
      <c r="N1094" s="180"/>
      <c r="O1094" s="180"/>
      <c r="P1094" s="180"/>
    </row>
    <row r="1095">
      <c r="A1095" s="180"/>
      <c r="B1095" s="180"/>
      <c r="C1095" s="180"/>
      <c r="D1095" s="181"/>
      <c r="E1095" s="180"/>
      <c r="F1095" s="180"/>
      <c r="G1095" s="171"/>
      <c r="H1095" s="180"/>
      <c r="I1095" s="180"/>
      <c r="J1095" s="180"/>
      <c r="K1095" s="180"/>
      <c r="L1095" s="180"/>
      <c r="M1095" s="180"/>
      <c r="N1095" s="180"/>
      <c r="O1095" s="180"/>
      <c r="P1095" s="180"/>
    </row>
    <row r="1096">
      <c r="A1096" s="180"/>
      <c r="B1096" s="180"/>
      <c r="C1096" s="180"/>
      <c r="D1096" s="181"/>
      <c r="E1096" s="180"/>
      <c r="F1096" s="180"/>
      <c r="G1096" s="171"/>
      <c r="H1096" s="180"/>
      <c r="I1096" s="180"/>
      <c r="J1096" s="180"/>
      <c r="K1096" s="180"/>
      <c r="L1096" s="180"/>
      <c r="M1096" s="180"/>
      <c r="N1096" s="180"/>
      <c r="O1096" s="180"/>
      <c r="P1096" s="180"/>
    </row>
    <row r="1097">
      <c r="A1097" s="180"/>
      <c r="B1097" s="180"/>
      <c r="C1097" s="180"/>
      <c r="D1097" s="181"/>
      <c r="E1097" s="180"/>
      <c r="F1097" s="180"/>
      <c r="G1097" s="171"/>
      <c r="H1097" s="180"/>
      <c r="I1097" s="180"/>
      <c r="J1097" s="180"/>
      <c r="K1097" s="180"/>
      <c r="L1097" s="180"/>
      <c r="M1097" s="180"/>
      <c r="N1097" s="180"/>
      <c r="O1097" s="180"/>
      <c r="P1097" s="180"/>
    </row>
    <row r="1098">
      <c r="A1098" s="180"/>
      <c r="B1098" s="180"/>
      <c r="C1098" s="180"/>
      <c r="D1098" s="181"/>
      <c r="E1098" s="180"/>
      <c r="F1098" s="180"/>
      <c r="G1098" s="171"/>
      <c r="H1098" s="180"/>
      <c r="I1098" s="180"/>
      <c r="J1098" s="180"/>
      <c r="K1098" s="180"/>
      <c r="L1098" s="180"/>
      <c r="M1098" s="180"/>
      <c r="N1098" s="180"/>
      <c r="O1098" s="180"/>
      <c r="P1098" s="180"/>
    </row>
    <row r="1099">
      <c r="A1099" s="180"/>
      <c r="B1099" s="180"/>
      <c r="C1099" s="180"/>
      <c r="D1099" s="181"/>
      <c r="E1099" s="180"/>
      <c r="F1099" s="180"/>
      <c r="G1099" s="171"/>
      <c r="H1099" s="180"/>
      <c r="I1099" s="180"/>
      <c r="J1099" s="180"/>
      <c r="K1099" s="180"/>
      <c r="L1099" s="180"/>
      <c r="M1099" s="180"/>
      <c r="N1099" s="180"/>
      <c r="O1099" s="180"/>
      <c r="P1099" s="180"/>
    </row>
    <row r="1100">
      <c r="A1100" s="180"/>
      <c r="B1100" s="180"/>
      <c r="C1100" s="180"/>
      <c r="D1100" s="181"/>
      <c r="E1100" s="180"/>
      <c r="F1100" s="180"/>
      <c r="G1100" s="171"/>
      <c r="H1100" s="180"/>
      <c r="I1100" s="180"/>
      <c r="J1100" s="180"/>
      <c r="K1100" s="180"/>
      <c r="L1100" s="180"/>
      <c r="M1100" s="180"/>
      <c r="N1100" s="180"/>
      <c r="O1100" s="180"/>
      <c r="P1100" s="180"/>
    </row>
    <row r="1101">
      <c r="A1101" s="180"/>
      <c r="B1101" s="180"/>
      <c r="C1101" s="180"/>
      <c r="D1101" s="181"/>
      <c r="E1101" s="180"/>
      <c r="F1101" s="180"/>
      <c r="G1101" s="171"/>
      <c r="H1101" s="180"/>
      <c r="I1101" s="180"/>
      <c r="J1101" s="180"/>
      <c r="K1101" s="180"/>
      <c r="L1101" s="180"/>
      <c r="M1101" s="180"/>
      <c r="N1101" s="180"/>
      <c r="O1101" s="180"/>
      <c r="P1101" s="180"/>
    </row>
    <row r="1102">
      <c r="A1102" s="180"/>
      <c r="B1102" s="180"/>
      <c r="C1102" s="180"/>
      <c r="D1102" s="181"/>
      <c r="E1102" s="180"/>
      <c r="F1102" s="180"/>
      <c r="G1102" s="171"/>
      <c r="H1102" s="180"/>
      <c r="I1102" s="180"/>
      <c r="J1102" s="180"/>
      <c r="K1102" s="180"/>
      <c r="L1102" s="180"/>
      <c r="M1102" s="180"/>
      <c r="N1102" s="180"/>
      <c r="O1102" s="180"/>
      <c r="P1102" s="180"/>
    </row>
    <row r="1103">
      <c r="A1103" s="180"/>
      <c r="B1103" s="180"/>
      <c r="C1103" s="180"/>
      <c r="D1103" s="181"/>
      <c r="E1103" s="180"/>
      <c r="F1103" s="180"/>
      <c r="G1103" s="171"/>
      <c r="H1103" s="180"/>
      <c r="I1103" s="180"/>
      <c r="J1103" s="180"/>
      <c r="K1103" s="180"/>
      <c r="L1103" s="180"/>
      <c r="M1103" s="180"/>
      <c r="N1103" s="180"/>
      <c r="O1103" s="180"/>
      <c r="P1103" s="180"/>
    </row>
    <row r="1104">
      <c r="A1104" s="180"/>
      <c r="B1104" s="180"/>
      <c r="C1104" s="180"/>
      <c r="D1104" s="181"/>
      <c r="E1104" s="180"/>
      <c r="F1104" s="180"/>
      <c r="G1104" s="171"/>
      <c r="H1104" s="180"/>
      <c r="I1104" s="180"/>
      <c r="J1104" s="180"/>
      <c r="K1104" s="180"/>
      <c r="L1104" s="180"/>
      <c r="M1104" s="180"/>
      <c r="N1104" s="180"/>
      <c r="O1104" s="180"/>
      <c r="P1104" s="180"/>
    </row>
    <row r="1105">
      <c r="A1105" s="180"/>
      <c r="B1105" s="180"/>
      <c r="C1105" s="180"/>
      <c r="D1105" s="181"/>
      <c r="E1105" s="180"/>
      <c r="F1105" s="180"/>
      <c r="G1105" s="171"/>
      <c r="H1105" s="180"/>
      <c r="I1105" s="180"/>
      <c r="J1105" s="180"/>
      <c r="K1105" s="180"/>
      <c r="L1105" s="180"/>
      <c r="M1105" s="180"/>
      <c r="N1105" s="180"/>
      <c r="O1105" s="180"/>
      <c r="P1105" s="180"/>
    </row>
    <row r="1106">
      <c r="A1106" s="180"/>
      <c r="B1106" s="180"/>
      <c r="C1106" s="180"/>
      <c r="D1106" s="181"/>
      <c r="E1106" s="180"/>
      <c r="F1106" s="180"/>
      <c r="G1106" s="171"/>
      <c r="H1106" s="180"/>
      <c r="I1106" s="180"/>
      <c r="J1106" s="180"/>
      <c r="K1106" s="180"/>
      <c r="L1106" s="180"/>
      <c r="M1106" s="180"/>
      <c r="N1106" s="180"/>
      <c r="O1106" s="180"/>
      <c r="P1106" s="180"/>
    </row>
    <row r="1107">
      <c r="A1107" s="180"/>
      <c r="B1107" s="180"/>
      <c r="C1107" s="180"/>
      <c r="D1107" s="181"/>
      <c r="E1107" s="180"/>
      <c r="F1107" s="180"/>
      <c r="G1107" s="171"/>
      <c r="H1107" s="180"/>
      <c r="I1107" s="180"/>
      <c r="J1107" s="180"/>
      <c r="K1107" s="180"/>
      <c r="L1107" s="180"/>
      <c r="M1107" s="180"/>
      <c r="N1107" s="180"/>
      <c r="O1107" s="180"/>
      <c r="P1107" s="180"/>
    </row>
    <row r="1108">
      <c r="A1108" s="180"/>
      <c r="B1108" s="180"/>
      <c r="C1108" s="180"/>
      <c r="D1108" s="181"/>
      <c r="E1108" s="180"/>
      <c r="F1108" s="180"/>
      <c r="G1108" s="171"/>
      <c r="H1108" s="180"/>
      <c r="I1108" s="180"/>
      <c r="J1108" s="180"/>
      <c r="K1108" s="180"/>
      <c r="L1108" s="180"/>
      <c r="M1108" s="180"/>
      <c r="N1108" s="180"/>
      <c r="O1108" s="180"/>
      <c r="P1108" s="180"/>
    </row>
    <row r="1109">
      <c r="A1109" s="180"/>
      <c r="B1109" s="180"/>
      <c r="C1109" s="180"/>
      <c r="D1109" s="181"/>
      <c r="E1109" s="180"/>
      <c r="F1109" s="180"/>
      <c r="G1109" s="171"/>
      <c r="H1109" s="180"/>
      <c r="I1109" s="180"/>
      <c r="J1109" s="180"/>
      <c r="K1109" s="180"/>
      <c r="L1109" s="180"/>
      <c r="M1109" s="180"/>
      <c r="N1109" s="180"/>
      <c r="O1109" s="180"/>
      <c r="P1109" s="180"/>
    </row>
    <row r="1110">
      <c r="A1110" s="180"/>
      <c r="B1110" s="180"/>
      <c r="C1110" s="180"/>
      <c r="D1110" s="181"/>
      <c r="E1110" s="180"/>
      <c r="F1110" s="180"/>
      <c r="G1110" s="171"/>
      <c r="H1110" s="180"/>
      <c r="I1110" s="180"/>
      <c r="J1110" s="180"/>
      <c r="K1110" s="180"/>
      <c r="L1110" s="180"/>
      <c r="M1110" s="180"/>
      <c r="N1110" s="180"/>
      <c r="O1110" s="180"/>
      <c r="P1110" s="180"/>
    </row>
    <row r="1111">
      <c r="A1111" s="180"/>
      <c r="B1111" s="180"/>
      <c r="C1111" s="180"/>
      <c r="D1111" s="181"/>
      <c r="E1111" s="180"/>
      <c r="F1111" s="180"/>
      <c r="G1111" s="171"/>
      <c r="H1111" s="180"/>
      <c r="I1111" s="180"/>
      <c r="J1111" s="180"/>
      <c r="K1111" s="180"/>
      <c r="L1111" s="180"/>
      <c r="M1111" s="180"/>
      <c r="N1111" s="180"/>
      <c r="O1111" s="180"/>
      <c r="P1111" s="180"/>
    </row>
    <row r="1112">
      <c r="A1112" s="180"/>
      <c r="B1112" s="180"/>
      <c r="C1112" s="180"/>
      <c r="D1112" s="181"/>
      <c r="E1112" s="180"/>
      <c r="F1112" s="180"/>
      <c r="G1112" s="171"/>
      <c r="H1112" s="180"/>
      <c r="I1112" s="180"/>
      <c r="J1112" s="180"/>
      <c r="K1112" s="180"/>
      <c r="L1112" s="180"/>
      <c r="M1112" s="180"/>
      <c r="N1112" s="180"/>
      <c r="O1112" s="180"/>
      <c r="P1112" s="180"/>
    </row>
    <row r="1113">
      <c r="A1113" s="180"/>
      <c r="B1113" s="180"/>
      <c r="C1113" s="180"/>
      <c r="D1113" s="181"/>
      <c r="E1113" s="180"/>
      <c r="F1113" s="180"/>
      <c r="G1113" s="171"/>
      <c r="H1113" s="180"/>
      <c r="I1113" s="180"/>
      <c r="J1113" s="180"/>
      <c r="K1113" s="180"/>
      <c r="L1113" s="180"/>
      <c r="M1113" s="180"/>
      <c r="N1113" s="180"/>
      <c r="O1113" s="180"/>
      <c r="P1113" s="180"/>
    </row>
    <row r="1114">
      <c r="A1114" s="180"/>
      <c r="B1114" s="180"/>
      <c r="C1114" s="180"/>
      <c r="D1114" s="181"/>
      <c r="E1114" s="180"/>
      <c r="F1114" s="180"/>
      <c r="G1114" s="171"/>
      <c r="H1114" s="180"/>
      <c r="I1114" s="180"/>
      <c r="J1114" s="180"/>
      <c r="K1114" s="180"/>
      <c r="L1114" s="180"/>
      <c r="M1114" s="180"/>
      <c r="N1114" s="180"/>
      <c r="O1114" s="180"/>
      <c r="P1114" s="180"/>
    </row>
    <row r="1115">
      <c r="A1115" s="180"/>
      <c r="B1115" s="180"/>
      <c r="C1115" s="180"/>
      <c r="D1115" s="181"/>
      <c r="E1115" s="180"/>
      <c r="F1115" s="180"/>
      <c r="G1115" s="171"/>
      <c r="H1115" s="180"/>
      <c r="I1115" s="180"/>
      <c r="J1115" s="180"/>
      <c r="K1115" s="180"/>
      <c r="L1115" s="180"/>
      <c r="M1115" s="180"/>
      <c r="N1115" s="180"/>
      <c r="O1115" s="180"/>
      <c r="P1115" s="180"/>
    </row>
    <row r="1116">
      <c r="A1116" s="180"/>
      <c r="B1116" s="180"/>
      <c r="C1116" s="180"/>
      <c r="D1116" s="181"/>
      <c r="E1116" s="180"/>
      <c r="F1116" s="180"/>
      <c r="G1116" s="171"/>
      <c r="H1116" s="180"/>
      <c r="I1116" s="180"/>
      <c r="J1116" s="180"/>
      <c r="K1116" s="180"/>
      <c r="L1116" s="180"/>
      <c r="M1116" s="180"/>
      <c r="N1116" s="180"/>
      <c r="O1116" s="180"/>
      <c r="P1116" s="180"/>
    </row>
    <row r="1117">
      <c r="A1117" s="180"/>
      <c r="B1117" s="180"/>
      <c r="C1117" s="180"/>
      <c r="D1117" s="181"/>
      <c r="E1117" s="180"/>
      <c r="F1117" s="180"/>
      <c r="G1117" s="171"/>
      <c r="H1117" s="180"/>
      <c r="I1117" s="180"/>
      <c r="J1117" s="180"/>
      <c r="K1117" s="180"/>
      <c r="L1117" s="180"/>
      <c r="M1117" s="180"/>
      <c r="N1117" s="180"/>
      <c r="O1117" s="180"/>
      <c r="P1117" s="180"/>
    </row>
    <row r="1118">
      <c r="A1118" s="180"/>
      <c r="B1118" s="180"/>
      <c r="C1118" s="180"/>
      <c r="D1118" s="181"/>
      <c r="E1118" s="180"/>
      <c r="F1118" s="180"/>
      <c r="G1118" s="171"/>
      <c r="H1118" s="180"/>
      <c r="I1118" s="180"/>
      <c r="J1118" s="180"/>
      <c r="K1118" s="180"/>
      <c r="L1118" s="180"/>
      <c r="M1118" s="180"/>
      <c r="N1118" s="180"/>
      <c r="O1118" s="180"/>
      <c r="P1118" s="180"/>
    </row>
    <row r="1119">
      <c r="A1119" s="180"/>
      <c r="B1119" s="180"/>
      <c r="C1119" s="180"/>
      <c r="D1119" s="181"/>
      <c r="E1119" s="180"/>
      <c r="F1119" s="180"/>
      <c r="G1119" s="171"/>
      <c r="H1119" s="180"/>
      <c r="I1119" s="180"/>
      <c r="J1119" s="180"/>
      <c r="K1119" s="180"/>
      <c r="L1119" s="180"/>
      <c r="M1119" s="180"/>
      <c r="N1119" s="180"/>
      <c r="O1119" s="180"/>
      <c r="P1119" s="180"/>
    </row>
    <row r="1120">
      <c r="A1120" s="180"/>
      <c r="B1120" s="180"/>
      <c r="C1120" s="180"/>
      <c r="D1120" s="181"/>
      <c r="E1120" s="180"/>
      <c r="F1120" s="180"/>
      <c r="G1120" s="171"/>
      <c r="H1120" s="180"/>
      <c r="I1120" s="180"/>
      <c r="J1120" s="180"/>
      <c r="K1120" s="180"/>
      <c r="L1120" s="180"/>
      <c r="M1120" s="180"/>
      <c r="N1120" s="180"/>
      <c r="O1120" s="180"/>
      <c r="P1120" s="180"/>
    </row>
    <row r="1121">
      <c r="A1121" s="180"/>
      <c r="B1121" s="180"/>
      <c r="C1121" s="180"/>
      <c r="D1121" s="181"/>
      <c r="E1121" s="180"/>
      <c r="F1121" s="180"/>
      <c r="G1121" s="171"/>
      <c r="H1121" s="180"/>
      <c r="I1121" s="180"/>
      <c r="J1121" s="180"/>
      <c r="K1121" s="180"/>
      <c r="L1121" s="180"/>
      <c r="M1121" s="180"/>
      <c r="N1121" s="180"/>
      <c r="O1121" s="180"/>
      <c r="P1121" s="180"/>
    </row>
    <row r="1122">
      <c r="A1122" s="180"/>
      <c r="B1122" s="180"/>
      <c r="C1122" s="180"/>
      <c r="D1122" s="181"/>
      <c r="E1122" s="180"/>
      <c r="F1122" s="180"/>
      <c r="G1122" s="171"/>
      <c r="H1122" s="180"/>
      <c r="I1122" s="180"/>
      <c r="J1122" s="180"/>
      <c r="K1122" s="180"/>
      <c r="L1122" s="180"/>
      <c r="M1122" s="180"/>
      <c r="N1122" s="180"/>
      <c r="O1122" s="180"/>
      <c r="P1122" s="180"/>
    </row>
    <row r="1123">
      <c r="A1123" s="180"/>
      <c r="B1123" s="180"/>
      <c r="C1123" s="180"/>
      <c r="D1123" s="181"/>
      <c r="E1123" s="180"/>
      <c r="F1123" s="180"/>
      <c r="G1123" s="171"/>
      <c r="H1123" s="180"/>
      <c r="I1123" s="180"/>
      <c r="J1123" s="180"/>
      <c r="K1123" s="180"/>
      <c r="L1123" s="180"/>
      <c r="M1123" s="180"/>
      <c r="N1123" s="180"/>
      <c r="O1123" s="180"/>
      <c r="P1123" s="180"/>
    </row>
    <row r="1124">
      <c r="A1124" s="180"/>
      <c r="B1124" s="180"/>
      <c r="C1124" s="180"/>
      <c r="D1124" s="181"/>
      <c r="E1124" s="180"/>
      <c r="F1124" s="180"/>
      <c r="G1124" s="171"/>
      <c r="H1124" s="180"/>
      <c r="I1124" s="180"/>
      <c r="J1124" s="180"/>
      <c r="K1124" s="180"/>
      <c r="L1124" s="180"/>
      <c r="M1124" s="180"/>
      <c r="N1124" s="180"/>
      <c r="O1124" s="180"/>
      <c r="P1124" s="180"/>
    </row>
    <row r="1125">
      <c r="A1125" s="180"/>
      <c r="B1125" s="180"/>
      <c r="C1125" s="180"/>
      <c r="D1125" s="181"/>
      <c r="E1125" s="180"/>
      <c r="F1125" s="180"/>
      <c r="G1125" s="171"/>
      <c r="H1125" s="180"/>
      <c r="I1125" s="180"/>
      <c r="J1125" s="180"/>
      <c r="K1125" s="180"/>
      <c r="L1125" s="180"/>
      <c r="M1125" s="180"/>
      <c r="N1125" s="180"/>
      <c r="O1125" s="180"/>
      <c r="P1125" s="180"/>
    </row>
    <row r="1126">
      <c r="A1126" s="180"/>
      <c r="B1126" s="180"/>
      <c r="C1126" s="180"/>
      <c r="D1126" s="181"/>
      <c r="E1126" s="180"/>
      <c r="F1126" s="180"/>
      <c r="G1126" s="171"/>
      <c r="H1126" s="180"/>
      <c r="I1126" s="180"/>
      <c r="J1126" s="180"/>
      <c r="K1126" s="180"/>
      <c r="L1126" s="180"/>
      <c r="M1126" s="180"/>
      <c r="N1126" s="180"/>
      <c r="O1126" s="180"/>
      <c r="P1126" s="180"/>
    </row>
    <row r="1127">
      <c r="A1127" s="180"/>
      <c r="B1127" s="180"/>
      <c r="C1127" s="180"/>
      <c r="D1127" s="181"/>
      <c r="E1127" s="180"/>
      <c r="F1127" s="180"/>
      <c r="G1127" s="171"/>
      <c r="H1127" s="180"/>
      <c r="I1127" s="180"/>
      <c r="J1127" s="180"/>
      <c r="K1127" s="180"/>
      <c r="L1127" s="180"/>
      <c r="M1127" s="180"/>
      <c r="N1127" s="180"/>
      <c r="O1127" s="180"/>
      <c r="P1127" s="180"/>
    </row>
    <row r="1128">
      <c r="A1128" s="180"/>
      <c r="B1128" s="180"/>
      <c r="C1128" s="180"/>
      <c r="D1128" s="181"/>
      <c r="E1128" s="180"/>
      <c r="F1128" s="180"/>
      <c r="G1128" s="171"/>
      <c r="H1128" s="180"/>
      <c r="I1128" s="180"/>
      <c r="J1128" s="180"/>
      <c r="K1128" s="180"/>
      <c r="L1128" s="180"/>
      <c r="M1128" s="180"/>
      <c r="N1128" s="180"/>
      <c r="O1128" s="180"/>
      <c r="P1128" s="180"/>
    </row>
    <row r="1129">
      <c r="A1129" s="180"/>
      <c r="B1129" s="180"/>
      <c r="C1129" s="180"/>
      <c r="D1129" s="181"/>
      <c r="E1129" s="180"/>
      <c r="F1129" s="180"/>
      <c r="G1129" s="171"/>
      <c r="H1129" s="180"/>
      <c r="I1129" s="180"/>
      <c r="J1129" s="180"/>
      <c r="K1129" s="180"/>
      <c r="L1129" s="180"/>
      <c r="M1129" s="180"/>
      <c r="N1129" s="180"/>
      <c r="O1129" s="180"/>
      <c r="P1129" s="180"/>
    </row>
    <row r="1130">
      <c r="A1130" s="180"/>
      <c r="B1130" s="180"/>
      <c r="C1130" s="180"/>
      <c r="D1130" s="181"/>
      <c r="E1130" s="180"/>
      <c r="F1130" s="180"/>
      <c r="G1130" s="171"/>
      <c r="H1130" s="180"/>
      <c r="I1130" s="180"/>
      <c r="J1130" s="180"/>
      <c r="K1130" s="180"/>
      <c r="L1130" s="180"/>
      <c r="M1130" s="180"/>
      <c r="N1130" s="180"/>
      <c r="O1130" s="180"/>
      <c r="P1130" s="180"/>
    </row>
    <row r="1131">
      <c r="A1131" s="180"/>
      <c r="B1131" s="180"/>
      <c r="C1131" s="180"/>
      <c r="D1131" s="181"/>
      <c r="E1131" s="180"/>
      <c r="F1131" s="180"/>
      <c r="G1131" s="171"/>
      <c r="H1131" s="180"/>
      <c r="I1131" s="180"/>
      <c r="J1131" s="180"/>
      <c r="K1131" s="180"/>
      <c r="L1131" s="180"/>
      <c r="M1131" s="180"/>
      <c r="N1131" s="180"/>
      <c r="O1131" s="180"/>
      <c r="P1131" s="180"/>
    </row>
    <row r="1132">
      <c r="A1132" s="180"/>
      <c r="B1132" s="180"/>
      <c r="C1132" s="180"/>
      <c r="D1132" s="181"/>
      <c r="E1132" s="180"/>
      <c r="F1132" s="180"/>
      <c r="G1132" s="171"/>
      <c r="H1132" s="180"/>
      <c r="I1132" s="180"/>
      <c r="J1132" s="180"/>
      <c r="K1132" s="180"/>
      <c r="L1132" s="180"/>
      <c r="M1132" s="180"/>
      <c r="N1132" s="180"/>
      <c r="O1132" s="180"/>
      <c r="P1132" s="180"/>
    </row>
    <row r="1133">
      <c r="A1133" s="180"/>
      <c r="B1133" s="180"/>
      <c r="C1133" s="180"/>
      <c r="D1133" s="181"/>
      <c r="E1133" s="180"/>
      <c r="F1133" s="180"/>
      <c r="G1133" s="171"/>
      <c r="H1133" s="180"/>
      <c r="I1133" s="180"/>
      <c r="J1133" s="180"/>
      <c r="K1133" s="180"/>
      <c r="L1133" s="180"/>
      <c r="M1133" s="180"/>
      <c r="N1133" s="180"/>
      <c r="O1133" s="180"/>
      <c r="P1133" s="180"/>
    </row>
    <row r="1134">
      <c r="A1134" s="180"/>
      <c r="B1134" s="180"/>
      <c r="C1134" s="180"/>
      <c r="D1134" s="181"/>
      <c r="E1134" s="180"/>
      <c r="F1134" s="180"/>
      <c r="G1134" s="171"/>
      <c r="H1134" s="180"/>
      <c r="I1134" s="180"/>
      <c r="J1134" s="180"/>
      <c r="K1134" s="180"/>
      <c r="L1134" s="180"/>
      <c r="M1134" s="180"/>
      <c r="N1134" s="180"/>
      <c r="O1134" s="180"/>
      <c r="P1134" s="180"/>
    </row>
    <row r="1135">
      <c r="A1135" s="180"/>
      <c r="B1135" s="180"/>
      <c r="C1135" s="180"/>
      <c r="D1135" s="181"/>
      <c r="E1135" s="180"/>
      <c r="F1135" s="180"/>
      <c r="G1135" s="171"/>
      <c r="H1135" s="180"/>
      <c r="I1135" s="180"/>
      <c r="J1135" s="180"/>
      <c r="K1135" s="180"/>
      <c r="L1135" s="180"/>
      <c r="M1135" s="180"/>
      <c r="N1135" s="180"/>
      <c r="O1135" s="180"/>
      <c r="P1135" s="180"/>
    </row>
    <row r="1136">
      <c r="A1136" s="180"/>
      <c r="B1136" s="180"/>
      <c r="C1136" s="180"/>
      <c r="D1136" s="181"/>
      <c r="E1136" s="180"/>
      <c r="F1136" s="180"/>
      <c r="G1136" s="171"/>
      <c r="H1136" s="180"/>
      <c r="I1136" s="180"/>
      <c r="J1136" s="180"/>
      <c r="K1136" s="180"/>
      <c r="L1136" s="180"/>
      <c r="M1136" s="180"/>
      <c r="N1136" s="180"/>
      <c r="O1136" s="180"/>
      <c r="P1136" s="180"/>
    </row>
    <row r="1137">
      <c r="A1137" s="180"/>
      <c r="B1137" s="180"/>
      <c r="C1137" s="180"/>
      <c r="D1137" s="181"/>
      <c r="E1137" s="180"/>
      <c r="F1137" s="180"/>
      <c r="G1137" s="171"/>
      <c r="H1137" s="180"/>
      <c r="I1137" s="180"/>
      <c r="J1137" s="180"/>
      <c r="K1137" s="180"/>
      <c r="L1137" s="180"/>
      <c r="M1137" s="180"/>
      <c r="N1137" s="180"/>
      <c r="O1137" s="180"/>
      <c r="P1137" s="180"/>
    </row>
    <row r="1138">
      <c r="A1138" s="180"/>
      <c r="B1138" s="180"/>
      <c r="C1138" s="180"/>
      <c r="D1138" s="181"/>
      <c r="E1138" s="180"/>
      <c r="F1138" s="180"/>
      <c r="G1138" s="171"/>
      <c r="H1138" s="180"/>
      <c r="I1138" s="180"/>
      <c r="J1138" s="180"/>
      <c r="K1138" s="180"/>
      <c r="L1138" s="180"/>
      <c r="M1138" s="180"/>
      <c r="N1138" s="180"/>
      <c r="O1138" s="180"/>
      <c r="P1138" s="180"/>
    </row>
    <row r="1139">
      <c r="A1139" s="180"/>
      <c r="B1139" s="180"/>
      <c r="C1139" s="180"/>
      <c r="D1139" s="181"/>
      <c r="E1139" s="180"/>
      <c r="F1139" s="180"/>
      <c r="G1139" s="171"/>
      <c r="H1139" s="180"/>
      <c r="I1139" s="180"/>
      <c r="J1139" s="180"/>
      <c r="K1139" s="180"/>
      <c r="L1139" s="180"/>
      <c r="M1139" s="180"/>
      <c r="N1139" s="180"/>
      <c r="O1139" s="180"/>
      <c r="P1139" s="180"/>
    </row>
    <row r="1140">
      <c r="A1140" s="180"/>
      <c r="B1140" s="180"/>
      <c r="C1140" s="180"/>
      <c r="D1140" s="181"/>
      <c r="E1140" s="180"/>
      <c r="F1140" s="180"/>
      <c r="G1140" s="171"/>
      <c r="H1140" s="180"/>
      <c r="I1140" s="180"/>
      <c r="J1140" s="180"/>
      <c r="K1140" s="180"/>
      <c r="L1140" s="180"/>
      <c r="M1140" s="180"/>
      <c r="N1140" s="180"/>
      <c r="O1140" s="180"/>
      <c r="P1140" s="180"/>
    </row>
    <row r="1141">
      <c r="A1141" s="180"/>
      <c r="B1141" s="180"/>
      <c r="C1141" s="180"/>
      <c r="D1141" s="181"/>
      <c r="E1141" s="180"/>
      <c r="F1141" s="180"/>
      <c r="G1141" s="171"/>
      <c r="H1141" s="180"/>
      <c r="I1141" s="180"/>
      <c r="J1141" s="180"/>
      <c r="K1141" s="180"/>
      <c r="L1141" s="180"/>
      <c r="M1141" s="180"/>
      <c r="N1141" s="180"/>
      <c r="O1141" s="180"/>
      <c r="P1141" s="180"/>
    </row>
    <row r="1142">
      <c r="A1142" s="180"/>
      <c r="B1142" s="180"/>
      <c r="C1142" s="180"/>
      <c r="D1142" s="181"/>
      <c r="E1142" s="180"/>
      <c r="F1142" s="180"/>
      <c r="G1142" s="171"/>
      <c r="H1142" s="180"/>
      <c r="I1142" s="180"/>
      <c r="J1142" s="180"/>
      <c r="K1142" s="180"/>
      <c r="L1142" s="180"/>
      <c r="M1142" s="180"/>
      <c r="N1142" s="180"/>
      <c r="O1142" s="180"/>
      <c r="P1142" s="180"/>
    </row>
    <row r="1143">
      <c r="A1143" s="180"/>
      <c r="B1143" s="180"/>
      <c r="C1143" s="180"/>
      <c r="D1143" s="181"/>
      <c r="E1143" s="180"/>
      <c r="F1143" s="180"/>
      <c r="G1143" s="171"/>
      <c r="H1143" s="180"/>
      <c r="I1143" s="180"/>
      <c r="J1143" s="180"/>
      <c r="K1143" s="180"/>
      <c r="L1143" s="180"/>
      <c r="M1143" s="180"/>
      <c r="N1143" s="180"/>
      <c r="O1143" s="180"/>
      <c r="P1143" s="180"/>
    </row>
    <row r="1144">
      <c r="A1144" s="180"/>
      <c r="B1144" s="180"/>
      <c r="C1144" s="180"/>
      <c r="D1144" s="181"/>
      <c r="E1144" s="180"/>
      <c r="F1144" s="180"/>
      <c r="G1144" s="171"/>
      <c r="H1144" s="180"/>
      <c r="I1144" s="180"/>
      <c r="J1144" s="180"/>
      <c r="K1144" s="180"/>
      <c r="L1144" s="180"/>
      <c r="M1144" s="180"/>
      <c r="N1144" s="180"/>
      <c r="O1144" s="180"/>
      <c r="P1144" s="180"/>
    </row>
    <row r="1145">
      <c r="A1145" s="180"/>
      <c r="B1145" s="180"/>
      <c r="C1145" s="180"/>
      <c r="D1145" s="181"/>
      <c r="E1145" s="180"/>
      <c r="F1145" s="180"/>
      <c r="G1145" s="171"/>
      <c r="H1145" s="180"/>
      <c r="I1145" s="180"/>
      <c r="J1145" s="180"/>
      <c r="K1145" s="180"/>
      <c r="L1145" s="180"/>
      <c r="M1145" s="180"/>
      <c r="N1145" s="180"/>
      <c r="O1145" s="180"/>
      <c r="P1145" s="180"/>
    </row>
    <row r="1146">
      <c r="A1146" s="180"/>
      <c r="B1146" s="180"/>
      <c r="C1146" s="180"/>
      <c r="D1146" s="181"/>
      <c r="E1146" s="180"/>
      <c r="F1146" s="180"/>
      <c r="G1146" s="171"/>
      <c r="H1146" s="180"/>
      <c r="I1146" s="180"/>
      <c r="J1146" s="180"/>
      <c r="K1146" s="180"/>
      <c r="L1146" s="180"/>
      <c r="M1146" s="180"/>
      <c r="N1146" s="180"/>
      <c r="O1146" s="180"/>
      <c r="P1146" s="180"/>
    </row>
    <row r="1147">
      <c r="A1147" s="180"/>
      <c r="B1147" s="180"/>
      <c r="C1147" s="180"/>
      <c r="D1147" s="181"/>
      <c r="E1147" s="180"/>
      <c r="F1147" s="180"/>
      <c r="G1147" s="171"/>
      <c r="H1147" s="180"/>
      <c r="I1147" s="180"/>
      <c r="J1147" s="180"/>
      <c r="K1147" s="180"/>
      <c r="L1147" s="180"/>
      <c r="M1147" s="180"/>
      <c r="N1147" s="180"/>
      <c r="O1147" s="180"/>
      <c r="P1147" s="180"/>
    </row>
    <row r="1148">
      <c r="A1148" s="180"/>
      <c r="B1148" s="180"/>
      <c r="C1148" s="180"/>
      <c r="D1148" s="181"/>
      <c r="E1148" s="180"/>
      <c r="F1148" s="180"/>
      <c r="G1148" s="171"/>
      <c r="H1148" s="180"/>
      <c r="I1148" s="180"/>
      <c r="J1148" s="180"/>
      <c r="K1148" s="180"/>
      <c r="L1148" s="180"/>
      <c r="M1148" s="180"/>
      <c r="N1148" s="180"/>
      <c r="O1148" s="180"/>
      <c r="P1148" s="180"/>
    </row>
    <row r="1149">
      <c r="A1149" s="180"/>
      <c r="B1149" s="180"/>
      <c r="C1149" s="180"/>
      <c r="D1149" s="181"/>
      <c r="E1149" s="180"/>
      <c r="F1149" s="180"/>
      <c r="G1149" s="171"/>
      <c r="H1149" s="180"/>
      <c r="I1149" s="180"/>
      <c r="J1149" s="180"/>
      <c r="K1149" s="180"/>
      <c r="L1149" s="180"/>
      <c r="M1149" s="180"/>
      <c r="N1149" s="180"/>
      <c r="O1149" s="180"/>
      <c r="P1149" s="180"/>
    </row>
    <row r="1150">
      <c r="A1150" s="180"/>
      <c r="B1150" s="180"/>
      <c r="C1150" s="180"/>
      <c r="D1150" s="181"/>
      <c r="E1150" s="180"/>
      <c r="F1150" s="180"/>
      <c r="G1150" s="171"/>
      <c r="H1150" s="180"/>
      <c r="I1150" s="180"/>
      <c r="J1150" s="180"/>
      <c r="K1150" s="180"/>
      <c r="L1150" s="180"/>
      <c r="M1150" s="180"/>
      <c r="N1150" s="180"/>
      <c r="O1150" s="180"/>
      <c r="P1150" s="180"/>
    </row>
    <row r="1151">
      <c r="A1151" s="180"/>
      <c r="B1151" s="180"/>
      <c r="C1151" s="180"/>
      <c r="D1151" s="181"/>
      <c r="E1151" s="180"/>
      <c r="F1151" s="180"/>
      <c r="G1151" s="171"/>
      <c r="H1151" s="180"/>
      <c r="I1151" s="180"/>
      <c r="J1151" s="180"/>
      <c r="K1151" s="180"/>
      <c r="L1151" s="180"/>
      <c r="M1151" s="180"/>
      <c r="N1151" s="180"/>
      <c r="O1151" s="180"/>
      <c r="P1151" s="180"/>
    </row>
    <row r="1152">
      <c r="A1152" s="180"/>
      <c r="B1152" s="180"/>
      <c r="C1152" s="180"/>
      <c r="D1152" s="181"/>
      <c r="E1152" s="180"/>
      <c r="F1152" s="180"/>
      <c r="G1152" s="171"/>
      <c r="H1152" s="180"/>
      <c r="I1152" s="180"/>
      <c r="J1152" s="180"/>
      <c r="K1152" s="180"/>
      <c r="L1152" s="180"/>
      <c r="M1152" s="180"/>
      <c r="N1152" s="180"/>
      <c r="O1152" s="180"/>
      <c r="P1152" s="180"/>
    </row>
    <row r="1153">
      <c r="A1153" s="180"/>
      <c r="B1153" s="180"/>
      <c r="C1153" s="180"/>
      <c r="D1153" s="181"/>
      <c r="E1153" s="180"/>
      <c r="F1153" s="180"/>
      <c r="G1153" s="171"/>
      <c r="H1153" s="180"/>
      <c r="I1153" s="180"/>
      <c r="J1153" s="180"/>
      <c r="K1153" s="180"/>
      <c r="L1153" s="180"/>
      <c r="M1153" s="180"/>
      <c r="N1153" s="180"/>
      <c r="O1153" s="180"/>
      <c r="P1153" s="180"/>
    </row>
    <row r="1154">
      <c r="A1154" s="180"/>
      <c r="B1154" s="180"/>
      <c r="C1154" s="180"/>
      <c r="D1154" s="181"/>
      <c r="E1154" s="180"/>
      <c r="F1154" s="180"/>
      <c r="G1154" s="171"/>
      <c r="H1154" s="180"/>
      <c r="I1154" s="180"/>
      <c r="J1154" s="180"/>
      <c r="K1154" s="180"/>
      <c r="L1154" s="180"/>
      <c r="M1154" s="180"/>
      <c r="N1154" s="180"/>
      <c r="O1154" s="180"/>
      <c r="P1154" s="180"/>
    </row>
    <row r="1155">
      <c r="A1155" s="180"/>
      <c r="B1155" s="180"/>
      <c r="C1155" s="180"/>
      <c r="D1155" s="181"/>
      <c r="E1155" s="180"/>
      <c r="F1155" s="180"/>
      <c r="G1155" s="171"/>
      <c r="H1155" s="180"/>
      <c r="I1155" s="180"/>
      <c r="J1155" s="180"/>
      <c r="K1155" s="180"/>
      <c r="L1155" s="180"/>
      <c r="M1155" s="180"/>
      <c r="N1155" s="180"/>
      <c r="O1155" s="180"/>
      <c r="P1155" s="180"/>
    </row>
    <row r="1156">
      <c r="A1156" s="180"/>
      <c r="B1156" s="180"/>
      <c r="C1156" s="180"/>
      <c r="D1156" s="181"/>
      <c r="E1156" s="180"/>
      <c r="F1156" s="180"/>
      <c r="G1156" s="171"/>
      <c r="H1156" s="180"/>
      <c r="I1156" s="180"/>
      <c r="J1156" s="180"/>
      <c r="K1156" s="180"/>
      <c r="L1156" s="180"/>
      <c r="M1156" s="180"/>
      <c r="N1156" s="180"/>
      <c r="O1156" s="180"/>
      <c r="P1156" s="180"/>
    </row>
    <row r="1157">
      <c r="A1157" s="180"/>
      <c r="B1157" s="180"/>
      <c r="C1157" s="180"/>
      <c r="D1157" s="181"/>
      <c r="E1157" s="180"/>
      <c r="F1157" s="180"/>
      <c r="G1157" s="171"/>
      <c r="H1157" s="180"/>
      <c r="I1157" s="180"/>
      <c r="J1157" s="180"/>
      <c r="K1157" s="180"/>
      <c r="L1157" s="180"/>
      <c r="M1157" s="180"/>
      <c r="N1157" s="180"/>
      <c r="O1157" s="180"/>
      <c r="P1157" s="180"/>
    </row>
    <row r="1158">
      <c r="A1158" s="180"/>
      <c r="B1158" s="180"/>
      <c r="C1158" s="180"/>
      <c r="D1158" s="181"/>
      <c r="E1158" s="180"/>
      <c r="F1158" s="180"/>
      <c r="G1158" s="171"/>
      <c r="H1158" s="180"/>
      <c r="I1158" s="180"/>
      <c r="J1158" s="180"/>
      <c r="K1158" s="180"/>
      <c r="L1158" s="180"/>
      <c r="M1158" s="180"/>
      <c r="N1158" s="180"/>
      <c r="O1158" s="180"/>
      <c r="P1158" s="180"/>
    </row>
    <row r="1159">
      <c r="A1159" s="180"/>
      <c r="B1159" s="180"/>
      <c r="C1159" s="180"/>
      <c r="D1159" s="181"/>
      <c r="E1159" s="180"/>
      <c r="F1159" s="180"/>
      <c r="G1159" s="171"/>
      <c r="H1159" s="180"/>
      <c r="I1159" s="180"/>
      <c r="J1159" s="180"/>
      <c r="K1159" s="180"/>
      <c r="L1159" s="180"/>
      <c r="M1159" s="180"/>
      <c r="N1159" s="180"/>
      <c r="O1159" s="180"/>
      <c r="P1159" s="180"/>
    </row>
    <row r="1160">
      <c r="A1160" s="180"/>
      <c r="B1160" s="180"/>
      <c r="C1160" s="180"/>
      <c r="D1160" s="181"/>
      <c r="E1160" s="180"/>
      <c r="F1160" s="180"/>
      <c r="G1160" s="171"/>
      <c r="H1160" s="180"/>
      <c r="I1160" s="180"/>
      <c r="J1160" s="180"/>
      <c r="K1160" s="180"/>
      <c r="L1160" s="180"/>
      <c r="M1160" s="180"/>
      <c r="N1160" s="180"/>
      <c r="O1160" s="180"/>
      <c r="P1160" s="180"/>
    </row>
    <row r="1161">
      <c r="A1161" s="180"/>
      <c r="B1161" s="180"/>
      <c r="C1161" s="180"/>
      <c r="D1161" s="181"/>
      <c r="E1161" s="180"/>
      <c r="F1161" s="180"/>
      <c r="G1161" s="171"/>
      <c r="H1161" s="180"/>
      <c r="I1161" s="180"/>
      <c r="J1161" s="180"/>
      <c r="K1161" s="180"/>
      <c r="L1161" s="180"/>
      <c r="M1161" s="180"/>
      <c r="N1161" s="180"/>
      <c r="O1161" s="180"/>
      <c r="P1161" s="180"/>
    </row>
    <row r="1162">
      <c r="A1162" s="180"/>
      <c r="B1162" s="180"/>
      <c r="C1162" s="180"/>
      <c r="D1162" s="181"/>
      <c r="E1162" s="180"/>
      <c r="F1162" s="180"/>
      <c r="G1162" s="171"/>
      <c r="H1162" s="180"/>
      <c r="I1162" s="180"/>
      <c r="J1162" s="180"/>
      <c r="K1162" s="180"/>
      <c r="L1162" s="180"/>
      <c r="M1162" s="180"/>
      <c r="N1162" s="180"/>
      <c r="O1162" s="180"/>
      <c r="P1162" s="180"/>
    </row>
    <row r="1163">
      <c r="A1163" s="180"/>
      <c r="B1163" s="180"/>
      <c r="C1163" s="180"/>
      <c r="D1163" s="181"/>
      <c r="E1163" s="180"/>
      <c r="F1163" s="180"/>
      <c r="G1163" s="171"/>
      <c r="H1163" s="180"/>
      <c r="I1163" s="180"/>
      <c r="J1163" s="180"/>
      <c r="K1163" s="180"/>
      <c r="L1163" s="180"/>
      <c r="M1163" s="180"/>
      <c r="N1163" s="180"/>
      <c r="O1163" s="180"/>
      <c r="P1163" s="180"/>
    </row>
    <row r="1164">
      <c r="A1164" s="180"/>
      <c r="B1164" s="180"/>
      <c r="C1164" s="180"/>
      <c r="D1164" s="181"/>
      <c r="E1164" s="180"/>
      <c r="F1164" s="180"/>
      <c r="G1164" s="171"/>
      <c r="H1164" s="180"/>
      <c r="I1164" s="180"/>
      <c r="J1164" s="180"/>
      <c r="K1164" s="180"/>
      <c r="L1164" s="180"/>
      <c r="M1164" s="180"/>
      <c r="N1164" s="180"/>
      <c r="O1164" s="180"/>
      <c r="P1164" s="180"/>
    </row>
    <row r="1165">
      <c r="A1165" s="180"/>
      <c r="B1165" s="180"/>
      <c r="C1165" s="180"/>
      <c r="D1165" s="181"/>
      <c r="E1165" s="180"/>
      <c r="F1165" s="180"/>
      <c r="G1165" s="171"/>
      <c r="H1165" s="180"/>
      <c r="I1165" s="180"/>
      <c r="J1165" s="180"/>
      <c r="K1165" s="180"/>
      <c r="L1165" s="180"/>
      <c r="M1165" s="180"/>
      <c r="N1165" s="180"/>
      <c r="O1165" s="180"/>
      <c r="P1165" s="180"/>
    </row>
    <row r="1166">
      <c r="A1166" s="180"/>
      <c r="B1166" s="180"/>
      <c r="C1166" s="180"/>
      <c r="D1166" s="181"/>
      <c r="E1166" s="180"/>
      <c r="F1166" s="180"/>
      <c r="G1166" s="171"/>
      <c r="H1166" s="180"/>
      <c r="I1166" s="180"/>
      <c r="J1166" s="180"/>
      <c r="K1166" s="180"/>
      <c r="L1166" s="180"/>
      <c r="M1166" s="180"/>
      <c r="N1166" s="180"/>
      <c r="O1166" s="180"/>
      <c r="P1166" s="180"/>
    </row>
    <row r="1167">
      <c r="A1167" s="180"/>
      <c r="B1167" s="180"/>
      <c r="C1167" s="180"/>
      <c r="D1167" s="181"/>
      <c r="E1167" s="180"/>
      <c r="F1167" s="180"/>
      <c r="G1167" s="171"/>
      <c r="H1167" s="180"/>
      <c r="I1167" s="180"/>
      <c r="J1167" s="180"/>
      <c r="K1167" s="180"/>
      <c r="L1167" s="180"/>
      <c r="M1167" s="180"/>
      <c r="N1167" s="180"/>
      <c r="O1167" s="180"/>
      <c r="P1167" s="180"/>
    </row>
    <row r="1168">
      <c r="A1168" s="180"/>
      <c r="B1168" s="180"/>
      <c r="C1168" s="180"/>
      <c r="D1168" s="181"/>
      <c r="E1168" s="180"/>
      <c r="F1168" s="180"/>
      <c r="G1168" s="171"/>
      <c r="H1168" s="180"/>
      <c r="I1168" s="180"/>
      <c r="J1168" s="180"/>
      <c r="K1168" s="180"/>
      <c r="L1168" s="180"/>
      <c r="M1168" s="180"/>
      <c r="N1168" s="180"/>
      <c r="O1168" s="180"/>
      <c r="P1168" s="180"/>
    </row>
    <row r="1169">
      <c r="A1169" s="180"/>
      <c r="B1169" s="180"/>
      <c r="C1169" s="180"/>
      <c r="D1169" s="181"/>
      <c r="E1169" s="180"/>
      <c r="F1169" s="180"/>
      <c r="G1169" s="171"/>
      <c r="H1169" s="180"/>
      <c r="I1169" s="180"/>
      <c r="J1169" s="180"/>
      <c r="K1169" s="180"/>
      <c r="L1169" s="180"/>
      <c r="M1169" s="180"/>
      <c r="N1169" s="180"/>
      <c r="O1169" s="180"/>
      <c r="P1169" s="180"/>
    </row>
    <row r="1170">
      <c r="A1170" s="180"/>
      <c r="B1170" s="180"/>
      <c r="C1170" s="180"/>
      <c r="D1170" s="181"/>
      <c r="E1170" s="180"/>
      <c r="F1170" s="180"/>
      <c r="G1170" s="171"/>
      <c r="H1170" s="180"/>
      <c r="I1170" s="180"/>
      <c r="J1170" s="180"/>
      <c r="K1170" s="180"/>
      <c r="L1170" s="180"/>
      <c r="M1170" s="180"/>
      <c r="N1170" s="180"/>
      <c r="O1170" s="180"/>
      <c r="P1170" s="180"/>
    </row>
    <row r="1171">
      <c r="A1171" s="180"/>
      <c r="B1171" s="180"/>
      <c r="C1171" s="180"/>
      <c r="D1171" s="181"/>
      <c r="E1171" s="180"/>
      <c r="F1171" s="180"/>
      <c r="G1171" s="171"/>
      <c r="H1171" s="180"/>
      <c r="I1171" s="180"/>
      <c r="J1171" s="180"/>
      <c r="K1171" s="180"/>
      <c r="L1171" s="180"/>
      <c r="M1171" s="180"/>
      <c r="N1171" s="180"/>
      <c r="O1171" s="180"/>
      <c r="P1171" s="180"/>
    </row>
    <row r="1172">
      <c r="A1172" s="180"/>
      <c r="B1172" s="180"/>
      <c r="C1172" s="180"/>
      <c r="D1172" s="181"/>
      <c r="E1172" s="180"/>
      <c r="F1172" s="180"/>
      <c r="G1172" s="171"/>
      <c r="H1172" s="180"/>
      <c r="I1172" s="180"/>
      <c r="J1172" s="180"/>
      <c r="K1172" s="180"/>
      <c r="L1172" s="180"/>
      <c r="M1172" s="180"/>
      <c r="N1172" s="180"/>
      <c r="O1172" s="180"/>
      <c r="P1172" s="180"/>
    </row>
    <row r="1173">
      <c r="A1173" s="180"/>
      <c r="B1173" s="180"/>
      <c r="C1173" s="180"/>
      <c r="D1173" s="181"/>
      <c r="E1173" s="180"/>
      <c r="F1173" s="180"/>
      <c r="G1173" s="171"/>
      <c r="H1173" s="180"/>
      <c r="I1173" s="180"/>
      <c r="J1173" s="180"/>
      <c r="K1173" s="180"/>
      <c r="L1173" s="180"/>
      <c r="M1173" s="180"/>
      <c r="N1173" s="180"/>
      <c r="O1173" s="180"/>
      <c r="P1173" s="180"/>
    </row>
    <row r="1174">
      <c r="A1174" s="180"/>
      <c r="B1174" s="180"/>
      <c r="C1174" s="180"/>
      <c r="D1174" s="181"/>
      <c r="E1174" s="180"/>
      <c r="F1174" s="180"/>
      <c r="G1174" s="171"/>
      <c r="H1174" s="180"/>
      <c r="I1174" s="180"/>
      <c r="J1174" s="180"/>
      <c r="K1174" s="180"/>
      <c r="L1174" s="180"/>
      <c r="M1174" s="180"/>
      <c r="N1174" s="180"/>
      <c r="O1174" s="180"/>
      <c r="P1174" s="180"/>
    </row>
    <row r="1175">
      <c r="A1175" s="180"/>
      <c r="B1175" s="180"/>
      <c r="C1175" s="180"/>
      <c r="D1175" s="181"/>
      <c r="E1175" s="180"/>
      <c r="F1175" s="180"/>
      <c r="G1175" s="171"/>
      <c r="H1175" s="180"/>
      <c r="I1175" s="180"/>
      <c r="J1175" s="180"/>
      <c r="K1175" s="180"/>
      <c r="L1175" s="180"/>
      <c r="M1175" s="180"/>
      <c r="N1175" s="180"/>
      <c r="O1175" s="180"/>
      <c r="P1175" s="180"/>
    </row>
    <row r="1176">
      <c r="A1176" s="180"/>
      <c r="B1176" s="180"/>
      <c r="C1176" s="180"/>
      <c r="D1176" s="181"/>
      <c r="E1176" s="180"/>
      <c r="F1176" s="180"/>
      <c r="G1176" s="171"/>
      <c r="H1176" s="180"/>
      <c r="I1176" s="180"/>
      <c r="J1176" s="180"/>
      <c r="K1176" s="180"/>
      <c r="L1176" s="180"/>
      <c r="M1176" s="180"/>
      <c r="N1176" s="180"/>
      <c r="O1176" s="180"/>
      <c r="P1176" s="180"/>
    </row>
    <row r="1177">
      <c r="A1177" s="180"/>
      <c r="B1177" s="180"/>
      <c r="C1177" s="180"/>
      <c r="D1177" s="181"/>
      <c r="E1177" s="180"/>
      <c r="F1177" s="180"/>
      <c r="G1177" s="171"/>
      <c r="H1177" s="180"/>
      <c r="I1177" s="180"/>
      <c r="J1177" s="180"/>
      <c r="K1177" s="180"/>
      <c r="L1177" s="180"/>
      <c r="M1177" s="180"/>
      <c r="N1177" s="180"/>
      <c r="O1177" s="180"/>
      <c r="P1177" s="180"/>
    </row>
    <row r="1178">
      <c r="A1178" s="180"/>
      <c r="B1178" s="180"/>
      <c r="C1178" s="180"/>
      <c r="D1178" s="181"/>
      <c r="E1178" s="180"/>
      <c r="F1178" s="180"/>
      <c r="G1178" s="171"/>
      <c r="H1178" s="180"/>
      <c r="I1178" s="180"/>
      <c r="J1178" s="180"/>
      <c r="K1178" s="180"/>
      <c r="L1178" s="180"/>
      <c r="M1178" s="180"/>
      <c r="N1178" s="180"/>
      <c r="O1178" s="180"/>
      <c r="P1178" s="180"/>
    </row>
    <row r="1179">
      <c r="A1179" s="180"/>
      <c r="B1179" s="180"/>
      <c r="C1179" s="180"/>
      <c r="D1179" s="181"/>
      <c r="E1179" s="180"/>
      <c r="F1179" s="180"/>
      <c r="G1179" s="171"/>
      <c r="H1179" s="180"/>
      <c r="I1179" s="180"/>
      <c r="J1179" s="180"/>
      <c r="K1179" s="180"/>
      <c r="L1179" s="180"/>
      <c r="M1179" s="180"/>
      <c r="N1179" s="180"/>
      <c r="O1179" s="180"/>
      <c r="P1179" s="180"/>
    </row>
    <row r="1180">
      <c r="A1180" s="180"/>
      <c r="B1180" s="180"/>
      <c r="C1180" s="180"/>
      <c r="D1180" s="181"/>
      <c r="E1180" s="180"/>
      <c r="F1180" s="180"/>
      <c r="G1180" s="171"/>
      <c r="H1180" s="180"/>
      <c r="I1180" s="180"/>
      <c r="J1180" s="180"/>
      <c r="K1180" s="180"/>
      <c r="L1180" s="180"/>
      <c r="M1180" s="180"/>
      <c r="N1180" s="180"/>
      <c r="O1180" s="180"/>
      <c r="P1180" s="180"/>
    </row>
    <row r="1181">
      <c r="A1181" s="180"/>
      <c r="B1181" s="180"/>
      <c r="C1181" s="180"/>
      <c r="D1181" s="181"/>
      <c r="E1181" s="180"/>
      <c r="F1181" s="180"/>
      <c r="G1181" s="171"/>
      <c r="H1181" s="180"/>
      <c r="I1181" s="180"/>
      <c r="J1181" s="180"/>
      <c r="K1181" s="180"/>
      <c r="L1181" s="180"/>
      <c r="M1181" s="180"/>
      <c r="N1181" s="180"/>
      <c r="O1181" s="180"/>
      <c r="P1181" s="180"/>
    </row>
    <row r="1182">
      <c r="A1182" s="180"/>
      <c r="B1182" s="180"/>
      <c r="C1182" s="180"/>
      <c r="D1182" s="181"/>
      <c r="E1182" s="180"/>
      <c r="F1182" s="180"/>
      <c r="G1182" s="171"/>
      <c r="H1182" s="180"/>
      <c r="I1182" s="180"/>
      <c r="J1182" s="180"/>
      <c r="K1182" s="180"/>
      <c r="L1182" s="180"/>
      <c r="M1182" s="180"/>
      <c r="N1182" s="180"/>
      <c r="O1182" s="180"/>
      <c r="P1182" s="180"/>
    </row>
    <row r="1183">
      <c r="A1183" s="180"/>
      <c r="B1183" s="180"/>
      <c r="C1183" s="180"/>
      <c r="D1183" s="181"/>
      <c r="E1183" s="180"/>
      <c r="F1183" s="180"/>
      <c r="G1183" s="171"/>
      <c r="H1183" s="180"/>
      <c r="I1183" s="180"/>
      <c r="J1183" s="180"/>
      <c r="K1183" s="180"/>
      <c r="L1183" s="180"/>
      <c r="M1183" s="180"/>
      <c r="N1183" s="180"/>
      <c r="O1183" s="180"/>
      <c r="P1183" s="180"/>
    </row>
  </sheetData>
  <autoFilter ref="$A$7:$P$1183"/>
  <mergeCells count="15">
    <mergeCell ref="L4:M4"/>
    <mergeCell ref="N4:P4"/>
    <mergeCell ref="D4:E4"/>
    <mergeCell ref="D5:E5"/>
    <mergeCell ref="J4:K4"/>
    <mergeCell ref="J5:K5"/>
    <mergeCell ref="L5:M5"/>
    <mergeCell ref="N5:P5"/>
    <mergeCell ref="A1:B2"/>
    <mergeCell ref="D1:P1"/>
    <mergeCell ref="D2:P2"/>
    <mergeCell ref="A4:B4"/>
    <mergeCell ref="F4:H4"/>
    <mergeCell ref="A5:B5"/>
    <mergeCell ref="F5:H5"/>
  </mergeCells>
  <conditionalFormatting sqref="A9:P970">
    <cfRule type="expression" dxfId="11" priority="1" stopIfTrue="1">
      <formula>AND($A9&lt;&gt;"",$A9&lt;&gt;$A8)</formula>
    </cfRule>
  </conditionalFormatting>
  <conditionalFormatting sqref="J9:J335">
    <cfRule type="cellIs" dxfId="2" priority="2" stopIfTrue="1" operator="equal">
      <formula>"OK"</formula>
    </cfRule>
  </conditionalFormatting>
  <conditionalFormatting sqref="J9:J335">
    <cfRule type="cellIs" dxfId="0" priority="3" stopIfTrue="1" operator="equal">
      <formula>"Pendente"</formula>
    </cfRule>
  </conditionalFormatting>
  <conditionalFormatting sqref="K9:K335">
    <cfRule type="cellIs" dxfId="2" priority="4" stopIfTrue="1" operator="equal">
      <formula>"OK"</formula>
    </cfRule>
  </conditionalFormatting>
  <conditionalFormatting sqref="K9:K335">
    <cfRule type="cellIs" dxfId="0" priority="5" stopIfTrue="1" operator="equal">
      <formula>"Pendente"</formula>
    </cfRule>
  </conditionalFormatting>
  <conditionalFormatting sqref="L9:L335">
    <cfRule type="cellIs" dxfId="2" priority="6" stopIfTrue="1" operator="equal">
      <formula>"OK"</formula>
    </cfRule>
  </conditionalFormatting>
  <conditionalFormatting sqref="L9:L335">
    <cfRule type="cellIs" dxfId="0" priority="7" stopIfTrue="1" operator="equal">
      <formula>"Pendente"</formula>
    </cfRule>
  </conditionalFormatting>
  <conditionalFormatting sqref="M9:M335">
    <cfRule type="cellIs" dxfId="2" priority="8" stopIfTrue="1" operator="equal">
      <formula>"OK"</formula>
    </cfRule>
  </conditionalFormatting>
  <conditionalFormatting sqref="M9:M335">
    <cfRule type="cellIs" dxfId="0" priority="9" stopIfTrue="1" operator="equal">
      <formula>"Pendente"</formula>
    </cfRule>
  </conditionalFormatting>
  <conditionalFormatting sqref="N9:N335">
    <cfRule type="cellIs" dxfId="2" priority="10" stopIfTrue="1" operator="equal">
      <formula>"OK"</formula>
    </cfRule>
  </conditionalFormatting>
  <conditionalFormatting sqref="N9:N335">
    <cfRule type="cellIs" dxfId="0" priority="11" stopIfTrue="1" operator="equal">
      <formula>"Pendente"</formula>
    </cfRule>
  </conditionalFormatting>
  <conditionalFormatting sqref="H9:H335">
    <cfRule type="cellIs" dxfId="2" priority="12" stopIfTrue="1" operator="equal">
      <formula>"Concluído"</formula>
    </cfRule>
  </conditionalFormatting>
  <conditionalFormatting sqref="H9:H335">
    <cfRule type="cellIs" dxfId="1" priority="13" stopIfTrue="1" operator="equal">
      <formula>"Em andamento"</formula>
    </cfRule>
  </conditionalFormatting>
  <conditionalFormatting sqref="H9:H335">
    <cfRule type="cellIs" dxfId="3" priority="14" stopIfTrue="1" operator="equal">
      <formula>"A iniciar"</formula>
    </cfRule>
  </conditionalFormatting>
  <conditionalFormatting sqref="H9:H335">
    <cfRule type="cellIs" dxfId="4" priority="15" stopIfTrue="1" operator="equal">
      <formula>"Parado"</formula>
    </cfRule>
  </conditionalFormatting>
  <conditionalFormatting sqref="H9:H335">
    <cfRule type="cellIs" dxfId="5" priority="16" stopIfTrue="1" operator="equal">
      <formula>"Cancelado"</formula>
    </cfRule>
  </conditionalFormatting>
  <conditionalFormatting sqref="A9:P1183">
    <cfRule type="expression" dxfId="11" priority="17" stopIfTrue="1">
      <formula>AND($A9&lt;&gt;"",$A9&lt;&gt;$A8)</formula>
    </cfRule>
  </conditionalFormatting>
  <dataValidations>
    <dataValidation type="list" allowBlank="1" sqref="H8:H329">
      <formula1>"A iniciar,Em andamento,Concluído,Parado,Cancelado"</formula1>
    </dataValidation>
    <dataValidation type="list" allowBlank="1" showErrorMessage="1" sqref="G8:G970">
      <formula1>"Civil,Estrutura,Instalacoes,Hidraulica,Eletrica,Climatizacao,Revestimento,Forro,Pintura,Esquadrias,Serralheria,Impermeabilizacao,Elevadores,Preliminares,Limpeza"</formula1>
    </dataValidation>
    <dataValidation type="list" allowBlank="1" sqref="I8:I540">
      <formula1>Pessoas!$D$6:$D$505</formula1>
    </dataValidation>
    <dataValidation type="list" allowBlank="1" sqref="A8:A540">
      <formula1>Gestao!$A$8:$A$500</formula1>
    </dataValidation>
    <dataValidation type="date" allowBlank="1" showDropDown="1" showInputMessage="1" showErrorMessage="1" prompt="Escolha uma data. Deve estar dentro do periodo do Item Pai na Gestao." sqref="E8:E329">
      <formula1>45292.0</formula1>
      <formula2>47848.0</formula2>
    </dataValidation>
    <dataValidation type="date" allowBlank="1" showDropDown="1" showInputMessage="1" showErrorMessage="1" prompt="Escolha uma data. Deve ser &gt;= Inicio e &lt;= Termino do Item Pai." sqref="F8:F329">
      <formula1>45292.0</formula1>
      <formula2>47848.0</formula2>
    </dataValidation>
    <dataValidation type="list" allowBlank="1" sqref="J8:N329">
      <formula1>"OK,Pendente,N/A"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fitToPage="1"/>
  </sheetPr>
  <sheetViews>
    <sheetView workbookViewId="0">
      <pane ySplit="8.0" topLeftCell="A9" activePane="bottomLeft" state="frozen"/>
      <selection activeCell="B10" sqref="B10" pane="bottomLeft"/>
    </sheetView>
  </sheetViews>
  <sheetFormatPr customHeight="1" defaultColWidth="14.43" defaultRowHeight="15.0"/>
  <cols>
    <col customWidth="1" hidden="1" min="1" max="1" width="11.71"/>
    <col customWidth="1" min="2" max="2" width="11.86"/>
    <col customWidth="1" min="3" max="3" width="111.71"/>
    <col customWidth="1" min="4" max="4" width="11.14"/>
    <col customWidth="1" min="5" max="5" width="12.14"/>
    <col customWidth="1" hidden="1" min="6" max="6" width="15.14"/>
    <col customWidth="1" hidden="1" min="7" max="7" width="13.71"/>
    <col customWidth="1" hidden="1" min="8" max="8" width="12.57"/>
    <col customWidth="1" hidden="1" min="9" max="9" width="12.71"/>
    <col customWidth="1" hidden="1" min="10" max="10" width="22.29"/>
    <col customWidth="1" min="11" max="11" width="5.57"/>
    <col customWidth="1" min="12" max="12" width="29.0"/>
    <col customWidth="1" min="13" max="13" width="15.43"/>
    <col customWidth="1" min="14" max="14" width="14.14"/>
    <col customWidth="1" min="15" max="15" width="15.43"/>
    <col customWidth="1" min="16" max="16" width="32.29"/>
    <col customWidth="1" hidden="1" min="17" max="17" width="32.29"/>
  </cols>
  <sheetData>
    <row r="1">
      <c r="A1" s="182"/>
      <c r="B1" s="183"/>
      <c r="C1" s="184" t="s">
        <v>1050</v>
      </c>
      <c r="D1" s="185"/>
      <c r="E1" s="185"/>
      <c r="F1" s="185"/>
      <c r="G1" s="185"/>
      <c r="H1" s="185"/>
      <c r="I1" s="185"/>
      <c r="J1" s="186"/>
      <c r="K1" s="187"/>
      <c r="L1" s="188"/>
      <c r="M1" s="187"/>
      <c r="N1" s="189"/>
      <c r="O1" s="187"/>
      <c r="P1" s="187"/>
      <c r="Q1" s="190"/>
    </row>
    <row r="2">
      <c r="A2" s="191"/>
      <c r="C2" s="192"/>
      <c r="D2" s="193"/>
      <c r="E2" s="193"/>
      <c r="F2" s="193"/>
      <c r="G2" s="193"/>
      <c r="H2" s="193"/>
      <c r="I2" s="193"/>
      <c r="J2" s="194"/>
      <c r="K2" s="187"/>
      <c r="L2" s="188"/>
      <c r="M2" s="187"/>
      <c r="N2" s="189"/>
      <c r="O2" s="187"/>
      <c r="P2" s="187"/>
      <c r="Q2" s="190"/>
    </row>
    <row r="3">
      <c r="A3" s="191"/>
      <c r="B3" s="195"/>
      <c r="C3" s="196" t="s">
        <v>1051</v>
      </c>
      <c r="D3" s="97"/>
      <c r="E3" s="97"/>
      <c r="F3" s="97"/>
      <c r="G3" s="97"/>
      <c r="H3" s="97"/>
      <c r="I3" s="97"/>
      <c r="J3" s="197"/>
      <c r="K3" s="187"/>
      <c r="L3" s="188"/>
      <c r="M3" s="187"/>
      <c r="N3" s="189"/>
      <c r="O3" s="187"/>
      <c r="P3" s="187"/>
      <c r="Q3" s="190"/>
    </row>
    <row r="4">
      <c r="A4" s="191"/>
      <c r="B4" s="198"/>
      <c r="C4" s="199" t="s">
        <v>1052</v>
      </c>
      <c r="D4" s="97"/>
      <c r="E4" s="97"/>
      <c r="F4" s="97"/>
      <c r="G4" s="97"/>
      <c r="H4" s="97"/>
      <c r="I4" s="97"/>
      <c r="J4" s="197"/>
      <c r="K4" s="187"/>
      <c r="L4" s="188"/>
      <c r="M4" s="200"/>
      <c r="N4" s="201"/>
      <c r="O4" s="200"/>
      <c r="P4" s="200"/>
      <c r="Q4" s="202"/>
    </row>
    <row r="5">
      <c r="A5" s="191"/>
      <c r="B5" s="198"/>
      <c r="C5" s="199" t="s">
        <v>1053</v>
      </c>
      <c r="D5" s="97"/>
      <c r="E5" s="97"/>
      <c r="F5" s="97"/>
      <c r="G5" s="97"/>
      <c r="H5" s="97"/>
      <c r="I5" s="97"/>
      <c r="J5" s="197"/>
      <c r="K5" s="187"/>
      <c r="L5" s="203"/>
      <c r="M5" s="200"/>
      <c r="N5" s="201"/>
      <c r="O5" s="200"/>
      <c r="P5" s="200"/>
      <c r="Q5" s="202"/>
    </row>
    <row r="6">
      <c r="A6" s="204"/>
      <c r="B6" s="198"/>
      <c r="C6" s="199" t="s">
        <v>1054</v>
      </c>
      <c r="D6" s="97"/>
      <c r="E6" s="97"/>
      <c r="F6" s="97"/>
      <c r="G6" s="97"/>
      <c r="H6" s="97"/>
      <c r="I6" s="97"/>
      <c r="J6" s="197"/>
      <c r="K6" s="187"/>
      <c r="L6" s="205" t="s">
        <v>1055</v>
      </c>
      <c r="M6" s="206"/>
      <c r="N6" s="206"/>
      <c r="O6" s="206"/>
      <c r="P6" s="207"/>
      <c r="Q6" s="208"/>
    </row>
    <row r="7">
      <c r="A7" s="209" t="s">
        <v>1056</v>
      </c>
      <c r="B7" s="210" t="s">
        <v>1057</v>
      </c>
      <c r="C7" s="210" t="s">
        <v>1058</v>
      </c>
      <c r="D7" s="211" t="s">
        <v>1059</v>
      </c>
      <c r="E7" s="210" t="s">
        <v>1060</v>
      </c>
      <c r="F7" s="212"/>
      <c r="G7" s="213" t="s">
        <v>1061</v>
      </c>
      <c r="H7" s="97"/>
      <c r="I7" s="97"/>
      <c r="J7" s="98"/>
      <c r="K7" s="210">
        <v>1.0</v>
      </c>
      <c r="L7" s="213" t="s">
        <v>1061</v>
      </c>
      <c r="M7" s="97"/>
      <c r="N7" s="97"/>
      <c r="O7" s="97"/>
      <c r="P7" s="98"/>
      <c r="Q7" s="214" t="s">
        <v>1062</v>
      </c>
    </row>
    <row r="8">
      <c r="A8" s="204"/>
      <c r="B8" s="215"/>
      <c r="C8" s="215"/>
      <c r="D8" s="215"/>
      <c r="E8" s="215"/>
      <c r="F8" s="210" t="s">
        <v>1063</v>
      </c>
      <c r="G8" s="216" t="s">
        <v>1064</v>
      </c>
      <c r="H8" s="216" t="s">
        <v>1065</v>
      </c>
      <c r="I8" s="210" t="s">
        <v>1066</v>
      </c>
      <c r="J8" s="217" t="s">
        <v>1067</v>
      </c>
      <c r="K8" s="215"/>
      <c r="L8" s="216" t="s">
        <v>1068</v>
      </c>
      <c r="M8" s="210" t="s">
        <v>1064</v>
      </c>
      <c r="N8" s="218" t="s">
        <v>1065</v>
      </c>
      <c r="O8" s="210" t="s">
        <v>1066</v>
      </c>
      <c r="P8" s="219" t="s">
        <v>1067</v>
      </c>
      <c r="Q8" s="214"/>
    </row>
    <row r="9">
      <c r="A9" s="220"/>
      <c r="B9" s="221"/>
      <c r="C9" s="222" t="s">
        <v>1069</v>
      </c>
      <c r="D9" s="223"/>
      <c r="E9" s="224"/>
      <c r="F9" s="224"/>
      <c r="G9" s="225"/>
      <c r="H9" s="226"/>
      <c r="I9" s="227"/>
      <c r="J9" s="228">
        <v>0.0</v>
      </c>
      <c r="K9" s="224"/>
      <c r="L9" s="226"/>
      <c r="M9" s="229"/>
      <c r="N9" s="230"/>
      <c r="O9" s="227"/>
      <c r="P9" s="231">
        <v>0.0</v>
      </c>
      <c r="Q9" s="231"/>
    </row>
    <row r="10">
      <c r="A10" s="232"/>
      <c r="B10" s="233"/>
      <c r="C10" s="234" t="s">
        <v>1070</v>
      </c>
      <c r="D10" s="235"/>
      <c r="E10" s="236"/>
      <c r="F10" s="237"/>
      <c r="G10" s="237"/>
      <c r="H10" s="237"/>
      <c r="I10" s="237"/>
      <c r="J10" s="238"/>
      <c r="K10" s="239"/>
      <c r="L10" s="240"/>
      <c r="M10" s="240"/>
      <c r="N10" s="240"/>
      <c r="O10" s="240"/>
      <c r="P10" s="240"/>
      <c r="Q10" s="241"/>
    </row>
    <row r="11">
      <c r="A11" s="242" t="s">
        <v>1071</v>
      </c>
      <c r="B11" s="243"/>
      <c r="C11" s="244" t="s">
        <v>1072</v>
      </c>
      <c r="D11" s="245">
        <v>4.2</v>
      </c>
      <c r="E11" s="242" t="s">
        <v>1073</v>
      </c>
      <c r="F11" s="246">
        <v>0.0</v>
      </c>
      <c r="G11" s="246">
        <v>0.0</v>
      </c>
      <c r="H11" s="246">
        <v>0.0</v>
      </c>
      <c r="I11" s="246">
        <v>0.0</v>
      </c>
      <c r="J11" s="247">
        <v>0.0</v>
      </c>
      <c r="K11" s="248"/>
      <c r="L11" s="249"/>
      <c r="M11" s="250"/>
      <c r="N11" s="251"/>
      <c r="O11" s="250">
        <v>0.0</v>
      </c>
      <c r="P11" s="252">
        <v>0.0</v>
      </c>
      <c r="Q11" s="253" t="s">
        <v>1074</v>
      </c>
    </row>
    <row r="12">
      <c r="A12" s="242" t="s">
        <v>1075</v>
      </c>
      <c r="B12" s="254" t="s">
        <v>124</v>
      </c>
      <c r="C12" s="244" t="s">
        <v>1076</v>
      </c>
      <c r="D12" s="245">
        <v>1.0</v>
      </c>
      <c r="E12" s="242" t="s">
        <v>1077</v>
      </c>
      <c r="F12" s="246">
        <v>0.0</v>
      </c>
      <c r="G12" s="246">
        <v>0.0</v>
      </c>
      <c r="H12" s="246">
        <v>0.0</v>
      </c>
      <c r="I12" s="246">
        <v>0.0</v>
      </c>
      <c r="J12" s="247">
        <v>0.0</v>
      </c>
      <c r="K12" s="248"/>
      <c r="L12" s="249"/>
      <c r="M12" s="250"/>
      <c r="N12" s="251"/>
      <c r="O12" s="250">
        <v>0.0</v>
      </c>
      <c r="P12" s="252">
        <v>0.0</v>
      </c>
      <c r="Q12" s="253" t="s">
        <v>1078</v>
      </c>
    </row>
    <row r="13">
      <c r="A13" s="242" t="s">
        <v>1079</v>
      </c>
      <c r="B13" s="255">
        <v>46083.0</v>
      </c>
      <c r="C13" s="244" t="s">
        <v>1080</v>
      </c>
      <c r="D13" s="245">
        <v>1.97</v>
      </c>
      <c r="E13" s="242" t="s">
        <v>1073</v>
      </c>
      <c r="F13" s="246">
        <v>0.0</v>
      </c>
      <c r="G13" s="246">
        <v>0.0</v>
      </c>
      <c r="H13" s="246">
        <v>0.0</v>
      </c>
      <c r="I13" s="246">
        <v>0.0</v>
      </c>
      <c r="J13" s="247">
        <v>0.0</v>
      </c>
      <c r="K13" s="248"/>
      <c r="L13" s="249"/>
      <c r="M13" s="250"/>
      <c r="N13" s="251"/>
      <c r="O13" s="250">
        <v>0.0</v>
      </c>
      <c r="P13" s="252">
        <v>0.0</v>
      </c>
      <c r="Q13" s="253" t="s">
        <v>1081</v>
      </c>
    </row>
    <row r="14">
      <c r="A14" s="256"/>
      <c r="B14" s="257"/>
      <c r="C14" s="258" t="s">
        <v>1082</v>
      </c>
      <c r="D14" s="235"/>
      <c r="E14" s="259"/>
      <c r="F14" s="260"/>
      <c r="G14" s="260"/>
      <c r="H14" s="260"/>
      <c r="I14" s="260"/>
      <c r="J14" s="260"/>
      <c r="K14" s="261"/>
      <c r="L14" s="262"/>
      <c r="M14" s="262"/>
      <c r="N14" s="262"/>
      <c r="O14" s="262"/>
      <c r="P14" s="262"/>
      <c r="Q14" s="263"/>
    </row>
    <row r="15">
      <c r="A15" s="242" t="s">
        <v>1083</v>
      </c>
      <c r="B15" s="264" t="s">
        <v>142</v>
      </c>
      <c r="C15" s="265" t="s">
        <v>1084</v>
      </c>
      <c r="D15" s="266">
        <v>1.56</v>
      </c>
      <c r="E15" s="267" t="s">
        <v>1073</v>
      </c>
      <c r="F15" s="246">
        <v>0.0</v>
      </c>
      <c r="G15" s="246">
        <v>0.0</v>
      </c>
      <c r="H15" s="246">
        <v>0.0</v>
      </c>
      <c r="I15" s="246">
        <v>0.0</v>
      </c>
      <c r="J15" s="247">
        <v>0.0</v>
      </c>
      <c r="K15" s="268"/>
      <c r="L15" s="269"/>
      <c r="M15" s="250"/>
      <c r="N15" s="251"/>
      <c r="O15" s="250">
        <v>0.0</v>
      </c>
      <c r="P15" s="252">
        <v>0.0</v>
      </c>
      <c r="Q15" s="253" t="s">
        <v>1085</v>
      </c>
    </row>
    <row r="16">
      <c r="A16" s="242" t="s">
        <v>1086</v>
      </c>
      <c r="B16" s="270" t="s">
        <v>142</v>
      </c>
      <c r="C16" s="265" t="s">
        <v>1087</v>
      </c>
      <c r="D16" s="266">
        <v>0.81</v>
      </c>
      <c r="E16" s="271" t="s">
        <v>1073</v>
      </c>
      <c r="F16" s="246">
        <v>0.0</v>
      </c>
      <c r="G16" s="246">
        <v>0.0</v>
      </c>
      <c r="H16" s="246">
        <v>0.0</v>
      </c>
      <c r="I16" s="246">
        <v>0.0</v>
      </c>
      <c r="J16" s="247">
        <v>0.0</v>
      </c>
      <c r="K16" s="268"/>
      <c r="L16" s="269"/>
      <c r="M16" s="250"/>
      <c r="N16" s="251"/>
      <c r="O16" s="250">
        <v>0.0</v>
      </c>
      <c r="P16" s="252">
        <v>0.0</v>
      </c>
      <c r="Q16" s="253" t="s">
        <v>1088</v>
      </c>
    </row>
    <row r="17">
      <c r="A17" s="242" t="s">
        <v>1089</v>
      </c>
      <c r="B17" s="270" t="s">
        <v>109</v>
      </c>
      <c r="C17" s="265" t="s">
        <v>1090</v>
      </c>
      <c r="D17" s="266">
        <v>9.64</v>
      </c>
      <c r="E17" s="267" t="s">
        <v>1073</v>
      </c>
      <c r="F17" s="246">
        <v>0.0</v>
      </c>
      <c r="G17" s="246">
        <v>0.0</v>
      </c>
      <c r="H17" s="246">
        <v>0.0</v>
      </c>
      <c r="I17" s="246">
        <v>0.0</v>
      </c>
      <c r="J17" s="247">
        <v>0.0</v>
      </c>
      <c r="K17" s="268"/>
      <c r="L17" s="269"/>
      <c r="M17" s="250"/>
      <c r="N17" s="251"/>
      <c r="O17" s="250">
        <v>0.0</v>
      </c>
      <c r="P17" s="252">
        <v>0.0</v>
      </c>
      <c r="Q17" s="253" t="s">
        <v>1091</v>
      </c>
    </row>
    <row r="18">
      <c r="A18" s="242" t="s">
        <v>1092</v>
      </c>
      <c r="B18" s="272">
        <v>46209.0</v>
      </c>
      <c r="C18" s="265" t="s">
        <v>1093</v>
      </c>
      <c r="D18" s="266">
        <v>5.4</v>
      </c>
      <c r="E18" s="267" t="s">
        <v>1073</v>
      </c>
      <c r="F18" s="246">
        <v>0.0</v>
      </c>
      <c r="G18" s="246">
        <v>0.0</v>
      </c>
      <c r="H18" s="246">
        <v>0.0</v>
      </c>
      <c r="I18" s="246">
        <v>0.0</v>
      </c>
      <c r="J18" s="247">
        <v>0.0</v>
      </c>
      <c r="K18" s="268"/>
      <c r="L18" s="269"/>
      <c r="M18" s="250"/>
      <c r="N18" s="251"/>
      <c r="O18" s="250">
        <v>0.0</v>
      </c>
      <c r="P18" s="252">
        <v>0.0</v>
      </c>
      <c r="Q18" s="253" t="s">
        <v>1094</v>
      </c>
    </row>
    <row r="19">
      <c r="A19" s="242" t="s">
        <v>1095</v>
      </c>
      <c r="B19" s="264" t="s">
        <v>111</v>
      </c>
      <c r="C19" s="265" t="s">
        <v>1096</v>
      </c>
      <c r="D19" s="266">
        <v>30.078</v>
      </c>
      <c r="E19" s="267" t="s">
        <v>1073</v>
      </c>
      <c r="F19" s="246">
        <v>0.0</v>
      </c>
      <c r="G19" s="246">
        <v>0.0</v>
      </c>
      <c r="H19" s="246">
        <v>0.0</v>
      </c>
      <c r="I19" s="246">
        <v>0.0</v>
      </c>
      <c r="J19" s="247">
        <v>0.0</v>
      </c>
      <c r="K19" s="268"/>
      <c r="L19" s="269"/>
      <c r="M19" s="250"/>
      <c r="N19" s="251"/>
      <c r="O19" s="250">
        <v>0.0</v>
      </c>
      <c r="P19" s="252">
        <v>0.0</v>
      </c>
      <c r="Q19" s="253" t="s">
        <v>1097</v>
      </c>
    </row>
    <row r="20">
      <c r="A20" s="242" t="s">
        <v>1098</v>
      </c>
      <c r="B20" s="272">
        <v>46361.0</v>
      </c>
      <c r="C20" s="265" t="s">
        <v>1099</v>
      </c>
      <c r="D20" s="266">
        <v>67.6</v>
      </c>
      <c r="E20" s="267" t="s">
        <v>1073</v>
      </c>
      <c r="F20" s="246">
        <v>0.0</v>
      </c>
      <c r="G20" s="246">
        <v>0.0</v>
      </c>
      <c r="H20" s="246">
        <v>0.0</v>
      </c>
      <c r="I20" s="246">
        <v>0.0</v>
      </c>
      <c r="J20" s="247">
        <v>0.0</v>
      </c>
      <c r="K20" s="268"/>
      <c r="L20" s="269"/>
      <c r="M20" s="250"/>
      <c r="N20" s="251"/>
      <c r="O20" s="250">
        <v>0.0</v>
      </c>
      <c r="P20" s="252">
        <v>0.0</v>
      </c>
      <c r="Q20" s="253" t="s">
        <v>1100</v>
      </c>
    </row>
    <row r="21">
      <c r="A21" s="242" t="s">
        <v>1101</v>
      </c>
      <c r="B21" s="273">
        <v>46024.0</v>
      </c>
      <c r="C21" s="265" t="s">
        <v>1102</v>
      </c>
      <c r="D21" s="266">
        <v>13.37</v>
      </c>
      <c r="E21" s="267" t="s">
        <v>1073</v>
      </c>
      <c r="F21" s="246">
        <v>0.0</v>
      </c>
      <c r="G21" s="246">
        <v>0.0</v>
      </c>
      <c r="H21" s="246">
        <v>0.0</v>
      </c>
      <c r="I21" s="246">
        <v>0.0</v>
      </c>
      <c r="J21" s="247">
        <v>0.0</v>
      </c>
      <c r="K21" s="268"/>
      <c r="L21" s="269"/>
      <c r="M21" s="250"/>
      <c r="N21" s="251"/>
      <c r="O21" s="250">
        <v>0.0</v>
      </c>
      <c r="P21" s="252">
        <v>0.0</v>
      </c>
      <c r="Q21" s="253" t="s">
        <v>1103</v>
      </c>
    </row>
    <row r="22">
      <c r="A22" s="256"/>
      <c r="B22" s="257"/>
      <c r="C22" s="258" t="s">
        <v>1104</v>
      </c>
      <c r="D22" s="235"/>
      <c r="E22" s="259"/>
      <c r="F22" s="260"/>
      <c r="G22" s="260"/>
      <c r="H22" s="260"/>
      <c r="I22" s="260"/>
      <c r="J22" s="260"/>
      <c r="K22" s="261"/>
      <c r="L22" s="262"/>
      <c r="M22" s="262"/>
      <c r="N22" s="262"/>
      <c r="O22" s="262"/>
      <c r="P22" s="262"/>
      <c r="Q22" s="263"/>
    </row>
    <row r="23">
      <c r="A23" s="242" t="s">
        <v>1105</v>
      </c>
      <c r="B23" s="264" t="s">
        <v>129</v>
      </c>
      <c r="C23" s="265" t="s">
        <v>1106</v>
      </c>
      <c r="D23" s="266">
        <v>9.0</v>
      </c>
      <c r="E23" s="267" t="s">
        <v>1107</v>
      </c>
      <c r="F23" s="246">
        <v>0.0</v>
      </c>
      <c r="G23" s="246">
        <v>0.0</v>
      </c>
      <c r="H23" s="246">
        <v>0.0</v>
      </c>
      <c r="I23" s="246">
        <v>0.0</v>
      </c>
      <c r="J23" s="247">
        <v>0.0</v>
      </c>
      <c r="K23" s="268"/>
      <c r="L23" s="269"/>
      <c r="M23" s="250"/>
      <c r="N23" s="251"/>
      <c r="O23" s="250">
        <v>0.0</v>
      </c>
      <c r="P23" s="252">
        <v>0.0</v>
      </c>
      <c r="Q23" s="253" t="s">
        <v>1108</v>
      </c>
    </row>
    <row r="24">
      <c r="A24" s="242" t="s">
        <v>1109</v>
      </c>
      <c r="B24" s="264" t="s">
        <v>104</v>
      </c>
      <c r="C24" s="265" t="s">
        <v>1110</v>
      </c>
      <c r="D24" s="266">
        <v>1.0</v>
      </c>
      <c r="E24" s="271" t="s">
        <v>1107</v>
      </c>
      <c r="F24" s="246">
        <v>0.0</v>
      </c>
      <c r="G24" s="246">
        <v>0.0</v>
      </c>
      <c r="H24" s="246">
        <v>0.0</v>
      </c>
      <c r="I24" s="246">
        <v>0.0</v>
      </c>
      <c r="J24" s="247">
        <v>0.0</v>
      </c>
      <c r="K24" s="268"/>
      <c r="L24" s="269"/>
      <c r="M24" s="250"/>
      <c r="N24" s="251"/>
      <c r="O24" s="250">
        <v>0.0</v>
      </c>
      <c r="P24" s="252">
        <v>0.0</v>
      </c>
      <c r="Q24" s="253" t="s">
        <v>1111</v>
      </c>
    </row>
    <row r="25">
      <c r="A25" s="242" t="s">
        <v>1112</v>
      </c>
      <c r="B25" s="270" t="s">
        <v>128</v>
      </c>
      <c r="C25" s="265" t="s">
        <v>1113</v>
      </c>
      <c r="D25" s="266">
        <v>1.0</v>
      </c>
      <c r="E25" s="267" t="s">
        <v>1107</v>
      </c>
      <c r="F25" s="246">
        <v>0.0</v>
      </c>
      <c r="G25" s="246">
        <v>0.0</v>
      </c>
      <c r="H25" s="246">
        <v>0.0</v>
      </c>
      <c r="I25" s="246">
        <v>0.0</v>
      </c>
      <c r="J25" s="247">
        <v>0.0</v>
      </c>
      <c r="K25" s="268"/>
      <c r="L25" s="269"/>
      <c r="M25" s="250"/>
      <c r="N25" s="251"/>
      <c r="O25" s="250">
        <v>0.0</v>
      </c>
      <c r="P25" s="252">
        <v>0.0</v>
      </c>
      <c r="Q25" s="253" t="s">
        <v>1114</v>
      </c>
    </row>
    <row r="26">
      <c r="A26" s="242" t="s">
        <v>1112</v>
      </c>
      <c r="B26" s="270" t="s">
        <v>110</v>
      </c>
      <c r="C26" s="265" t="s">
        <v>1115</v>
      </c>
      <c r="D26" s="266">
        <v>1.0</v>
      </c>
      <c r="E26" s="267" t="s">
        <v>1116</v>
      </c>
      <c r="F26" s="246">
        <v>0.0</v>
      </c>
      <c r="G26" s="246">
        <v>0.0</v>
      </c>
      <c r="H26" s="246">
        <v>0.0</v>
      </c>
      <c r="I26" s="246">
        <v>0.0</v>
      </c>
      <c r="J26" s="247">
        <v>0.0</v>
      </c>
      <c r="K26" s="268"/>
      <c r="L26" s="269"/>
      <c r="M26" s="250"/>
      <c r="N26" s="251"/>
      <c r="O26" s="250">
        <v>0.0</v>
      </c>
      <c r="P26" s="252">
        <v>0.0</v>
      </c>
      <c r="Q26" s="253" t="s">
        <v>1117</v>
      </c>
    </row>
    <row r="27">
      <c r="A27" s="256"/>
      <c r="B27" s="257"/>
      <c r="C27" s="258" t="s">
        <v>1118</v>
      </c>
      <c r="D27" s="235"/>
      <c r="E27" s="259"/>
      <c r="F27" s="260"/>
      <c r="G27" s="260"/>
      <c r="H27" s="260"/>
      <c r="I27" s="260"/>
      <c r="J27" s="260"/>
      <c r="K27" s="261"/>
      <c r="L27" s="262"/>
      <c r="M27" s="262"/>
      <c r="N27" s="262"/>
      <c r="O27" s="262"/>
      <c r="P27" s="262"/>
      <c r="Q27" s="263"/>
    </row>
    <row r="28">
      <c r="A28" s="242" t="s">
        <v>1119</v>
      </c>
      <c r="B28" s="270" t="s">
        <v>121</v>
      </c>
      <c r="C28" s="265" t="s">
        <v>1120</v>
      </c>
      <c r="D28" s="266">
        <v>61.27</v>
      </c>
      <c r="E28" s="267" t="s">
        <v>1073</v>
      </c>
      <c r="F28" s="246">
        <v>0.0</v>
      </c>
      <c r="G28" s="246">
        <v>0.0</v>
      </c>
      <c r="H28" s="246">
        <v>0.0</v>
      </c>
      <c r="I28" s="246">
        <v>0.0</v>
      </c>
      <c r="J28" s="247">
        <v>0.0</v>
      </c>
      <c r="K28" s="268"/>
      <c r="L28" s="269"/>
      <c r="M28" s="250"/>
      <c r="N28" s="251"/>
      <c r="O28" s="250">
        <v>0.0</v>
      </c>
      <c r="P28" s="252">
        <v>0.0</v>
      </c>
      <c r="Q28" s="253" t="s">
        <v>1121</v>
      </c>
    </row>
    <row r="29">
      <c r="A29" s="256"/>
      <c r="B29" s="257"/>
      <c r="C29" s="258" t="s">
        <v>1122</v>
      </c>
      <c r="D29" s="235"/>
      <c r="E29" s="259"/>
      <c r="F29" s="260"/>
      <c r="G29" s="260"/>
      <c r="H29" s="260"/>
      <c r="I29" s="260"/>
      <c r="J29" s="260"/>
      <c r="K29" s="261"/>
      <c r="L29" s="262"/>
      <c r="M29" s="262"/>
      <c r="N29" s="262"/>
      <c r="O29" s="262"/>
      <c r="P29" s="262"/>
      <c r="Q29" s="263"/>
    </row>
    <row r="30">
      <c r="A30" s="242" t="s">
        <v>1123</v>
      </c>
      <c r="B30" s="270" t="s">
        <v>112</v>
      </c>
      <c r="C30" s="265" t="s">
        <v>1124</v>
      </c>
      <c r="D30" s="266">
        <v>13.37</v>
      </c>
      <c r="E30" s="267" t="s">
        <v>1073</v>
      </c>
      <c r="F30" s="246">
        <v>0.0</v>
      </c>
      <c r="G30" s="246">
        <v>0.0</v>
      </c>
      <c r="H30" s="246">
        <v>0.0</v>
      </c>
      <c r="I30" s="246">
        <v>0.0</v>
      </c>
      <c r="J30" s="247">
        <v>0.0</v>
      </c>
      <c r="K30" s="268"/>
      <c r="L30" s="269"/>
      <c r="M30" s="250"/>
      <c r="N30" s="251"/>
      <c r="O30" s="250">
        <v>0.0</v>
      </c>
      <c r="P30" s="252">
        <v>0.0</v>
      </c>
      <c r="Q30" s="253" t="s">
        <v>1125</v>
      </c>
    </row>
    <row r="31">
      <c r="A31" s="256"/>
      <c r="B31" s="257"/>
      <c r="C31" s="258" t="s">
        <v>1126</v>
      </c>
      <c r="D31" s="235"/>
      <c r="E31" s="259"/>
      <c r="F31" s="260"/>
      <c r="G31" s="260"/>
      <c r="H31" s="260"/>
      <c r="I31" s="260"/>
      <c r="J31" s="260"/>
      <c r="K31" s="261"/>
      <c r="L31" s="262"/>
      <c r="M31" s="262"/>
      <c r="N31" s="262"/>
      <c r="O31" s="262"/>
      <c r="P31" s="262"/>
      <c r="Q31" s="263"/>
    </row>
    <row r="32">
      <c r="A32" s="242" t="s">
        <v>1127</v>
      </c>
      <c r="B32" s="264" t="s">
        <v>116</v>
      </c>
      <c r="C32" s="265" t="s">
        <v>1128</v>
      </c>
      <c r="D32" s="266">
        <v>13.37</v>
      </c>
      <c r="E32" s="267" t="s">
        <v>1073</v>
      </c>
      <c r="F32" s="246">
        <v>0.0</v>
      </c>
      <c r="G32" s="246">
        <v>0.0</v>
      </c>
      <c r="H32" s="246">
        <v>0.0</v>
      </c>
      <c r="I32" s="246">
        <v>0.0</v>
      </c>
      <c r="J32" s="247">
        <v>0.0</v>
      </c>
      <c r="K32" s="268"/>
      <c r="L32" s="269"/>
      <c r="M32" s="250"/>
      <c r="N32" s="251"/>
      <c r="O32" s="250">
        <v>0.0</v>
      </c>
      <c r="P32" s="252">
        <v>0.0</v>
      </c>
      <c r="Q32" s="253" t="s">
        <v>1129</v>
      </c>
    </row>
    <row r="33">
      <c r="A33" s="256"/>
      <c r="B33" s="257"/>
      <c r="C33" s="258" t="s">
        <v>1130</v>
      </c>
      <c r="D33" s="235"/>
      <c r="E33" s="259"/>
      <c r="F33" s="260"/>
      <c r="G33" s="260"/>
      <c r="H33" s="260"/>
      <c r="I33" s="260"/>
      <c r="J33" s="260"/>
      <c r="K33" s="261"/>
      <c r="L33" s="262"/>
      <c r="M33" s="262"/>
      <c r="N33" s="262"/>
      <c r="O33" s="262"/>
      <c r="P33" s="262"/>
      <c r="Q33" s="263"/>
    </row>
    <row r="34">
      <c r="A34" s="242" t="s">
        <v>1131</v>
      </c>
      <c r="B34" s="264" t="s">
        <v>134</v>
      </c>
      <c r="C34" s="265" t="s">
        <v>1132</v>
      </c>
      <c r="D34" s="266">
        <v>5.562</v>
      </c>
      <c r="E34" s="267" t="s">
        <v>1073</v>
      </c>
      <c r="F34" s="246">
        <v>0.0</v>
      </c>
      <c r="G34" s="246">
        <v>0.0</v>
      </c>
      <c r="H34" s="246">
        <v>0.0</v>
      </c>
      <c r="I34" s="246">
        <v>0.0</v>
      </c>
      <c r="J34" s="247">
        <v>0.0</v>
      </c>
      <c r="K34" s="268"/>
      <c r="L34" s="269"/>
      <c r="M34" s="250"/>
      <c r="N34" s="251"/>
      <c r="O34" s="250">
        <v>0.0</v>
      </c>
      <c r="P34" s="252">
        <v>0.0</v>
      </c>
      <c r="Q34" s="253" t="s">
        <v>1133</v>
      </c>
    </row>
    <row r="35">
      <c r="A35" s="220"/>
      <c r="B35" s="221"/>
      <c r="C35" s="222" t="s">
        <v>1134</v>
      </c>
      <c r="D35" s="223"/>
      <c r="E35" s="224"/>
      <c r="F35" s="224"/>
      <c r="G35" s="225"/>
      <c r="H35" s="226"/>
      <c r="I35" s="227"/>
      <c r="J35" s="228">
        <v>0.0</v>
      </c>
      <c r="K35" s="224"/>
      <c r="L35" s="226"/>
      <c r="M35" s="229"/>
      <c r="N35" s="230"/>
      <c r="O35" s="227"/>
      <c r="P35" s="231">
        <v>0.0</v>
      </c>
      <c r="Q35" s="231"/>
    </row>
    <row r="36">
      <c r="A36" s="232"/>
      <c r="B36" s="233"/>
      <c r="C36" s="234" t="s">
        <v>1070</v>
      </c>
      <c r="D36" s="235"/>
      <c r="E36" s="236"/>
      <c r="F36" s="237"/>
      <c r="G36" s="237"/>
      <c r="H36" s="237"/>
      <c r="I36" s="237"/>
      <c r="J36" s="238"/>
      <c r="K36" s="239"/>
      <c r="L36" s="240"/>
      <c r="M36" s="240"/>
      <c r="N36" s="240"/>
      <c r="O36" s="240"/>
      <c r="P36" s="240"/>
      <c r="Q36" s="241"/>
    </row>
    <row r="37">
      <c r="A37" s="242" t="s">
        <v>1135</v>
      </c>
      <c r="B37" s="255">
        <v>46083.0</v>
      </c>
      <c r="C37" s="244" t="s">
        <v>1136</v>
      </c>
      <c r="D37" s="245">
        <v>3.909</v>
      </c>
      <c r="E37" s="242" t="s">
        <v>1073</v>
      </c>
      <c r="F37" s="246">
        <v>0.0</v>
      </c>
      <c r="G37" s="246">
        <v>0.0</v>
      </c>
      <c r="H37" s="246">
        <v>0.0</v>
      </c>
      <c r="I37" s="246">
        <v>0.0</v>
      </c>
      <c r="J37" s="247">
        <v>0.0</v>
      </c>
      <c r="K37" s="248"/>
      <c r="L37" s="249"/>
      <c r="M37" s="250"/>
      <c r="N37" s="251"/>
      <c r="O37" s="250">
        <v>0.0</v>
      </c>
      <c r="P37" s="252">
        <v>0.0</v>
      </c>
      <c r="Q37" s="253" t="s">
        <v>1137</v>
      </c>
    </row>
    <row r="38">
      <c r="A38" s="242" t="s">
        <v>1138</v>
      </c>
      <c r="B38" s="254" t="s">
        <v>124</v>
      </c>
      <c r="C38" s="244" t="s">
        <v>1076</v>
      </c>
      <c r="D38" s="245">
        <v>1.0</v>
      </c>
      <c r="E38" s="242" t="s">
        <v>1077</v>
      </c>
      <c r="F38" s="246">
        <v>0.0</v>
      </c>
      <c r="G38" s="246">
        <v>0.0</v>
      </c>
      <c r="H38" s="246">
        <v>0.0</v>
      </c>
      <c r="I38" s="246">
        <v>0.0</v>
      </c>
      <c r="J38" s="247">
        <v>0.0</v>
      </c>
      <c r="K38" s="248"/>
      <c r="L38" s="249"/>
      <c r="M38" s="250"/>
      <c r="N38" s="251"/>
      <c r="O38" s="250">
        <v>0.0</v>
      </c>
      <c r="P38" s="252">
        <v>0.0</v>
      </c>
      <c r="Q38" s="253" t="s">
        <v>1139</v>
      </c>
    </row>
    <row r="39">
      <c r="A39" s="242" t="s">
        <v>1140</v>
      </c>
      <c r="B39" s="254" t="s">
        <v>143</v>
      </c>
      <c r="C39" s="244" t="s">
        <v>1141</v>
      </c>
      <c r="D39" s="245">
        <v>2.43</v>
      </c>
      <c r="E39" s="242" t="s">
        <v>1073</v>
      </c>
      <c r="F39" s="246">
        <v>0.0</v>
      </c>
      <c r="G39" s="246">
        <v>0.0</v>
      </c>
      <c r="H39" s="246">
        <v>0.0</v>
      </c>
      <c r="I39" s="246">
        <v>0.0</v>
      </c>
      <c r="J39" s="247">
        <v>0.0</v>
      </c>
      <c r="K39" s="248"/>
      <c r="L39" s="249"/>
      <c r="M39" s="250"/>
      <c r="N39" s="251"/>
      <c r="O39" s="250">
        <v>0.0</v>
      </c>
      <c r="P39" s="252">
        <v>0.0</v>
      </c>
      <c r="Q39" s="253" t="s">
        <v>1142</v>
      </c>
    </row>
    <row r="40">
      <c r="A40" s="256"/>
      <c r="B40" s="257"/>
      <c r="C40" s="258" t="s">
        <v>1082</v>
      </c>
      <c r="D40" s="235"/>
      <c r="E40" s="259"/>
      <c r="F40" s="260"/>
      <c r="G40" s="260"/>
      <c r="H40" s="260"/>
      <c r="I40" s="260"/>
      <c r="J40" s="260"/>
      <c r="K40" s="261"/>
      <c r="L40" s="262"/>
      <c r="M40" s="262"/>
      <c r="N40" s="262"/>
      <c r="O40" s="262"/>
      <c r="P40" s="262"/>
      <c r="Q40" s="263"/>
    </row>
    <row r="41">
      <c r="A41" s="242" t="s">
        <v>1143</v>
      </c>
      <c r="B41" s="270" t="s">
        <v>142</v>
      </c>
      <c r="C41" s="265" t="s">
        <v>1087</v>
      </c>
      <c r="D41" s="266">
        <v>1.1205</v>
      </c>
      <c r="E41" s="271" t="s">
        <v>1073</v>
      </c>
      <c r="F41" s="246">
        <v>0.0</v>
      </c>
      <c r="G41" s="246">
        <v>0.0</v>
      </c>
      <c r="H41" s="246">
        <v>0.0</v>
      </c>
      <c r="I41" s="246">
        <v>0.0</v>
      </c>
      <c r="J41" s="247">
        <v>0.0</v>
      </c>
      <c r="K41" s="268"/>
      <c r="L41" s="269"/>
      <c r="M41" s="250"/>
      <c r="N41" s="251"/>
      <c r="O41" s="250">
        <v>0.0</v>
      </c>
      <c r="P41" s="252">
        <v>0.0</v>
      </c>
      <c r="Q41" s="253" t="s">
        <v>1144</v>
      </c>
    </row>
    <row r="42">
      <c r="A42" s="242" t="s">
        <v>1145</v>
      </c>
      <c r="B42" s="270" t="s">
        <v>109</v>
      </c>
      <c r="C42" s="265" t="s">
        <v>1090</v>
      </c>
      <c r="D42" s="266">
        <v>5.589</v>
      </c>
      <c r="E42" s="267" t="s">
        <v>1073</v>
      </c>
      <c r="F42" s="246">
        <v>0.0</v>
      </c>
      <c r="G42" s="246">
        <v>0.0</v>
      </c>
      <c r="H42" s="246">
        <v>0.0</v>
      </c>
      <c r="I42" s="246">
        <v>0.0</v>
      </c>
      <c r="J42" s="247">
        <v>0.0</v>
      </c>
      <c r="K42" s="268"/>
      <c r="L42" s="269"/>
      <c r="M42" s="250"/>
      <c r="N42" s="251"/>
      <c r="O42" s="250">
        <v>0.0</v>
      </c>
      <c r="P42" s="252">
        <v>0.0</v>
      </c>
      <c r="Q42" s="253" t="s">
        <v>1146</v>
      </c>
    </row>
    <row r="43">
      <c r="A43" s="242" t="s">
        <v>1147</v>
      </c>
      <c r="B43" s="272">
        <v>46209.0</v>
      </c>
      <c r="C43" s="265" t="s">
        <v>1093</v>
      </c>
      <c r="D43" s="266">
        <v>3.95</v>
      </c>
      <c r="E43" s="267" t="s">
        <v>1073</v>
      </c>
      <c r="F43" s="246">
        <v>0.0</v>
      </c>
      <c r="G43" s="246">
        <v>0.0</v>
      </c>
      <c r="H43" s="246">
        <v>0.0</v>
      </c>
      <c r="I43" s="246">
        <v>0.0</v>
      </c>
      <c r="J43" s="247">
        <v>0.0</v>
      </c>
      <c r="K43" s="268"/>
      <c r="L43" s="269"/>
      <c r="M43" s="250"/>
      <c r="N43" s="251"/>
      <c r="O43" s="250">
        <v>0.0</v>
      </c>
      <c r="P43" s="252">
        <v>0.0</v>
      </c>
      <c r="Q43" s="253" t="s">
        <v>1148</v>
      </c>
    </row>
    <row r="44">
      <c r="A44" s="242" t="s">
        <v>1149</v>
      </c>
      <c r="B44" s="264" t="s">
        <v>111</v>
      </c>
      <c r="C44" s="265" t="s">
        <v>1096</v>
      </c>
      <c r="D44" s="266">
        <v>19.08</v>
      </c>
      <c r="E44" s="267" t="s">
        <v>1073</v>
      </c>
      <c r="F44" s="246">
        <v>0.0</v>
      </c>
      <c r="G44" s="246">
        <v>0.0</v>
      </c>
      <c r="H44" s="246">
        <v>0.0</v>
      </c>
      <c r="I44" s="246">
        <v>0.0</v>
      </c>
      <c r="J44" s="247">
        <v>0.0</v>
      </c>
      <c r="K44" s="268"/>
      <c r="L44" s="269"/>
      <c r="M44" s="250"/>
      <c r="N44" s="251"/>
      <c r="O44" s="250">
        <v>0.0</v>
      </c>
      <c r="P44" s="252">
        <v>0.0</v>
      </c>
      <c r="Q44" s="253" t="s">
        <v>1150</v>
      </c>
    </row>
    <row r="45">
      <c r="A45" s="242" t="s">
        <v>1151</v>
      </c>
      <c r="B45" s="272">
        <v>46361.0</v>
      </c>
      <c r="C45" s="265" t="s">
        <v>1099</v>
      </c>
      <c r="D45" s="266">
        <v>12.474</v>
      </c>
      <c r="E45" s="267" t="s">
        <v>1073</v>
      </c>
      <c r="F45" s="246">
        <v>0.0</v>
      </c>
      <c r="G45" s="246">
        <v>0.0</v>
      </c>
      <c r="H45" s="246">
        <v>0.0</v>
      </c>
      <c r="I45" s="246">
        <v>0.0</v>
      </c>
      <c r="J45" s="247">
        <v>0.0</v>
      </c>
      <c r="K45" s="268"/>
      <c r="L45" s="269"/>
      <c r="M45" s="250"/>
      <c r="N45" s="251"/>
      <c r="O45" s="250">
        <v>0.0</v>
      </c>
      <c r="P45" s="252">
        <v>0.0</v>
      </c>
      <c r="Q45" s="253" t="s">
        <v>1152</v>
      </c>
    </row>
    <row r="46">
      <c r="A46" s="242" t="s">
        <v>1153</v>
      </c>
      <c r="B46" s="274"/>
      <c r="C46" s="265" t="s">
        <v>1154</v>
      </c>
      <c r="D46" s="266">
        <v>2.76</v>
      </c>
      <c r="E46" s="267" t="s">
        <v>1073</v>
      </c>
      <c r="F46" s="246">
        <v>0.0</v>
      </c>
      <c r="G46" s="246">
        <v>0.0</v>
      </c>
      <c r="H46" s="246">
        <v>0.0</v>
      </c>
      <c r="I46" s="246">
        <v>0.0</v>
      </c>
      <c r="J46" s="247">
        <v>0.0</v>
      </c>
      <c r="K46" s="268"/>
      <c r="L46" s="269"/>
      <c r="M46" s="250"/>
      <c r="N46" s="251"/>
      <c r="O46" s="250">
        <v>0.0</v>
      </c>
      <c r="P46" s="252">
        <v>0.0</v>
      </c>
      <c r="Q46" s="253" t="s">
        <v>1155</v>
      </c>
    </row>
    <row r="47">
      <c r="A47" s="242" t="s">
        <v>1153</v>
      </c>
      <c r="B47" s="264" t="s">
        <v>142</v>
      </c>
      <c r="C47" s="265" t="s">
        <v>1156</v>
      </c>
      <c r="D47" s="266">
        <v>4.97</v>
      </c>
      <c r="E47" s="267" t="s">
        <v>1073</v>
      </c>
      <c r="F47" s="246">
        <v>0.0</v>
      </c>
      <c r="G47" s="246">
        <v>0.0</v>
      </c>
      <c r="H47" s="246">
        <v>0.0</v>
      </c>
      <c r="I47" s="246">
        <v>0.0</v>
      </c>
      <c r="J47" s="247">
        <v>0.0</v>
      </c>
      <c r="K47" s="268"/>
      <c r="L47" s="269"/>
      <c r="M47" s="250"/>
      <c r="N47" s="251"/>
      <c r="O47" s="250">
        <v>0.0</v>
      </c>
      <c r="P47" s="252">
        <v>0.0</v>
      </c>
      <c r="Q47" s="253" t="s">
        <v>1157</v>
      </c>
    </row>
    <row r="48">
      <c r="A48" s="242" t="s">
        <v>1158</v>
      </c>
      <c r="B48" s="273">
        <v>46024.0</v>
      </c>
      <c r="C48" s="265" t="s">
        <v>1102</v>
      </c>
      <c r="D48" s="266">
        <v>4.97</v>
      </c>
      <c r="E48" s="267" t="s">
        <v>1073</v>
      </c>
      <c r="F48" s="246">
        <v>0.0</v>
      </c>
      <c r="G48" s="246">
        <v>0.0</v>
      </c>
      <c r="H48" s="246">
        <v>0.0</v>
      </c>
      <c r="I48" s="246">
        <v>0.0</v>
      </c>
      <c r="J48" s="247">
        <v>0.0</v>
      </c>
      <c r="K48" s="268"/>
      <c r="L48" s="269"/>
      <c r="M48" s="250"/>
      <c r="N48" s="251"/>
      <c r="O48" s="250">
        <v>0.0</v>
      </c>
      <c r="P48" s="252">
        <v>0.0</v>
      </c>
      <c r="Q48" s="253" t="s">
        <v>1159</v>
      </c>
    </row>
    <row r="49">
      <c r="A49" s="256"/>
      <c r="B49" s="257"/>
      <c r="C49" s="258" t="s">
        <v>1160</v>
      </c>
      <c r="D49" s="235"/>
      <c r="E49" s="259"/>
      <c r="F49" s="260"/>
      <c r="G49" s="260"/>
      <c r="H49" s="260"/>
      <c r="I49" s="260"/>
      <c r="J49" s="260"/>
      <c r="K49" s="261"/>
      <c r="L49" s="262"/>
      <c r="M49" s="262"/>
      <c r="N49" s="262"/>
      <c r="O49" s="262"/>
      <c r="P49" s="262"/>
      <c r="Q49" s="263"/>
    </row>
    <row r="50">
      <c r="A50" s="242" t="s">
        <v>1161</v>
      </c>
      <c r="B50" s="264" t="s">
        <v>129</v>
      </c>
      <c r="C50" s="265" t="s">
        <v>1106</v>
      </c>
      <c r="D50" s="266">
        <v>4.0</v>
      </c>
      <c r="E50" s="267" t="s">
        <v>1107</v>
      </c>
      <c r="F50" s="246">
        <v>0.0</v>
      </c>
      <c r="G50" s="246">
        <v>0.0</v>
      </c>
      <c r="H50" s="246">
        <v>0.0</v>
      </c>
      <c r="I50" s="246">
        <v>0.0</v>
      </c>
      <c r="J50" s="247">
        <v>0.0</v>
      </c>
      <c r="K50" s="268"/>
      <c r="L50" s="269"/>
      <c r="M50" s="250"/>
      <c r="N50" s="251"/>
      <c r="O50" s="250">
        <v>0.0</v>
      </c>
      <c r="P50" s="252">
        <v>0.0</v>
      </c>
      <c r="Q50" s="253" t="s">
        <v>1162</v>
      </c>
    </row>
    <row r="51">
      <c r="A51" s="242" t="s">
        <v>1163</v>
      </c>
      <c r="B51" s="264" t="s">
        <v>104</v>
      </c>
      <c r="C51" s="265" t="s">
        <v>1110</v>
      </c>
      <c r="D51" s="266">
        <v>2.0</v>
      </c>
      <c r="E51" s="271" t="s">
        <v>1107</v>
      </c>
      <c r="F51" s="246">
        <v>0.0</v>
      </c>
      <c r="G51" s="246">
        <v>0.0</v>
      </c>
      <c r="H51" s="246">
        <v>0.0</v>
      </c>
      <c r="I51" s="246">
        <v>0.0</v>
      </c>
      <c r="J51" s="247">
        <v>0.0</v>
      </c>
      <c r="K51" s="268"/>
      <c r="L51" s="269"/>
      <c r="M51" s="250"/>
      <c r="N51" s="251"/>
      <c r="O51" s="250">
        <v>0.0</v>
      </c>
      <c r="P51" s="252">
        <v>0.0</v>
      </c>
      <c r="Q51" s="253" t="s">
        <v>1164</v>
      </c>
    </row>
    <row r="52">
      <c r="A52" s="242" t="s">
        <v>1165</v>
      </c>
      <c r="B52" s="270" t="s">
        <v>129</v>
      </c>
      <c r="C52" s="265" t="s">
        <v>1166</v>
      </c>
      <c r="D52" s="266">
        <v>2.0</v>
      </c>
      <c r="E52" s="267" t="s">
        <v>1107</v>
      </c>
      <c r="F52" s="246">
        <v>0.0</v>
      </c>
      <c r="G52" s="246">
        <v>0.0</v>
      </c>
      <c r="H52" s="246">
        <v>0.0</v>
      </c>
      <c r="I52" s="246">
        <v>0.0</v>
      </c>
      <c r="J52" s="247">
        <v>0.0</v>
      </c>
      <c r="K52" s="268"/>
      <c r="L52" s="269"/>
      <c r="M52" s="250"/>
      <c r="N52" s="251"/>
      <c r="O52" s="250">
        <v>0.0</v>
      </c>
      <c r="P52" s="252">
        <v>0.0</v>
      </c>
      <c r="Q52" s="253" t="s">
        <v>1167</v>
      </c>
    </row>
    <row r="53">
      <c r="A53" s="256"/>
      <c r="B53" s="257"/>
      <c r="C53" s="258" t="s">
        <v>1168</v>
      </c>
      <c r="D53" s="235"/>
      <c r="E53" s="259"/>
      <c r="F53" s="260"/>
      <c r="G53" s="260"/>
      <c r="H53" s="260"/>
      <c r="I53" s="260"/>
      <c r="J53" s="260"/>
      <c r="K53" s="261"/>
      <c r="L53" s="262"/>
      <c r="M53" s="262"/>
      <c r="N53" s="262"/>
      <c r="O53" s="262"/>
      <c r="P53" s="262"/>
      <c r="Q53" s="263"/>
    </row>
    <row r="54">
      <c r="A54" s="242" t="s">
        <v>1169</v>
      </c>
      <c r="B54" s="264" t="s">
        <v>130</v>
      </c>
      <c r="C54" s="265" t="s">
        <v>1170</v>
      </c>
      <c r="D54" s="266">
        <v>2.0</v>
      </c>
      <c r="E54" s="267" t="s">
        <v>1107</v>
      </c>
      <c r="F54" s="246">
        <v>0.0</v>
      </c>
      <c r="G54" s="246">
        <v>0.0</v>
      </c>
      <c r="H54" s="246">
        <v>0.0</v>
      </c>
      <c r="I54" s="246">
        <v>0.0</v>
      </c>
      <c r="J54" s="247">
        <v>0.0</v>
      </c>
      <c r="K54" s="268"/>
      <c r="L54" s="269"/>
      <c r="M54" s="250"/>
      <c r="N54" s="251"/>
      <c r="O54" s="250">
        <v>0.0</v>
      </c>
      <c r="P54" s="252">
        <v>0.0</v>
      </c>
      <c r="Q54" s="253" t="s">
        <v>1171</v>
      </c>
    </row>
    <row r="55">
      <c r="A55" s="242" t="s">
        <v>1172</v>
      </c>
      <c r="B55" s="274"/>
      <c r="C55" s="265" t="s">
        <v>1173</v>
      </c>
      <c r="D55" s="266">
        <v>4.0</v>
      </c>
      <c r="E55" s="271" t="s">
        <v>1107</v>
      </c>
      <c r="F55" s="246">
        <v>0.0</v>
      </c>
      <c r="G55" s="246">
        <v>0.0</v>
      </c>
      <c r="H55" s="246">
        <v>0.0</v>
      </c>
      <c r="I55" s="246">
        <v>0.0</v>
      </c>
      <c r="J55" s="247">
        <v>0.0</v>
      </c>
      <c r="K55" s="268"/>
      <c r="L55" s="269"/>
      <c r="M55" s="250"/>
      <c r="N55" s="251"/>
      <c r="O55" s="250">
        <v>0.0</v>
      </c>
      <c r="P55" s="252">
        <v>0.0</v>
      </c>
      <c r="Q55" s="253" t="s">
        <v>1174</v>
      </c>
    </row>
    <row r="56">
      <c r="A56" s="242" t="s">
        <v>1175</v>
      </c>
      <c r="B56" s="274"/>
      <c r="C56" s="265" t="s">
        <v>1176</v>
      </c>
      <c r="D56" s="266">
        <v>2.0</v>
      </c>
      <c r="E56" s="267" t="s">
        <v>1107</v>
      </c>
      <c r="F56" s="246">
        <v>0.0</v>
      </c>
      <c r="G56" s="246">
        <v>0.0</v>
      </c>
      <c r="H56" s="246">
        <v>0.0</v>
      </c>
      <c r="I56" s="246">
        <v>0.0</v>
      </c>
      <c r="J56" s="247">
        <v>0.0</v>
      </c>
      <c r="K56" s="268"/>
      <c r="L56" s="269"/>
      <c r="M56" s="250"/>
      <c r="N56" s="251"/>
      <c r="O56" s="250">
        <v>0.0</v>
      </c>
      <c r="P56" s="252">
        <v>0.0</v>
      </c>
      <c r="Q56" s="253" t="s">
        <v>1177</v>
      </c>
    </row>
    <row r="57">
      <c r="A57" s="256"/>
      <c r="B57" s="257"/>
      <c r="C57" s="258" t="s">
        <v>1122</v>
      </c>
      <c r="D57" s="235"/>
      <c r="E57" s="259"/>
      <c r="F57" s="260"/>
      <c r="G57" s="260"/>
      <c r="H57" s="260"/>
      <c r="I57" s="260"/>
      <c r="J57" s="260"/>
      <c r="K57" s="261"/>
      <c r="L57" s="262"/>
      <c r="M57" s="262"/>
      <c r="N57" s="262"/>
      <c r="O57" s="262"/>
      <c r="P57" s="262"/>
      <c r="Q57" s="263"/>
    </row>
    <row r="58">
      <c r="A58" s="242" t="s">
        <v>1178</v>
      </c>
      <c r="B58" s="270" t="s">
        <v>112</v>
      </c>
      <c r="C58" s="265" t="s">
        <v>1124</v>
      </c>
      <c r="D58" s="266">
        <v>4.97</v>
      </c>
      <c r="E58" s="267" t="s">
        <v>1073</v>
      </c>
      <c r="F58" s="246">
        <v>0.0</v>
      </c>
      <c r="G58" s="246">
        <v>0.0</v>
      </c>
      <c r="H58" s="246">
        <v>0.0</v>
      </c>
      <c r="I58" s="246">
        <v>0.0</v>
      </c>
      <c r="J58" s="247">
        <v>0.0</v>
      </c>
      <c r="K58" s="268"/>
      <c r="L58" s="269"/>
      <c r="M58" s="250"/>
      <c r="N58" s="251"/>
      <c r="O58" s="250">
        <v>0.0</v>
      </c>
      <c r="P58" s="252">
        <v>0.0</v>
      </c>
      <c r="Q58" s="253" t="s">
        <v>1179</v>
      </c>
    </row>
    <row r="59">
      <c r="A59" s="256"/>
      <c r="B59" s="257"/>
      <c r="C59" s="258" t="s">
        <v>1126</v>
      </c>
      <c r="D59" s="235"/>
      <c r="E59" s="259"/>
      <c r="F59" s="260"/>
      <c r="G59" s="260"/>
      <c r="H59" s="260"/>
      <c r="I59" s="260"/>
      <c r="J59" s="260"/>
      <c r="K59" s="261"/>
      <c r="L59" s="262"/>
      <c r="M59" s="262"/>
      <c r="N59" s="262"/>
      <c r="O59" s="262"/>
      <c r="P59" s="262"/>
      <c r="Q59" s="263"/>
    </row>
    <row r="60">
      <c r="A60" s="242" t="s">
        <v>1180</v>
      </c>
      <c r="B60" s="264" t="s">
        <v>116</v>
      </c>
      <c r="C60" s="265" t="s">
        <v>1128</v>
      </c>
      <c r="D60" s="266">
        <v>4.97</v>
      </c>
      <c r="E60" s="267" t="s">
        <v>1073</v>
      </c>
      <c r="F60" s="246">
        <v>0.0</v>
      </c>
      <c r="G60" s="246">
        <v>0.0</v>
      </c>
      <c r="H60" s="246">
        <v>0.0</v>
      </c>
      <c r="I60" s="246">
        <v>0.0</v>
      </c>
      <c r="J60" s="247">
        <v>0.0</v>
      </c>
      <c r="K60" s="268"/>
      <c r="L60" s="269"/>
      <c r="M60" s="250"/>
      <c r="N60" s="251"/>
      <c r="O60" s="250">
        <v>0.0</v>
      </c>
      <c r="P60" s="252">
        <v>0.0</v>
      </c>
      <c r="Q60" s="253" t="s">
        <v>1181</v>
      </c>
    </row>
    <row r="61">
      <c r="A61" s="242" t="s">
        <v>1182</v>
      </c>
      <c r="B61" s="270" t="s">
        <v>142</v>
      </c>
      <c r="C61" s="265" t="s">
        <v>1183</v>
      </c>
      <c r="D61" s="266">
        <v>32.38</v>
      </c>
      <c r="E61" s="267" t="s">
        <v>1073</v>
      </c>
      <c r="F61" s="246">
        <v>0.0</v>
      </c>
      <c r="G61" s="246">
        <v>0.0</v>
      </c>
      <c r="H61" s="246">
        <v>0.0</v>
      </c>
      <c r="I61" s="246">
        <v>0.0</v>
      </c>
      <c r="J61" s="247">
        <v>0.0</v>
      </c>
      <c r="K61" s="268"/>
      <c r="L61" s="269"/>
      <c r="M61" s="250"/>
      <c r="N61" s="251"/>
      <c r="O61" s="250">
        <v>0.0</v>
      </c>
      <c r="P61" s="252">
        <v>0.0</v>
      </c>
      <c r="Q61" s="253" t="s">
        <v>1184</v>
      </c>
    </row>
    <row r="62">
      <c r="A62" s="256"/>
      <c r="B62" s="257"/>
      <c r="C62" s="258" t="s">
        <v>1185</v>
      </c>
      <c r="D62" s="235"/>
      <c r="E62" s="259"/>
      <c r="F62" s="260"/>
      <c r="G62" s="260"/>
      <c r="H62" s="260"/>
      <c r="I62" s="260"/>
      <c r="J62" s="260"/>
      <c r="K62" s="261"/>
      <c r="L62" s="262"/>
      <c r="M62" s="262"/>
      <c r="N62" s="262"/>
      <c r="O62" s="262"/>
      <c r="P62" s="262"/>
      <c r="Q62" s="263"/>
    </row>
    <row r="63">
      <c r="A63" s="242" t="s">
        <v>1161</v>
      </c>
      <c r="B63" s="270" t="s">
        <v>143</v>
      </c>
      <c r="C63" s="265" t="s">
        <v>1186</v>
      </c>
      <c r="D63" s="266">
        <v>2.0</v>
      </c>
      <c r="E63" s="267" t="s">
        <v>1107</v>
      </c>
      <c r="F63" s="246">
        <v>0.0</v>
      </c>
      <c r="G63" s="246">
        <v>0.0</v>
      </c>
      <c r="H63" s="246">
        <v>0.0</v>
      </c>
      <c r="I63" s="246">
        <v>0.0</v>
      </c>
      <c r="J63" s="247">
        <v>0.0</v>
      </c>
      <c r="K63" s="268"/>
      <c r="L63" s="269"/>
      <c r="M63" s="250"/>
      <c r="N63" s="251"/>
      <c r="O63" s="250">
        <v>0.0</v>
      </c>
      <c r="P63" s="252">
        <v>0.0</v>
      </c>
      <c r="Q63" s="253" t="s">
        <v>1187</v>
      </c>
    </row>
    <row r="64">
      <c r="A64" s="256"/>
      <c r="B64" s="257"/>
      <c r="C64" s="258" t="s">
        <v>1188</v>
      </c>
      <c r="D64" s="235"/>
      <c r="E64" s="259"/>
      <c r="F64" s="260"/>
      <c r="G64" s="260"/>
      <c r="H64" s="260"/>
      <c r="I64" s="260"/>
      <c r="J64" s="260"/>
      <c r="K64" s="261"/>
      <c r="L64" s="262"/>
      <c r="M64" s="262"/>
      <c r="N64" s="262"/>
      <c r="O64" s="262"/>
      <c r="P64" s="262"/>
      <c r="Q64" s="263"/>
    </row>
    <row r="65">
      <c r="A65" s="242" t="s">
        <v>1189</v>
      </c>
      <c r="B65" s="270" t="s">
        <v>133</v>
      </c>
      <c r="C65" s="265" t="s">
        <v>1190</v>
      </c>
      <c r="D65" s="266">
        <v>1.0</v>
      </c>
      <c r="E65" s="267" t="s">
        <v>1116</v>
      </c>
      <c r="F65" s="246">
        <v>0.0</v>
      </c>
      <c r="G65" s="246">
        <v>0.0</v>
      </c>
      <c r="H65" s="246">
        <v>0.0</v>
      </c>
      <c r="I65" s="246">
        <v>0.0</v>
      </c>
      <c r="J65" s="247">
        <v>0.0</v>
      </c>
      <c r="K65" s="268"/>
      <c r="L65" s="269"/>
      <c r="M65" s="250"/>
      <c r="N65" s="251"/>
      <c r="O65" s="250">
        <v>0.0</v>
      </c>
      <c r="P65" s="252">
        <v>0.0</v>
      </c>
      <c r="Q65" s="253" t="s">
        <v>1191</v>
      </c>
    </row>
    <row r="66">
      <c r="A66" s="220"/>
      <c r="B66" s="221"/>
      <c r="C66" s="222" t="s">
        <v>1192</v>
      </c>
      <c r="D66" s="223"/>
      <c r="E66" s="224"/>
      <c r="F66" s="224"/>
      <c r="G66" s="225"/>
      <c r="H66" s="226"/>
      <c r="I66" s="227"/>
      <c r="J66" s="228">
        <v>0.0</v>
      </c>
      <c r="K66" s="224"/>
      <c r="L66" s="226"/>
      <c r="M66" s="229"/>
      <c r="N66" s="230"/>
      <c r="O66" s="227"/>
      <c r="P66" s="231">
        <v>0.0</v>
      </c>
      <c r="Q66" s="231"/>
    </row>
    <row r="67">
      <c r="A67" s="232"/>
      <c r="B67" s="233"/>
      <c r="C67" s="234" t="s">
        <v>1082</v>
      </c>
      <c r="D67" s="235"/>
      <c r="E67" s="236"/>
      <c r="F67" s="237"/>
      <c r="G67" s="237"/>
      <c r="H67" s="237"/>
      <c r="I67" s="237"/>
      <c r="J67" s="238"/>
      <c r="K67" s="239"/>
      <c r="L67" s="240"/>
      <c r="M67" s="240"/>
      <c r="N67" s="240"/>
      <c r="O67" s="240"/>
      <c r="P67" s="240"/>
      <c r="Q67" s="241"/>
    </row>
    <row r="68">
      <c r="A68" s="242" t="s">
        <v>1193</v>
      </c>
      <c r="B68" s="255">
        <v>46055.0</v>
      </c>
      <c r="C68" s="244" t="s">
        <v>1194</v>
      </c>
      <c r="D68" s="245">
        <v>1.52</v>
      </c>
      <c r="E68" s="242" t="s">
        <v>1073</v>
      </c>
      <c r="F68" s="246">
        <v>0.0</v>
      </c>
      <c r="G68" s="246">
        <v>0.0</v>
      </c>
      <c r="H68" s="246">
        <v>0.0</v>
      </c>
      <c r="I68" s="246">
        <v>0.0</v>
      </c>
      <c r="J68" s="247">
        <v>0.0</v>
      </c>
      <c r="K68" s="248"/>
      <c r="L68" s="249"/>
      <c r="M68" s="250"/>
      <c r="N68" s="251"/>
      <c r="O68" s="250">
        <v>0.0</v>
      </c>
      <c r="P68" s="252">
        <v>0.0</v>
      </c>
      <c r="Q68" s="253" t="s">
        <v>1195</v>
      </c>
    </row>
    <row r="69">
      <c r="A69" s="242" t="s">
        <v>1196</v>
      </c>
      <c r="B69" s="270" t="s">
        <v>109</v>
      </c>
      <c r="C69" s="265" t="s">
        <v>1090</v>
      </c>
      <c r="D69" s="245">
        <v>3.996</v>
      </c>
      <c r="E69" s="242" t="s">
        <v>1073</v>
      </c>
      <c r="F69" s="246">
        <v>0.0</v>
      </c>
      <c r="G69" s="246">
        <v>0.0</v>
      </c>
      <c r="H69" s="246">
        <v>0.0</v>
      </c>
      <c r="I69" s="246">
        <v>0.0</v>
      </c>
      <c r="J69" s="247">
        <v>0.0</v>
      </c>
      <c r="K69" s="248"/>
      <c r="L69" s="249"/>
      <c r="M69" s="250"/>
      <c r="N69" s="251"/>
      <c r="O69" s="250">
        <v>0.0</v>
      </c>
      <c r="P69" s="252">
        <v>0.0</v>
      </c>
      <c r="Q69" s="253" t="s">
        <v>1197</v>
      </c>
    </row>
    <row r="70">
      <c r="A70" s="242" t="s">
        <v>1198</v>
      </c>
      <c r="B70" s="264" t="s">
        <v>111</v>
      </c>
      <c r="C70" s="265" t="s">
        <v>1096</v>
      </c>
      <c r="D70" s="245">
        <v>8.0</v>
      </c>
      <c r="E70" s="242" t="s">
        <v>1073</v>
      </c>
      <c r="F70" s="246">
        <v>0.0</v>
      </c>
      <c r="G70" s="246">
        <v>0.0</v>
      </c>
      <c r="H70" s="246">
        <v>0.0</v>
      </c>
      <c r="I70" s="246">
        <v>0.0</v>
      </c>
      <c r="J70" s="247">
        <v>0.0</v>
      </c>
      <c r="K70" s="248"/>
      <c r="L70" s="249"/>
      <c r="M70" s="250"/>
      <c r="N70" s="251"/>
      <c r="O70" s="250">
        <v>0.0</v>
      </c>
      <c r="P70" s="252">
        <v>0.0</v>
      </c>
      <c r="Q70" s="253" t="s">
        <v>1199</v>
      </c>
    </row>
    <row r="71">
      <c r="A71" s="232"/>
      <c r="B71" s="233"/>
      <c r="C71" s="234" t="s">
        <v>1200</v>
      </c>
      <c r="D71" s="235"/>
      <c r="E71" s="236"/>
      <c r="F71" s="237"/>
      <c r="G71" s="237"/>
      <c r="H71" s="237"/>
      <c r="I71" s="237"/>
      <c r="J71" s="238"/>
      <c r="K71" s="239"/>
      <c r="L71" s="240"/>
      <c r="M71" s="240"/>
      <c r="N71" s="240"/>
      <c r="O71" s="240"/>
      <c r="P71" s="240"/>
      <c r="Q71" s="241"/>
    </row>
    <row r="72">
      <c r="A72" s="242" t="s">
        <v>1201</v>
      </c>
      <c r="B72" s="254" t="s">
        <v>139</v>
      </c>
      <c r="C72" s="244" t="s">
        <v>1202</v>
      </c>
      <c r="D72" s="245">
        <v>1.0</v>
      </c>
      <c r="E72" s="242" t="s">
        <v>1116</v>
      </c>
      <c r="F72" s="246">
        <v>0.0</v>
      </c>
      <c r="G72" s="246">
        <v>0.0</v>
      </c>
      <c r="H72" s="246">
        <v>0.0</v>
      </c>
      <c r="I72" s="246">
        <v>0.0</v>
      </c>
      <c r="J72" s="247">
        <v>0.0</v>
      </c>
      <c r="K72" s="248"/>
      <c r="L72" s="249"/>
      <c r="M72" s="250"/>
      <c r="N72" s="251"/>
      <c r="O72" s="250">
        <v>0.0</v>
      </c>
      <c r="P72" s="252">
        <v>0.0</v>
      </c>
      <c r="Q72" s="253" t="s">
        <v>1203</v>
      </c>
    </row>
    <row r="73">
      <c r="A73" s="232"/>
      <c r="B73" s="233"/>
      <c r="C73" s="234" t="s">
        <v>1204</v>
      </c>
      <c r="D73" s="235"/>
      <c r="E73" s="236"/>
      <c r="F73" s="237"/>
      <c r="G73" s="237"/>
      <c r="H73" s="237"/>
      <c r="I73" s="237"/>
      <c r="J73" s="238"/>
      <c r="K73" s="239"/>
      <c r="L73" s="240"/>
      <c r="M73" s="240"/>
      <c r="N73" s="240"/>
      <c r="O73" s="240"/>
      <c r="P73" s="240"/>
      <c r="Q73" s="241"/>
    </row>
    <row r="74">
      <c r="A74" s="242" t="s">
        <v>1205</v>
      </c>
      <c r="B74" s="254" t="s">
        <v>144</v>
      </c>
      <c r="C74" s="244" t="s">
        <v>1206</v>
      </c>
      <c r="D74" s="245">
        <v>1.0</v>
      </c>
      <c r="E74" s="242" t="s">
        <v>1116</v>
      </c>
      <c r="F74" s="246">
        <v>0.0</v>
      </c>
      <c r="G74" s="246">
        <v>0.0</v>
      </c>
      <c r="H74" s="246">
        <v>0.0</v>
      </c>
      <c r="I74" s="246">
        <v>0.0</v>
      </c>
      <c r="J74" s="247">
        <v>0.0</v>
      </c>
      <c r="K74" s="248"/>
      <c r="L74" s="249"/>
      <c r="M74" s="250"/>
      <c r="N74" s="251"/>
      <c r="O74" s="250">
        <v>0.0</v>
      </c>
      <c r="P74" s="252">
        <v>0.0</v>
      </c>
      <c r="Q74" s="253" t="s">
        <v>1207</v>
      </c>
    </row>
    <row r="75">
      <c r="A75" s="220"/>
      <c r="B75" s="221"/>
      <c r="C75" s="222" t="s">
        <v>1208</v>
      </c>
      <c r="D75" s="223"/>
      <c r="E75" s="224"/>
      <c r="F75" s="224"/>
      <c r="G75" s="225"/>
      <c r="H75" s="226"/>
      <c r="I75" s="227"/>
      <c r="J75" s="228">
        <v>0.0</v>
      </c>
      <c r="K75" s="224"/>
      <c r="L75" s="226"/>
      <c r="M75" s="229"/>
      <c r="N75" s="230"/>
      <c r="O75" s="227"/>
      <c r="P75" s="231">
        <v>0.0</v>
      </c>
      <c r="Q75" s="231"/>
    </row>
    <row r="76">
      <c r="A76" s="232"/>
      <c r="B76" s="233"/>
      <c r="C76" s="234" t="s">
        <v>1070</v>
      </c>
      <c r="D76" s="235"/>
      <c r="E76" s="236"/>
      <c r="F76" s="237"/>
      <c r="G76" s="237"/>
      <c r="H76" s="237"/>
      <c r="I76" s="237"/>
      <c r="J76" s="238"/>
      <c r="K76" s="239"/>
      <c r="L76" s="240"/>
      <c r="M76" s="240"/>
      <c r="N76" s="240"/>
      <c r="O76" s="240"/>
      <c r="P76" s="240"/>
      <c r="Q76" s="241"/>
    </row>
    <row r="77">
      <c r="A77" s="242" t="s">
        <v>1209</v>
      </c>
      <c r="B77" s="255">
        <v>46083.0</v>
      </c>
      <c r="C77" s="244" t="s">
        <v>1136</v>
      </c>
      <c r="D77" s="245">
        <v>48.843</v>
      </c>
      <c r="E77" s="242" t="s">
        <v>1073</v>
      </c>
      <c r="F77" s="246">
        <v>0.0</v>
      </c>
      <c r="G77" s="246">
        <v>0.0</v>
      </c>
      <c r="H77" s="246">
        <v>0.0</v>
      </c>
      <c r="I77" s="246">
        <v>0.0</v>
      </c>
      <c r="J77" s="247">
        <v>0.0</v>
      </c>
      <c r="K77" s="248"/>
      <c r="L77" s="249"/>
      <c r="M77" s="250"/>
      <c r="N77" s="251"/>
      <c r="O77" s="250">
        <v>0.0</v>
      </c>
      <c r="P77" s="252">
        <v>0.0</v>
      </c>
      <c r="Q77" s="253" t="s">
        <v>1210</v>
      </c>
    </row>
    <row r="78">
      <c r="A78" s="242" t="s">
        <v>1211</v>
      </c>
      <c r="B78" s="254" t="s">
        <v>124</v>
      </c>
      <c r="C78" s="244" t="s">
        <v>1076</v>
      </c>
      <c r="D78" s="245">
        <v>3.0</v>
      </c>
      <c r="E78" s="242" t="s">
        <v>1077</v>
      </c>
      <c r="F78" s="246">
        <v>0.0</v>
      </c>
      <c r="G78" s="246">
        <v>0.0</v>
      </c>
      <c r="H78" s="246">
        <v>0.0</v>
      </c>
      <c r="I78" s="246">
        <v>0.0</v>
      </c>
      <c r="J78" s="247">
        <v>0.0</v>
      </c>
      <c r="K78" s="248"/>
      <c r="L78" s="249"/>
      <c r="M78" s="250"/>
      <c r="N78" s="251"/>
      <c r="O78" s="250">
        <v>0.0</v>
      </c>
      <c r="P78" s="252">
        <v>0.0</v>
      </c>
      <c r="Q78" s="253" t="s">
        <v>1212</v>
      </c>
    </row>
    <row r="79">
      <c r="A79" s="242" t="s">
        <v>1213</v>
      </c>
      <c r="B79" s="255">
        <v>46179.0</v>
      </c>
      <c r="C79" s="244" t="s">
        <v>1214</v>
      </c>
      <c r="D79" s="245">
        <v>2.0</v>
      </c>
      <c r="E79" s="242" t="s">
        <v>1077</v>
      </c>
      <c r="F79" s="246">
        <v>0.0</v>
      </c>
      <c r="G79" s="246">
        <v>0.0</v>
      </c>
      <c r="H79" s="246">
        <v>0.0</v>
      </c>
      <c r="I79" s="246">
        <v>0.0</v>
      </c>
      <c r="J79" s="247">
        <v>0.0</v>
      </c>
      <c r="K79" s="248"/>
      <c r="L79" s="249"/>
      <c r="M79" s="250"/>
      <c r="N79" s="251"/>
      <c r="O79" s="250">
        <v>0.0</v>
      </c>
      <c r="P79" s="252">
        <v>0.0</v>
      </c>
      <c r="Q79" s="253" t="s">
        <v>1215</v>
      </c>
    </row>
    <row r="80">
      <c r="A80" s="242" t="s">
        <v>1216</v>
      </c>
      <c r="B80" s="243"/>
      <c r="C80" s="244" t="s">
        <v>1217</v>
      </c>
      <c r="D80" s="245">
        <v>2.0</v>
      </c>
      <c r="E80" s="242" t="s">
        <v>1107</v>
      </c>
      <c r="F80" s="246">
        <v>0.0</v>
      </c>
      <c r="G80" s="246">
        <v>0.0</v>
      </c>
      <c r="H80" s="246">
        <v>0.0</v>
      </c>
      <c r="I80" s="246">
        <v>0.0</v>
      </c>
      <c r="J80" s="247">
        <v>0.0</v>
      </c>
      <c r="K80" s="248"/>
      <c r="L80" s="249"/>
      <c r="M80" s="250"/>
      <c r="N80" s="251"/>
      <c r="O80" s="250">
        <v>0.0</v>
      </c>
      <c r="P80" s="252">
        <v>0.0</v>
      </c>
      <c r="Q80" s="253" t="s">
        <v>1218</v>
      </c>
    </row>
    <row r="81">
      <c r="A81" s="242" t="s">
        <v>1219</v>
      </c>
      <c r="B81" s="255">
        <v>46031.0</v>
      </c>
      <c r="C81" s="244" t="s">
        <v>1220</v>
      </c>
      <c r="D81" s="245">
        <v>1.0</v>
      </c>
      <c r="E81" s="242" t="s">
        <v>1107</v>
      </c>
      <c r="F81" s="246">
        <v>0.0</v>
      </c>
      <c r="G81" s="246">
        <v>0.0</v>
      </c>
      <c r="H81" s="246">
        <v>0.0</v>
      </c>
      <c r="I81" s="246">
        <v>0.0</v>
      </c>
      <c r="J81" s="247">
        <v>0.0</v>
      </c>
      <c r="K81" s="248"/>
      <c r="L81" s="249"/>
      <c r="M81" s="250"/>
      <c r="N81" s="251"/>
      <c r="O81" s="250">
        <v>0.0</v>
      </c>
      <c r="P81" s="252">
        <v>0.0</v>
      </c>
      <c r="Q81" s="253" t="s">
        <v>1221</v>
      </c>
    </row>
    <row r="82">
      <c r="A82" s="256"/>
      <c r="B82" s="257"/>
      <c r="C82" s="258" t="s">
        <v>1082</v>
      </c>
      <c r="D82" s="235"/>
      <c r="E82" s="259"/>
      <c r="F82" s="260"/>
      <c r="G82" s="260"/>
      <c r="H82" s="260"/>
      <c r="I82" s="260"/>
      <c r="J82" s="260"/>
      <c r="K82" s="261"/>
      <c r="L82" s="262"/>
      <c r="M82" s="262"/>
      <c r="N82" s="262"/>
      <c r="O82" s="262"/>
      <c r="P82" s="262"/>
      <c r="Q82" s="263"/>
    </row>
    <row r="83">
      <c r="A83" s="242" t="s">
        <v>1222</v>
      </c>
      <c r="B83" s="270" t="s">
        <v>142</v>
      </c>
      <c r="C83" s="265" t="s">
        <v>1087</v>
      </c>
      <c r="D83" s="266">
        <v>6.76</v>
      </c>
      <c r="E83" s="271" t="s">
        <v>1073</v>
      </c>
      <c r="F83" s="246">
        <v>0.0</v>
      </c>
      <c r="G83" s="246">
        <v>0.0</v>
      </c>
      <c r="H83" s="246">
        <v>0.0</v>
      </c>
      <c r="I83" s="246">
        <v>0.0</v>
      </c>
      <c r="J83" s="247">
        <v>0.0</v>
      </c>
      <c r="K83" s="268"/>
      <c r="L83" s="269"/>
      <c r="M83" s="250"/>
      <c r="N83" s="251"/>
      <c r="O83" s="250">
        <v>0.0</v>
      </c>
      <c r="P83" s="252">
        <v>0.0</v>
      </c>
      <c r="Q83" s="253" t="s">
        <v>1223</v>
      </c>
    </row>
    <row r="84">
      <c r="A84" s="242" t="s">
        <v>1224</v>
      </c>
      <c r="B84" s="270" t="s">
        <v>109</v>
      </c>
      <c r="C84" s="265" t="s">
        <v>1090</v>
      </c>
      <c r="D84" s="266">
        <v>6.105</v>
      </c>
      <c r="E84" s="267" t="s">
        <v>1073</v>
      </c>
      <c r="F84" s="246">
        <v>0.0</v>
      </c>
      <c r="G84" s="246">
        <v>0.0</v>
      </c>
      <c r="H84" s="246">
        <v>0.0</v>
      </c>
      <c r="I84" s="246">
        <v>0.0</v>
      </c>
      <c r="J84" s="247">
        <v>0.0</v>
      </c>
      <c r="K84" s="268"/>
      <c r="L84" s="269"/>
      <c r="M84" s="250"/>
      <c r="N84" s="251"/>
      <c r="O84" s="250">
        <v>0.0</v>
      </c>
      <c r="P84" s="252">
        <v>0.0</v>
      </c>
      <c r="Q84" s="253" t="s">
        <v>1225</v>
      </c>
    </row>
    <row r="85">
      <c r="A85" s="242" t="s">
        <v>1226</v>
      </c>
      <c r="B85" s="272">
        <v>46209.0</v>
      </c>
      <c r="C85" s="265" t="s">
        <v>1093</v>
      </c>
      <c r="D85" s="266">
        <v>2.16</v>
      </c>
      <c r="E85" s="267" t="s">
        <v>1073</v>
      </c>
      <c r="F85" s="246">
        <v>0.0</v>
      </c>
      <c r="G85" s="246">
        <v>0.0</v>
      </c>
      <c r="H85" s="246">
        <v>0.0</v>
      </c>
      <c r="I85" s="246">
        <v>0.0</v>
      </c>
      <c r="J85" s="247">
        <v>0.0</v>
      </c>
      <c r="K85" s="268"/>
      <c r="L85" s="269"/>
      <c r="M85" s="250"/>
      <c r="N85" s="251"/>
      <c r="O85" s="250">
        <v>0.0</v>
      </c>
      <c r="P85" s="252">
        <v>0.0</v>
      </c>
      <c r="Q85" s="253" t="s">
        <v>1227</v>
      </c>
    </row>
    <row r="86">
      <c r="A86" s="242" t="s">
        <v>1228</v>
      </c>
      <c r="B86" s="264" t="s">
        <v>111</v>
      </c>
      <c r="C86" s="265" t="s">
        <v>1096</v>
      </c>
      <c r="D86" s="266">
        <v>8.27</v>
      </c>
      <c r="E86" s="267" t="s">
        <v>1073</v>
      </c>
      <c r="F86" s="246">
        <v>0.0</v>
      </c>
      <c r="G86" s="246">
        <v>0.0</v>
      </c>
      <c r="H86" s="246">
        <v>0.0</v>
      </c>
      <c r="I86" s="246">
        <v>0.0</v>
      </c>
      <c r="J86" s="247">
        <v>0.0</v>
      </c>
      <c r="K86" s="268"/>
      <c r="L86" s="269"/>
      <c r="M86" s="250"/>
      <c r="N86" s="251"/>
      <c r="O86" s="250">
        <v>0.0</v>
      </c>
      <c r="P86" s="252">
        <v>0.0</v>
      </c>
      <c r="Q86" s="253" t="s">
        <v>1229</v>
      </c>
    </row>
    <row r="87" ht="18.75" customHeight="1">
      <c r="A87" s="242" t="s">
        <v>1230</v>
      </c>
      <c r="B87" s="273">
        <v>46024.0</v>
      </c>
      <c r="C87" s="265" t="s">
        <v>1102</v>
      </c>
      <c r="D87" s="266">
        <v>48.35</v>
      </c>
      <c r="E87" s="267" t="s">
        <v>1073</v>
      </c>
      <c r="F87" s="246">
        <v>0.0</v>
      </c>
      <c r="G87" s="246">
        <v>0.0</v>
      </c>
      <c r="H87" s="246">
        <v>0.0</v>
      </c>
      <c r="I87" s="246">
        <v>0.0</v>
      </c>
      <c r="J87" s="247">
        <v>0.0</v>
      </c>
      <c r="K87" s="268"/>
      <c r="L87" s="269"/>
      <c r="M87" s="250"/>
      <c r="N87" s="251"/>
      <c r="O87" s="250">
        <v>0.0</v>
      </c>
      <c r="P87" s="252">
        <v>0.0</v>
      </c>
      <c r="Q87" s="253" t="s">
        <v>1231</v>
      </c>
    </row>
    <row r="88">
      <c r="A88" s="242" t="s">
        <v>1232</v>
      </c>
      <c r="B88" s="272">
        <v>46361.0</v>
      </c>
      <c r="C88" s="265" t="s">
        <v>1099</v>
      </c>
      <c r="D88" s="266">
        <v>72.198</v>
      </c>
      <c r="E88" s="267" t="s">
        <v>1073</v>
      </c>
      <c r="F88" s="246">
        <v>0.0</v>
      </c>
      <c r="G88" s="246">
        <v>0.0</v>
      </c>
      <c r="H88" s="246">
        <v>0.0</v>
      </c>
      <c r="I88" s="246">
        <v>0.0</v>
      </c>
      <c r="J88" s="247">
        <v>0.0</v>
      </c>
      <c r="K88" s="268"/>
      <c r="L88" s="269"/>
      <c r="M88" s="250"/>
      <c r="N88" s="251"/>
      <c r="O88" s="250">
        <v>0.0</v>
      </c>
      <c r="P88" s="252">
        <v>0.0</v>
      </c>
      <c r="Q88" s="253" t="s">
        <v>1233</v>
      </c>
    </row>
    <row r="89">
      <c r="A89" s="242" t="s">
        <v>1234</v>
      </c>
      <c r="B89" s="273">
        <v>46024.0</v>
      </c>
      <c r="C89" s="265" t="s">
        <v>1102</v>
      </c>
      <c r="D89" s="266">
        <v>48.35</v>
      </c>
      <c r="E89" s="267" t="s">
        <v>1073</v>
      </c>
      <c r="F89" s="246">
        <v>0.0</v>
      </c>
      <c r="G89" s="246">
        <v>0.0</v>
      </c>
      <c r="H89" s="246">
        <v>0.0</v>
      </c>
      <c r="I89" s="246">
        <v>0.0</v>
      </c>
      <c r="J89" s="247">
        <v>0.0</v>
      </c>
      <c r="K89" s="268"/>
      <c r="L89" s="269"/>
      <c r="M89" s="250"/>
      <c r="N89" s="251"/>
      <c r="O89" s="250">
        <v>0.0</v>
      </c>
      <c r="P89" s="252">
        <v>0.0</v>
      </c>
      <c r="Q89" s="253" t="s">
        <v>1235</v>
      </c>
    </row>
    <row r="90">
      <c r="A90" s="256"/>
      <c r="B90" s="257"/>
      <c r="C90" s="258" t="s">
        <v>1160</v>
      </c>
      <c r="D90" s="235"/>
      <c r="E90" s="259"/>
      <c r="F90" s="260"/>
      <c r="G90" s="260"/>
      <c r="H90" s="260"/>
      <c r="I90" s="260"/>
      <c r="J90" s="260"/>
      <c r="K90" s="261"/>
      <c r="L90" s="262"/>
      <c r="M90" s="262"/>
      <c r="N90" s="262"/>
      <c r="O90" s="262"/>
      <c r="P90" s="262"/>
      <c r="Q90" s="263"/>
    </row>
    <row r="91">
      <c r="A91" s="242" t="s">
        <v>1236</v>
      </c>
      <c r="B91" s="270" t="s">
        <v>136</v>
      </c>
      <c r="C91" s="265" t="s">
        <v>1237</v>
      </c>
      <c r="D91" s="266">
        <v>7.0</v>
      </c>
      <c r="E91" s="267" t="s">
        <v>1107</v>
      </c>
      <c r="F91" s="246">
        <v>0.0</v>
      </c>
      <c r="G91" s="246">
        <v>0.0</v>
      </c>
      <c r="H91" s="246">
        <v>0.0</v>
      </c>
      <c r="I91" s="246">
        <v>0.0</v>
      </c>
      <c r="J91" s="247">
        <v>0.0</v>
      </c>
      <c r="K91" s="268"/>
      <c r="L91" s="269"/>
      <c r="M91" s="250"/>
      <c r="N91" s="251"/>
      <c r="O91" s="250">
        <v>0.0</v>
      </c>
      <c r="P91" s="252">
        <v>0.0</v>
      </c>
      <c r="Q91" s="253" t="s">
        <v>1238</v>
      </c>
    </row>
    <row r="92">
      <c r="A92" s="242" t="s">
        <v>1239</v>
      </c>
      <c r="B92" s="264" t="s">
        <v>104</v>
      </c>
      <c r="C92" s="265" t="s">
        <v>1110</v>
      </c>
      <c r="D92" s="266">
        <v>1.0</v>
      </c>
      <c r="E92" s="271" t="s">
        <v>1107</v>
      </c>
      <c r="F92" s="246">
        <v>0.0</v>
      </c>
      <c r="G92" s="246">
        <v>0.0</v>
      </c>
      <c r="H92" s="246">
        <v>0.0</v>
      </c>
      <c r="I92" s="246">
        <v>0.0</v>
      </c>
      <c r="J92" s="247">
        <v>0.0</v>
      </c>
      <c r="K92" s="268"/>
      <c r="L92" s="269"/>
      <c r="M92" s="250"/>
      <c r="N92" s="251"/>
      <c r="O92" s="250">
        <v>0.0</v>
      </c>
      <c r="P92" s="252">
        <v>0.0</v>
      </c>
      <c r="Q92" s="253" t="s">
        <v>1240</v>
      </c>
    </row>
    <row r="93">
      <c r="A93" s="242" t="s">
        <v>1241</v>
      </c>
      <c r="B93" s="270" t="s">
        <v>129</v>
      </c>
      <c r="C93" s="265" t="s">
        <v>1242</v>
      </c>
      <c r="D93" s="266">
        <v>8.0</v>
      </c>
      <c r="E93" s="267" t="s">
        <v>1107</v>
      </c>
      <c r="F93" s="246">
        <v>0.0</v>
      </c>
      <c r="G93" s="246">
        <v>0.0</v>
      </c>
      <c r="H93" s="246">
        <v>0.0</v>
      </c>
      <c r="I93" s="246">
        <v>0.0</v>
      </c>
      <c r="J93" s="247">
        <v>0.0</v>
      </c>
      <c r="K93" s="268"/>
      <c r="L93" s="269"/>
      <c r="M93" s="250"/>
      <c r="N93" s="251"/>
      <c r="O93" s="250">
        <v>0.0</v>
      </c>
      <c r="P93" s="252">
        <v>0.0</v>
      </c>
      <c r="Q93" s="253" t="s">
        <v>1243</v>
      </c>
    </row>
    <row r="94">
      <c r="A94" s="242" t="s">
        <v>1244</v>
      </c>
      <c r="B94" s="270" t="s">
        <v>129</v>
      </c>
      <c r="C94" s="265" t="s">
        <v>1245</v>
      </c>
      <c r="D94" s="266">
        <v>3.0</v>
      </c>
      <c r="E94" s="267" t="s">
        <v>1107</v>
      </c>
      <c r="F94" s="246">
        <v>0.0</v>
      </c>
      <c r="G94" s="246">
        <v>0.0</v>
      </c>
      <c r="H94" s="246">
        <v>0.0</v>
      </c>
      <c r="I94" s="246">
        <v>0.0</v>
      </c>
      <c r="J94" s="247">
        <v>0.0</v>
      </c>
      <c r="K94" s="268"/>
      <c r="L94" s="269"/>
      <c r="M94" s="250"/>
      <c r="N94" s="251"/>
      <c r="O94" s="250">
        <v>0.0</v>
      </c>
      <c r="P94" s="252">
        <v>0.0</v>
      </c>
      <c r="Q94" s="253" t="s">
        <v>1246</v>
      </c>
    </row>
    <row r="95">
      <c r="A95" s="256"/>
      <c r="B95" s="257"/>
      <c r="C95" s="258" t="s">
        <v>1168</v>
      </c>
      <c r="D95" s="235"/>
      <c r="E95" s="259"/>
      <c r="F95" s="260"/>
      <c r="G95" s="260"/>
      <c r="H95" s="260"/>
      <c r="I95" s="260"/>
      <c r="J95" s="260"/>
      <c r="K95" s="261"/>
      <c r="L95" s="262"/>
      <c r="M95" s="262"/>
      <c r="N95" s="262"/>
      <c r="O95" s="262"/>
      <c r="P95" s="262"/>
      <c r="Q95" s="263"/>
    </row>
    <row r="96">
      <c r="A96" s="242" t="s">
        <v>1247</v>
      </c>
      <c r="B96" s="270" t="s">
        <v>140</v>
      </c>
      <c r="C96" s="265" t="s">
        <v>1248</v>
      </c>
      <c r="D96" s="266">
        <v>2.0</v>
      </c>
      <c r="E96" s="267" t="s">
        <v>1107</v>
      </c>
      <c r="F96" s="246">
        <v>0.0</v>
      </c>
      <c r="G96" s="246">
        <v>0.0</v>
      </c>
      <c r="H96" s="246">
        <v>0.0</v>
      </c>
      <c r="I96" s="246">
        <v>0.0</v>
      </c>
      <c r="J96" s="247">
        <v>0.0</v>
      </c>
      <c r="K96" s="268"/>
      <c r="L96" s="269"/>
      <c r="M96" s="250"/>
      <c r="N96" s="251"/>
      <c r="O96" s="250">
        <v>0.0</v>
      </c>
      <c r="P96" s="252">
        <v>0.0</v>
      </c>
      <c r="Q96" s="253" t="s">
        <v>1249</v>
      </c>
    </row>
    <row r="97">
      <c r="A97" s="256"/>
      <c r="B97" s="257"/>
      <c r="C97" s="258" t="s">
        <v>1250</v>
      </c>
      <c r="D97" s="235"/>
      <c r="E97" s="259"/>
      <c r="F97" s="260"/>
      <c r="G97" s="260"/>
      <c r="H97" s="260"/>
      <c r="I97" s="260"/>
      <c r="J97" s="260"/>
      <c r="K97" s="261"/>
      <c r="L97" s="262"/>
      <c r="M97" s="262"/>
      <c r="N97" s="262"/>
      <c r="O97" s="262"/>
      <c r="P97" s="262"/>
      <c r="Q97" s="263"/>
    </row>
    <row r="98">
      <c r="A98" s="242" t="s">
        <v>1251</v>
      </c>
      <c r="B98" s="273">
        <v>46270.0</v>
      </c>
      <c r="C98" s="265" t="s">
        <v>1252</v>
      </c>
      <c r="D98" s="266">
        <v>2.0</v>
      </c>
      <c r="E98" s="267" t="s">
        <v>1107</v>
      </c>
      <c r="F98" s="246">
        <v>0.0</v>
      </c>
      <c r="G98" s="246">
        <v>0.0</v>
      </c>
      <c r="H98" s="246">
        <v>0.0</v>
      </c>
      <c r="I98" s="246">
        <v>0.0</v>
      </c>
      <c r="J98" s="247">
        <v>0.0</v>
      </c>
      <c r="K98" s="268"/>
      <c r="L98" s="269"/>
      <c r="M98" s="250"/>
      <c r="N98" s="251"/>
      <c r="O98" s="250">
        <v>0.0</v>
      </c>
      <c r="P98" s="252">
        <v>0.0</v>
      </c>
      <c r="Q98" s="253" t="s">
        <v>1253</v>
      </c>
    </row>
    <row r="99">
      <c r="A99" s="256"/>
      <c r="B99" s="257"/>
      <c r="C99" s="258" t="s">
        <v>1118</v>
      </c>
      <c r="D99" s="235"/>
      <c r="E99" s="259"/>
      <c r="F99" s="260"/>
      <c r="G99" s="260"/>
      <c r="H99" s="260"/>
      <c r="I99" s="260"/>
      <c r="J99" s="260"/>
      <c r="K99" s="261"/>
      <c r="L99" s="262"/>
      <c r="M99" s="262"/>
      <c r="N99" s="262"/>
      <c r="O99" s="262"/>
      <c r="P99" s="262"/>
      <c r="Q99" s="263"/>
    </row>
    <row r="100">
      <c r="A100" s="242" t="s">
        <v>1254</v>
      </c>
      <c r="B100" s="270" t="s">
        <v>121</v>
      </c>
      <c r="C100" s="265" t="s">
        <v>1120</v>
      </c>
      <c r="D100" s="266">
        <v>89.02</v>
      </c>
      <c r="E100" s="267" t="s">
        <v>1073</v>
      </c>
      <c r="F100" s="246">
        <v>0.0</v>
      </c>
      <c r="G100" s="246">
        <v>0.0</v>
      </c>
      <c r="H100" s="246">
        <v>0.0</v>
      </c>
      <c r="I100" s="246">
        <v>0.0</v>
      </c>
      <c r="J100" s="247">
        <v>0.0</v>
      </c>
      <c r="K100" s="268"/>
      <c r="L100" s="269"/>
      <c r="M100" s="250"/>
      <c r="N100" s="251"/>
      <c r="O100" s="250">
        <v>0.0</v>
      </c>
      <c r="P100" s="252">
        <v>0.0</v>
      </c>
      <c r="Q100" s="253" t="s">
        <v>1255</v>
      </c>
    </row>
    <row r="101">
      <c r="A101" s="242" t="s">
        <v>1256</v>
      </c>
      <c r="B101" s="270" t="s">
        <v>121</v>
      </c>
      <c r="C101" s="265" t="s">
        <v>1257</v>
      </c>
      <c r="D101" s="266">
        <v>20.79</v>
      </c>
      <c r="E101" s="267" t="s">
        <v>1073</v>
      </c>
      <c r="F101" s="246">
        <v>0.0</v>
      </c>
      <c r="G101" s="246">
        <v>0.0</v>
      </c>
      <c r="H101" s="246">
        <v>0.0</v>
      </c>
      <c r="I101" s="246">
        <v>0.0</v>
      </c>
      <c r="J101" s="247">
        <v>0.0</v>
      </c>
      <c r="K101" s="268"/>
      <c r="L101" s="269"/>
      <c r="M101" s="250"/>
      <c r="N101" s="251"/>
      <c r="O101" s="250">
        <v>0.0</v>
      </c>
      <c r="P101" s="252">
        <v>0.0</v>
      </c>
      <c r="Q101" s="253" t="s">
        <v>1258</v>
      </c>
    </row>
    <row r="102">
      <c r="A102" s="256"/>
      <c r="B102" s="257"/>
      <c r="C102" s="258" t="s">
        <v>1122</v>
      </c>
      <c r="D102" s="235"/>
      <c r="E102" s="259"/>
      <c r="F102" s="260"/>
      <c r="G102" s="260"/>
      <c r="H102" s="260"/>
      <c r="I102" s="260"/>
      <c r="J102" s="260"/>
      <c r="K102" s="261"/>
      <c r="L102" s="262"/>
      <c r="M102" s="262"/>
      <c r="N102" s="262"/>
      <c r="O102" s="262"/>
      <c r="P102" s="262"/>
      <c r="Q102" s="263"/>
    </row>
    <row r="103">
      <c r="A103" s="242" t="s">
        <v>1259</v>
      </c>
      <c r="B103" s="270" t="s">
        <v>112</v>
      </c>
      <c r="C103" s="265" t="s">
        <v>1124</v>
      </c>
      <c r="D103" s="266">
        <v>48.35</v>
      </c>
      <c r="E103" s="267" t="s">
        <v>1073</v>
      </c>
      <c r="F103" s="246">
        <v>0.0</v>
      </c>
      <c r="G103" s="246">
        <v>0.0</v>
      </c>
      <c r="H103" s="246">
        <v>0.0</v>
      </c>
      <c r="I103" s="246">
        <v>0.0</v>
      </c>
      <c r="J103" s="247">
        <v>0.0</v>
      </c>
      <c r="K103" s="268"/>
      <c r="L103" s="269"/>
      <c r="M103" s="250"/>
      <c r="N103" s="251"/>
      <c r="O103" s="250">
        <v>0.0</v>
      </c>
      <c r="P103" s="252">
        <v>0.0</v>
      </c>
      <c r="Q103" s="253" t="s">
        <v>1260</v>
      </c>
    </row>
    <row r="104">
      <c r="A104" s="256"/>
      <c r="B104" s="257"/>
      <c r="C104" s="258" t="s">
        <v>1126</v>
      </c>
      <c r="D104" s="235"/>
      <c r="E104" s="259"/>
      <c r="F104" s="260"/>
      <c r="G104" s="260"/>
      <c r="H104" s="260"/>
      <c r="I104" s="260"/>
      <c r="J104" s="260"/>
      <c r="K104" s="261"/>
      <c r="L104" s="262"/>
      <c r="M104" s="262"/>
      <c r="N104" s="262"/>
      <c r="O104" s="262"/>
      <c r="P104" s="262"/>
      <c r="Q104" s="263"/>
    </row>
    <row r="105">
      <c r="A105" s="242" t="s">
        <v>1261</v>
      </c>
      <c r="B105" s="264" t="s">
        <v>116</v>
      </c>
      <c r="C105" s="265" t="s">
        <v>1128</v>
      </c>
      <c r="D105" s="266">
        <v>48.35</v>
      </c>
      <c r="E105" s="267" t="s">
        <v>1073</v>
      </c>
      <c r="F105" s="246">
        <v>0.0</v>
      </c>
      <c r="G105" s="246">
        <v>0.0</v>
      </c>
      <c r="H105" s="246">
        <v>0.0</v>
      </c>
      <c r="I105" s="246">
        <v>0.0</v>
      </c>
      <c r="J105" s="247">
        <v>0.0</v>
      </c>
      <c r="K105" s="268"/>
      <c r="L105" s="269"/>
      <c r="M105" s="250"/>
      <c r="N105" s="251"/>
      <c r="O105" s="250">
        <v>0.0</v>
      </c>
      <c r="P105" s="252">
        <v>0.0</v>
      </c>
      <c r="Q105" s="253" t="s">
        <v>1262</v>
      </c>
    </row>
    <row r="106">
      <c r="A106" s="242" t="s">
        <v>1263</v>
      </c>
      <c r="B106" s="264" t="s">
        <v>116</v>
      </c>
      <c r="C106" s="265" t="s">
        <v>1264</v>
      </c>
      <c r="D106" s="266">
        <v>5.42</v>
      </c>
      <c r="E106" s="267" t="s">
        <v>1073</v>
      </c>
      <c r="F106" s="246">
        <v>0.0</v>
      </c>
      <c r="G106" s="246">
        <v>0.0</v>
      </c>
      <c r="H106" s="246">
        <v>0.0</v>
      </c>
      <c r="I106" s="246">
        <v>0.0</v>
      </c>
      <c r="J106" s="247">
        <v>0.0</v>
      </c>
      <c r="K106" s="268"/>
      <c r="L106" s="269"/>
      <c r="M106" s="250"/>
      <c r="N106" s="251"/>
      <c r="O106" s="250">
        <v>0.0</v>
      </c>
      <c r="P106" s="252">
        <v>0.0</v>
      </c>
      <c r="Q106" s="253" t="s">
        <v>1265</v>
      </c>
    </row>
    <row r="107">
      <c r="A107" s="256"/>
      <c r="B107" s="257"/>
      <c r="C107" s="258" t="s">
        <v>1185</v>
      </c>
      <c r="D107" s="235"/>
      <c r="E107" s="259"/>
      <c r="F107" s="260"/>
      <c r="G107" s="260"/>
      <c r="H107" s="260"/>
      <c r="I107" s="260"/>
      <c r="J107" s="260"/>
      <c r="K107" s="261"/>
      <c r="L107" s="262"/>
      <c r="M107" s="262"/>
      <c r="N107" s="262"/>
      <c r="O107" s="262"/>
      <c r="P107" s="262"/>
      <c r="Q107" s="263"/>
    </row>
    <row r="108">
      <c r="A108" s="242" t="s">
        <v>1236</v>
      </c>
      <c r="B108" s="270" t="s">
        <v>143</v>
      </c>
      <c r="C108" s="265" t="s">
        <v>1266</v>
      </c>
      <c r="D108" s="266">
        <v>1.0</v>
      </c>
      <c r="E108" s="267" t="s">
        <v>1107</v>
      </c>
      <c r="F108" s="246">
        <v>0.0</v>
      </c>
      <c r="G108" s="246">
        <v>0.0</v>
      </c>
      <c r="H108" s="246">
        <v>0.0</v>
      </c>
      <c r="I108" s="246">
        <v>0.0</v>
      </c>
      <c r="J108" s="247">
        <v>0.0</v>
      </c>
      <c r="K108" s="268"/>
      <c r="L108" s="269"/>
      <c r="M108" s="250"/>
      <c r="N108" s="251"/>
      <c r="O108" s="250">
        <v>0.0</v>
      </c>
      <c r="P108" s="252">
        <v>0.0</v>
      </c>
      <c r="Q108" s="253" t="s">
        <v>1267</v>
      </c>
    </row>
    <row r="109">
      <c r="A109" s="242" t="s">
        <v>1239</v>
      </c>
      <c r="B109" s="270" t="s">
        <v>125</v>
      </c>
      <c r="C109" s="265" t="s">
        <v>1268</v>
      </c>
      <c r="D109" s="266">
        <v>1.0</v>
      </c>
      <c r="E109" s="267" t="s">
        <v>1107</v>
      </c>
      <c r="F109" s="246">
        <v>0.0</v>
      </c>
      <c r="G109" s="246">
        <v>0.0</v>
      </c>
      <c r="H109" s="246">
        <v>0.0</v>
      </c>
      <c r="I109" s="246">
        <v>0.0</v>
      </c>
      <c r="J109" s="247">
        <v>0.0</v>
      </c>
      <c r="K109" s="268"/>
      <c r="L109" s="269"/>
      <c r="M109" s="250"/>
      <c r="N109" s="251"/>
      <c r="O109" s="250">
        <v>0.0</v>
      </c>
      <c r="P109" s="252">
        <v>0.0</v>
      </c>
      <c r="Q109" s="253" t="s">
        <v>1269</v>
      </c>
    </row>
    <row r="110">
      <c r="A110" s="220"/>
      <c r="B110" s="221"/>
      <c r="C110" s="222" t="s">
        <v>1270</v>
      </c>
      <c r="D110" s="223"/>
      <c r="E110" s="224"/>
      <c r="F110" s="224"/>
      <c r="G110" s="225"/>
      <c r="H110" s="226"/>
      <c r="I110" s="227"/>
      <c r="J110" s="228">
        <v>0.0</v>
      </c>
      <c r="K110" s="224"/>
      <c r="L110" s="226"/>
      <c r="M110" s="229"/>
      <c r="N110" s="230"/>
      <c r="O110" s="227"/>
      <c r="P110" s="231">
        <v>0.0</v>
      </c>
      <c r="Q110" s="231"/>
    </row>
    <row r="111">
      <c r="A111" s="232"/>
      <c r="B111" s="233"/>
      <c r="C111" s="234" t="s">
        <v>1070</v>
      </c>
      <c r="D111" s="235"/>
      <c r="E111" s="236"/>
      <c r="F111" s="237"/>
      <c r="G111" s="237"/>
      <c r="H111" s="237"/>
      <c r="I111" s="237"/>
      <c r="J111" s="238"/>
      <c r="K111" s="239"/>
      <c r="L111" s="240"/>
      <c r="M111" s="240"/>
      <c r="N111" s="240"/>
      <c r="O111" s="240"/>
      <c r="P111" s="240"/>
      <c r="Q111" s="241"/>
    </row>
    <row r="112">
      <c r="A112" s="242" t="s">
        <v>1271</v>
      </c>
      <c r="B112" s="255">
        <v>46083.0</v>
      </c>
      <c r="C112" s="244" t="s">
        <v>1136</v>
      </c>
      <c r="D112" s="245">
        <v>2.646</v>
      </c>
      <c r="E112" s="242" t="s">
        <v>1073</v>
      </c>
      <c r="F112" s="246">
        <v>0.0</v>
      </c>
      <c r="G112" s="246">
        <v>0.0</v>
      </c>
      <c r="H112" s="246">
        <v>0.0</v>
      </c>
      <c r="I112" s="246">
        <v>0.0</v>
      </c>
      <c r="J112" s="247">
        <v>0.0</v>
      </c>
      <c r="K112" s="248"/>
      <c r="L112" s="249"/>
      <c r="M112" s="250"/>
      <c r="N112" s="251"/>
      <c r="O112" s="250">
        <v>0.0</v>
      </c>
      <c r="P112" s="252">
        <v>0.0</v>
      </c>
      <c r="Q112" s="253" t="s">
        <v>1210</v>
      </c>
    </row>
    <row r="113">
      <c r="A113" s="242" t="s">
        <v>1272</v>
      </c>
      <c r="B113" s="255">
        <v>46179.0</v>
      </c>
      <c r="C113" s="244" t="s">
        <v>1273</v>
      </c>
      <c r="D113" s="245">
        <v>1.0</v>
      </c>
      <c r="E113" s="242" t="s">
        <v>1107</v>
      </c>
      <c r="F113" s="246">
        <v>0.0</v>
      </c>
      <c r="G113" s="246">
        <v>0.0</v>
      </c>
      <c r="H113" s="246">
        <v>0.0</v>
      </c>
      <c r="I113" s="246">
        <v>0.0</v>
      </c>
      <c r="J113" s="247">
        <v>0.0</v>
      </c>
      <c r="K113" s="248"/>
      <c r="L113" s="249"/>
      <c r="M113" s="250"/>
      <c r="N113" s="251"/>
      <c r="O113" s="250">
        <v>0.0</v>
      </c>
      <c r="P113" s="252">
        <v>0.0</v>
      </c>
      <c r="Q113" s="253" t="s">
        <v>1212</v>
      </c>
    </row>
    <row r="114">
      <c r="A114" s="256"/>
      <c r="B114" s="257"/>
      <c r="C114" s="258" t="s">
        <v>1082</v>
      </c>
      <c r="D114" s="235"/>
      <c r="E114" s="259"/>
      <c r="F114" s="260"/>
      <c r="G114" s="260"/>
      <c r="H114" s="260"/>
      <c r="I114" s="260"/>
      <c r="J114" s="260"/>
      <c r="K114" s="261"/>
      <c r="L114" s="262"/>
      <c r="M114" s="262"/>
      <c r="N114" s="262"/>
      <c r="O114" s="262"/>
      <c r="P114" s="262"/>
      <c r="Q114" s="263"/>
    </row>
    <row r="115">
      <c r="A115" s="242" t="s">
        <v>1274</v>
      </c>
      <c r="B115" s="270" t="s">
        <v>142</v>
      </c>
      <c r="C115" s="265" t="s">
        <v>1087</v>
      </c>
      <c r="D115" s="266">
        <v>2.646</v>
      </c>
      <c r="E115" s="271" t="s">
        <v>1073</v>
      </c>
      <c r="F115" s="246">
        <v>0.0</v>
      </c>
      <c r="G115" s="246">
        <v>0.0</v>
      </c>
      <c r="H115" s="246">
        <v>0.0</v>
      </c>
      <c r="I115" s="246">
        <v>0.0</v>
      </c>
      <c r="J115" s="247">
        <v>0.0</v>
      </c>
      <c r="K115" s="268"/>
      <c r="L115" s="269"/>
      <c r="M115" s="250"/>
      <c r="N115" s="251"/>
      <c r="O115" s="250">
        <v>0.0</v>
      </c>
      <c r="P115" s="252">
        <v>0.0</v>
      </c>
      <c r="Q115" s="253" t="s">
        <v>1223</v>
      </c>
    </row>
    <row r="116">
      <c r="A116" s="242" t="s">
        <v>1275</v>
      </c>
      <c r="B116" s="273">
        <v>46024.0</v>
      </c>
      <c r="C116" s="265" t="s">
        <v>1102</v>
      </c>
      <c r="D116" s="266">
        <v>51.79</v>
      </c>
      <c r="E116" s="267" t="s">
        <v>1073</v>
      </c>
      <c r="F116" s="246">
        <v>0.0</v>
      </c>
      <c r="G116" s="246">
        <v>0.0</v>
      </c>
      <c r="H116" s="246">
        <v>0.0</v>
      </c>
      <c r="I116" s="246">
        <v>0.0</v>
      </c>
      <c r="J116" s="247">
        <v>0.0</v>
      </c>
      <c r="K116" s="268"/>
      <c r="L116" s="269"/>
      <c r="M116" s="250"/>
      <c r="N116" s="251"/>
      <c r="O116" s="250">
        <v>0.0</v>
      </c>
      <c r="P116" s="252">
        <v>0.0</v>
      </c>
      <c r="Q116" s="253" t="s">
        <v>1225</v>
      </c>
    </row>
    <row r="117">
      <c r="A117" s="242" t="s">
        <v>1276</v>
      </c>
      <c r="B117" s="272">
        <v>46361.0</v>
      </c>
      <c r="C117" s="265" t="s">
        <v>1099</v>
      </c>
      <c r="D117" s="266">
        <v>79.2558</v>
      </c>
      <c r="E117" s="267" t="s">
        <v>1073</v>
      </c>
      <c r="F117" s="246">
        <v>0.0</v>
      </c>
      <c r="G117" s="246">
        <v>0.0</v>
      </c>
      <c r="H117" s="246">
        <v>0.0</v>
      </c>
      <c r="I117" s="246">
        <v>0.0</v>
      </c>
      <c r="J117" s="247">
        <v>0.0</v>
      </c>
      <c r="K117" s="268"/>
      <c r="L117" s="269"/>
      <c r="M117" s="250"/>
      <c r="N117" s="251"/>
      <c r="O117" s="250">
        <v>0.0</v>
      </c>
      <c r="P117" s="252">
        <v>0.0</v>
      </c>
      <c r="Q117" s="253" t="s">
        <v>1227</v>
      </c>
    </row>
    <row r="118">
      <c r="A118" s="256"/>
      <c r="B118" s="257"/>
      <c r="C118" s="258" t="s">
        <v>1160</v>
      </c>
      <c r="D118" s="235"/>
      <c r="E118" s="259"/>
      <c r="F118" s="260"/>
      <c r="G118" s="260"/>
      <c r="H118" s="260"/>
      <c r="I118" s="260"/>
      <c r="J118" s="260"/>
      <c r="K118" s="261"/>
      <c r="L118" s="262"/>
      <c r="M118" s="262"/>
      <c r="N118" s="262"/>
      <c r="O118" s="262"/>
      <c r="P118" s="262"/>
      <c r="Q118" s="263"/>
    </row>
    <row r="119">
      <c r="A119" s="242" t="s">
        <v>1277</v>
      </c>
      <c r="B119" s="270" t="s">
        <v>136</v>
      </c>
      <c r="C119" s="265" t="s">
        <v>1237</v>
      </c>
      <c r="D119" s="266">
        <v>11.0</v>
      </c>
      <c r="E119" s="267" t="s">
        <v>1107</v>
      </c>
      <c r="F119" s="246">
        <v>0.0</v>
      </c>
      <c r="G119" s="246">
        <v>0.0</v>
      </c>
      <c r="H119" s="246">
        <v>0.0</v>
      </c>
      <c r="I119" s="246">
        <v>0.0</v>
      </c>
      <c r="J119" s="247">
        <v>0.0</v>
      </c>
      <c r="K119" s="268"/>
      <c r="L119" s="269"/>
      <c r="M119" s="250"/>
      <c r="N119" s="251"/>
      <c r="O119" s="250">
        <v>0.0</v>
      </c>
      <c r="P119" s="252">
        <v>0.0</v>
      </c>
      <c r="Q119" s="253" t="s">
        <v>1238</v>
      </c>
    </row>
    <row r="120">
      <c r="A120" s="242" t="s">
        <v>1278</v>
      </c>
      <c r="B120" s="264" t="s">
        <v>104</v>
      </c>
      <c r="C120" s="265" t="s">
        <v>1110</v>
      </c>
      <c r="D120" s="266">
        <v>1.0</v>
      </c>
      <c r="E120" s="271" t="s">
        <v>1107</v>
      </c>
      <c r="F120" s="246">
        <v>0.0</v>
      </c>
      <c r="G120" s="246">
        <v>0.0</v>
      </c>
      <c r="H120" s="246">
        <v>0.0</v>
      </c>
      <c r="I120" s="246">
        <v>0.0</v>
      </c>
      <c r="J120" s="247">
        <v>0.0</v>
      </c>
      <c r="K120" s="268"/>
      <c r="L120" s="269"/>
      <c r="M120" s="250"/>
      <c r="N120" s="251"/>
      <c r="O120" s="250">
        <v>0.0</v>
      </c>
      <c r="P120" s="252">
        <v>0.0</v>
      </c>
      <c r="Q120" s="253" t="s">
        <v>1240</v>
      </c>
    </row>
    <row r="121">
      <c r="A121" s="242" t="s">
        <v>1279</v>
      </c>
      <c r="B121" s="270" t="s">
        <v>129</v>
      </c>
      <c r="C121" s="265" t="s">
        <v>1242</v>
      </c>
      <c r="D121" s="266">
        <v>7.0</v>
      </c>
      <c r="E121" s="267" t="s">
        <v>1107</v>
      </c>
      <c r="F121" s="246">
        <v>0.0</v>
      </c>
      <c r="G121" s="246">
        <v>0.0</v>
      </c>
      <c r="H121" s="246">
        <v>0.0</v>
      </c>
      <c r="I121" s="246">
        <v>0.0</v>
      </c>
      <c r="J121" s="247">
        <v>0.0</v>
      </c>
      <c r="K121" s="268"/>
      <c r="L121" s="269"/>
      <c r="M121" s="250"/>
      <c r="N121" s="251"/>
      <c r="O121" s="250">
        <v>0.0</v>
      </c>
      <c r="P121" s="252">
        <v>0.0</v>
      </c>
      <c r="Q121" s="253" t="s">
        <v>1243</v>
      </c>
    </row>
    <row r="122">
      <c r="A122" s="242" t="s">
        <v>1280</v>
      </c>
      <c r="B122" s="270" t="s">
        <v>129</v>
      </c>
      <c r="C122" s="265" t="s">
        <v>1245</v>
      </c>
      <c r="D122" s="266">
        <v>3.0</v>
      </c>
      <c r="E122" s="267" t="s">
        <v>1107</v>
      </c>
      <c r="F122" s="246">
        <v>0.0</v>
      </c>
      <c r="G122" s="246">
        <v>0.0</v>
      </c>
      <c r="H122" s="246">
        <v>0.0</v>
      </c>
      <c r="I122" s="246">
        <v>0.0</v>
      </c>
      <c r="J122" s="247">
        <v>0.0</v>
      </c>
      <c r="K122" s="268"/>
      <c r="L122" s="269"/>
      <c r="M122" s="250"/>
      <c r="N122" s="251"/>
      <c r="O122" s="250">
        <v>0.0</v>
      </c>
      <c r="P122" s="252">
        <v>0.0</v>
      </c>
      <c r="Q122" s="253" t="s">
        <v>1246</v>
      </c>
    </row>
    <row r="123">
      <c r="A123" s="256"/>
      <c r="B123" s="257"/>
      <c r="C123" s="258" t="s">
        <v>1168</v>
      </c>
      <c r="D123" s="235"/>
      <c r="E123" s="259"/>
      <c r="F123" s="260"/>
      <c r="G123" s="260"/>
      <c r="H123" s="260"/>
      <c r="I123" s="260"/>
      <c r="J123" s="260"/>
      <c r="K123" s="261"/>
      <c r="L123" s="262"/>
      <c r="M123" s="262"/>
      <c r="N123" s="262"/>
      <c r="O123" s="262"/>
      <c r="P123" s="262"/>
      <c r="Q123" s="263"/>
    </row>
    <row r="124">
      <c r="A124" s="242" t="s">
        <v>1281</v>
      </c>
      <c r="B124" s="270" t="s">
        <v>140</v>
      </c>
      <c r="C124" s="265" t="s">
        <v>1248</v>
      </c>
      <c r="D124" s="266">
        <v>2.0</v>
      </c>
      <c r="E124" s="267" t="s">
        <v>1107</v>
      </c>
      <c r="F124" s="246">
        <v>0.0</v>
      </c>
      <c r="G124" s="246">
        <v>0.0</v>
      </c>
      <c r="H124" s="246">
        <v>0.0</v>
      </c>
      <c r="I124" s="246">
        <v>0.0</v>
      </c>
      <c r="J124" s="247">
        <v>0.0</v>
      </c>
      <c r="K124" s="268"/>
      <c r="L124" s="269"/>
      <c r="M124" s="250"/>
      <c r="N124" s="251"/>
      <c r="O124" s="250">
        <v>0.0</v>
      </c>
      <c r="P124" s="252">
        <v>0.0</v>
      </c>
      <c r="Q124" s="253" t="s">
        <v>1249</v>
      </c>
    </row>
    <row r="125">
      <c r="A125" s="256"/>
      <c r="B125" s="257"/>
      <c r="C125" s="258" t="s">
        <v>1250</v>
      </c>
      <c r="D125" s="235"/>
      <c r="E125" s="259"/>
      <c r="F125" s="260"/>
      <c r="G125" s="260"/>
      <c r="H125" s="260"/>
      <c r="I125" s="260"/>
      <c r="J125" s="260"/>
      <c r="K125" s="261"/>
      <c r="L125" s="262"/>
      <c r="M125" s="262"/>
      <c r="N125" s="262"/>
      <c r="O125" s="262"/>
      <c r="P125" s="262"/>
      <c r="Q125" s="263"/>
    </row>
    <row r="126">
      <c r="A126" s="242" t="s">
        <v>1282</v>
      </c>
      <c r="B126" s="273">
        <v>46270.0</v>
      </c>
      <c r="C126" s="265" t="s">
        <v>1252</v>
      </c>
      <c r="D126" s="266">
        <v>2.0</v>
      </c>
      <c r="E126" s="267" t="s">
        <v>1107</v>
      </c>
      <c r="F126" s="246">
        <v>0.0</v>
      </c>
      <c r="G126" s="246">
        <v>0.0</v>
      </c>
      <c r="H126" s="246">
        <v>0.0</v>
      </c>
      <c r="I126" s="246">
        <v>0.0</v>
      </c>
      <c r="J126" s="247">
        <v>0.0</v>
      </c>
      <c r="K126" s="268"/>
      <c r="L126" s="269"/>
      <c r="M126" s="250"/>
      <c r="N126" s="251"/>
      <c r="O126" s="250">
        <v>0.0</v>
      </c>
      <c r="P126" s="252">
        <v>0.0</v>
      </c>
      <c r="Q126" s="253" t="s">
        <v>1253</v>
      </c>
    </row>
    <row r="127">
      <c r="A127" s="256"/>
      <c r="B127" s="257"/>
      <c r="C127" s="258" t="s">
        <v>1118</v>
      </c>
      <c r="D127" s="235"/>
      <c r="E127" s="259"/>
      <c r="F127" s="260"/>
      <c r="G127" s="260"/>
      <c r="H127" s="260"/>
      <c r="I127" s="260"/>
      <c r="J127" s="260"/>
      <c r="K127" s="261"/>
      <c r="L127" s="262"/>
      <c r="M127" s="262"/>
      <c r="N127" s="262"/>
      <c r="O127" s="262"/>
      <c r="P127" s="262"/>
      <c r="Q127" s="263"/>
    </row>
    <row r="128">
      <c r="A128" s="242" t="s">
        <v>1283</v>
      </c>
      <c r="B128" s="270" t="s">
        <v>121</v>
      </c>
      <c r="C128" s="265" t="s">
        <v>1120</v>
      </c>
      <c r="D128" s="266">
        <v>79.26</v>
      </c>
      <c r="E128" s="267" t="s">
        <v>1073</v>
      </c>
      <c r="F128" s="246">
        <v>0.0</v>
      </c>
      <c r="G128" s="246">
        <v>0.0</v>
      </c>
      <c r="H128" s="246">
        <v>0.0</v>
      </c>
      <c r="I128" s="246">
        <v>0.0</v>
      </c>
      <c r="J128" s="247">
        <v>0.0</v>
      </c>
      <c r="K128" s="268"/>
      <c r="L128" s="269"/>
      <c r="M128" s="250"/>
      <c r="N128" s="251"/>
      <c r="O128" s="250">
        <v>0.0</v>
      </c>
      <c r="P128" s="252">
        <v>0.0</v>
      </c>
      <c r="Q128" s="253" t="s">
        <v>1255</v>
      </c>
    </row>
    <row r="129">
      <c r="A129" s="256"/>
      <c r="B129" s="257"/>
      <c r="C129" s="258" t="s">
        <v>1122</v>
      </c>
      <c r="D129" s="235"/>
      <c r="E129" s="259"/>
      <c r="F129" s="260"/>
      <c r="G129" s="260"/>
      <c r="H129" s="260"/>
      <c r="I129" s="260"/>
      <c r="J129" s="260"/>
      <c r="K129" s="261"/>
      <c r="L129" s="262"/>
      <c r="M129" s="262"/>
      <c r="N129" s="262"/>
      <c r="O129" s="262"/>
      <c r="P129" s="262"/>
      <c r="Q129" s="263"/>
    </row>
    <row r="130">
      <c r="A130" s="242" t="s">
        <v>1284</v>
      </c>
      <c r="B130" s="270" t="s">
        <v>112</v>
      </c>
      <c r="C130" s="265" t="s">
        <v>1124</v>
      </c>
      <c r="D130" s="266">
        <v>51.79</v>
      </c>
      <c r="E130" s="267" t="s">
        <v>1073</v>
      </c>
      <c r="F130" s="246">
        <v>0.0</v>
      </c>
      <c r="G130" s="246">
        <v>0.0</v>
      </c>
      <c r="H130" s="246">
        <v>0.0</v>
      </c>
      <c r="I130" s="246">
        <v>0.0</v>
      </c>
      <c r="J130" s="247">
        <v>0.0</v>
      </c>
      <c r="K130" s="268"/>
      <c r="L130" s="269"/>
      <c r="M130" s="250"/>
      <c r="N130" s="251"/>
      <c r="O130" s="250">
        <v>0.0</v>
      </c>
      <c r="P130" s="252">
        <v>0.0</v>
      </c>
      <c r="Q130" s="253" t="s">
        <v>1260</v>
      </c>
    </row>
    <row r="131">
      <c r="A131" s="256"/>
      <c r="B131" s="257"/>
      <c r="C131" s="258" t="s">
        <v>1126</v>
      </c>
      <c r="D131" s="235"/>
      <c r="E131" s="259"/>
      <c r="F131" s="260"/>
      <c r="G131" s="260"/>
      <c r="H131" s="260"/>
      <c r="I131" s="260"/>
      <c r="J131" s="260"/>
      <c r="K131" s="261"/>
      <c r="L131" s="262"/>
      <c r="M131" s="262"/>
      <c r="N131" s="262"/>
      <c r="O131" s="262"/>
      <c r="P131" s="262"/>
      <c r="Q131" s="263"/>
    </row>
    <row r="132">
      <c r="A132" s="242" t="s">
        <v>1285</v>
      </c>
      <c r="B132" s="264" t="s">
        <v>116</v>
      </c>
      <c r="C132" s="265" t="s">
        <v>1128</v>
      </c>
      <c r="D132" s="266">
        <v>51.79</v>
      </c>
      <c r="E132" s="267" t="s">
        <v>1073</v>
      </c>
      <c r="F132" s="246">
        <v>0.0</v>
      </c>
      <c r="G132" s="246">
        <v>0.0</v>
      </c>
      <c r="H132" s="246">
        <v>0.0</v>
      </c>
      <c r="I132" s="246">
        <v>0.0</v>
      </c>
      <c r="J132" s="247">
        <v>0.0</v>
      </c>
      <c r="K132" s="268"/>
      <c r="L132" s="269"/>
      <c r="M132" s="250"/>
      <c r="N132" s="251"/>
      <c r="O132" s="250">
        <v>0.0</v>
      </c>
      <c r="P132" s="252">
        <v>0.0</v>
      </c>
      <c r="Q132" s="253" t="s">
        <v>1262</v>
      </c>
    </row>
    <row r="133">
      <c r="A133" s="256"/>
      <c r="B133" s="257"/>
      <c r="C133" s="258" t="s">
        <v>1185</v>
      </c>
      <c r="D133" s="235"/>
      <c r="E133" s="259"/>
      <c r="F133" s="260"/>
      <c r="G133" s="260"/>
      <c r="H133" s="260"/>
      <c r="I133" s="260"/>
      <c r="J133" s="260"/>
      <c r="K133" s="261"/>
      <c r="L133" s="262"/>
      <c r="M133" s="262"/>
      <c r="N133" s="262"/>
      <c r="O133" s="262"/>
      <c r="P133" s="262"/>
      <c r="Q133" s="263"/>
    </row>
    <row r="134">
      <c r="A134" s="242" t="s">
        <v>1277</v>
      </c>
      <c r="B134" s="270" t="s">
        <v>125</v>
      </c>
      <c r="C134" s="265" t="s">
        <v>1268</v>
      </c>
      <c r="D134" s="266">
        <v>1.0</v>
      </c>
      <c r="E134" s="267" t="s">
        <v>1107</v>
      </c>
      <c r="F134" s="246">
        <v>0.0</v>
      </c>
      <c r="G134" s="246">
        <v>0.0</v>
      </c>
      <c r="H134" s="246">
        <v>0.0</v>
      </c>
      <c r="I134" s="246">
        <v>0.0</v>
      </c>
      <c r="J134" s="247">
        <v>0.0</v>
      </c>
      <c r="K134" s="268"/>
      <c r="L134" s="269"/>
      <c r="M134" s="250"/>
      <c r="N134" s="251"/>
      <c r="O134" s="250">
        <v>0.0</v>
      </c>
      <c r="P134" s="252">
        <v>0.0</v>
      </c>
      <c r="Q134" s="253" t="s">
        <v>1267</v>
      </c>
    </row>
    <row r="135">
      <c r="A135" s="220"/>
      <c r="B135" s="221"/>
      <c r="C135" s="222" t="s">
        <v>1286</v>
      </c>
      <c r="D135" s="223"/>
      <c r="E135" s="224"/>
      <c r="F135" s="224"/>
      <c r="G135" s="225"/>
      <c r="H135" s="226"/>
      <c r="I135" s="227"/>
      <c r="J135" s="228">
        <v>0.0</v>
      </c>
      <c r="K135" s="224"/>
      <c r="L135" s="226"/>
      <c r="M135" s="229"/>
      <c r="N135" s="230"/>
      <c r="O135" s="227"/>
      <c r="P135" s="231">
        <v>0.0</v>
      </c>
      <c r="Q135" s="231"/>
    </row>
    <row r="136">
      <c r="A136" s="232"/>
      <c r="B136" s="233"/>
      <c r="C136" s="234" t="s">
        <v>1070</v>
      </c>
      <c r="D136" s="235"/>
      <c r="E136" s="236"/>
      <c r="F136" s="237"/>
      <c r="G136" s="237"/>
      <c r="H136" s="237"/>
      <c r="I136" s="237"/>
      <c r="J136" s="238"/>
      <c r="K136" s="239"/>
      <c r="L136" s="240"/>
      <c r="M136" s="240"/>
      <c r="N136" s="240"/>
      <c r="O136" s="240"/>
      <c r="P136" s="240"/>
      <c r="Q136" s="241"/>
    </row>
    <row r="137">
      <c r="A137" s="242" t="s">
        <v>1287</v>
      </c>
      <c r="B137" s="255">
        <v>46083.0</v>
      </c>
      <c r="C137" s="244" t="s">
        <v>1136</v>
      </c>
      <c r="D137" s="245">
        <v>16.119</v>
      </c>
      <c r="E137" s="242" t="s">
        <v>1073</v>
      </c>
      <c r="F137" s="246">
        <v>0.0</v>
      </c>
      <c r="G137" s="246">
        <v>0.0</v>
      </c>
      <c r="H137" s="246">
        <v>0.0</v>
      </c>
      <c r="I137" s="246">
        <v>0.0</v>
      </c>
      <c r="J137" s="247">
        <v>0.0</v>
      </c>
      <c r="K137" s="248"/>
      <c r="L137" s="249"/>
      <c r="M137" s="250"/>
      <c r="N137" s="251"/>
      <c r="O137" s="250">
        <v>0.0</v>
      </c>
      <c r="P137" s="252">
        <v>0.0</v>
      </c>
      <c r="Q137" s="253" t="s">
        <v>1288</v>
      </c>
    </row>
    <row r="138">
      <c r="A138" s="242" t="s">
        <v>1289</v>
      </c>
      <c r="B138" s="254" t="s">
        <v>124</v>
      </c>
      <c r="C138" s="244" t="s">
        <v>1076</v>
      </c>
      <c r="D138" s="245">
        <v>1.0</v>
      </c>
      <c r="E138" s="242" t="s">
        <v>1077</v>
      </c>
      <c r="F138" s="246">
        <v>0.0</v>
      </c>
      <c r="G138" s="246">
        <v>0.0</v>
      </c>
      <c r="H138" s="246">
        <v>0.0</v>
      </c>
      <c r="I138" s="246">
        <v>0.0</v>
      </c>
      <c r="J138" s="247">
        <v>0.0</v>
      </c>
      <c r="K138" s="248"/>
      <c r="L138" s="249"/>
      <c r="M138" s="250"/>
      <c r="N138" s="251"/>
      <c r="O138" s="250">
        <v>0.0</v>
      </c>
      <c r="P138" s="252">
        <v>0.0</v>
      </c>
      <c r="Q138" s="253" t="s">
        <v>1290</v>
      </c>
    </row>
    <row r="139">
      <c r="A139" s="242" t="s">
        <v>1291</v>
      </c>
      <c r="B139" s="255">
        <v>46179.0</v>
      </c>
      <c r="C139" s="244" t="s">
        <v>1214</v>
      </c>
      <c r="D139" s="245">
        <v>1.0</v>
      </c>
      <c r="E139" s="242" t="s">
        <v>1077</v>
      </c>
      <c r="F139" s="246">
        <v>0.0</v>
      </c>
      <c r="G139" s="246">
        <v>0.0</v>
      </c>
      <c r="H139" s="246">
        <v>0.0</v>
      </c>
      <c r="I139" s="246">
        <v>0.0</v>
      </c>
      <c r="J139" s="247">
        <v>0.0</v>
      </c>
      <c r="K139" s="248"/>
      <c r="L139" s="249"/>
      <c r="M139" s="250"/>
      <c r="N139" s="251"/>
      <c r="O139" s="250">
        <v>0.0</v>
      </c>
      <c r="P139" s="252">
        <v>0.0</v>
      </c>
      <c r="Q139" s="253" t="s">
        <v>1292</v>
      </c>
    </row>
    <row r="140">
      <c r="A140" s="242" t="s">
        <v>1293</v>
      </c>
      <c r="B140" s="255">
        <v>46031.0</v>
      </c>
      <c r="C140" s="244" t="s">
        <v>1220</v>
      </c>
      <c r="D140" s="245">
        <v>1.0</v>
      </c>
      <c r="E140" s="242" t="s">
        <v>1107</v>
      </c>
      <c r="F140" s="246">
        <v>0.0</v>
      </c>
      <c r="G140" s="246">
        <v>0.0</v>
      </c>
      <c r="H140" s="246">
        <v>0.0</v>
      </c>
      <c r="I140" s="246">
        <v>0.0</v>
      </c>
      <c r="J140" s="247">
        <v>0.0</v>
      </c>
      <c r="K140" s="248"/>
      <c r="L140" s="249"/>
      <c r="M140" s="250"/>
      <c r="N140" s="251"/>
      <c r="O140" s="250">
        <v>0.0</v>
      </c>
      <c r="P140" s="252">
        <v>0.0</v>
      </c>
      <c r="Q140" s="253" t="s">
        <v>1294</v>
      </c>
    </row>
    <row r="141">
      <c r="A141" s="256"/>
      <c r="B141" s="257"/>
      <c r="C141" s="258" t="s">
        <v>1082</v>
      </c>
      <c r="D141" s="235"/>
      <c r="E141" s="259"/>
      <c r="F141" s="260"/>
      <c r="G141" s="260"/>
      <c r="H141" s="260"/>
      <c r="I141" s="260"/>
      <c r="J141" s="260"/>
      <c r="K141" s="261"/>
      <c r="L141" s="262"/>
      <c r="M141" s="262"/>
      <c r="N141" s="262"/>
      <c r="O141" s="262"/>
      <c r="P141" s="262"/>
      <c r="Q141" s="263"/>
    </row>
    <row r="142">
      <c r="A142" s="242" t="s">
        <v>1295</v>
      </c>
      <c r="B142" s="270" t="s">
        <v>142</v>
      </c>
      <c r="C142" s="265" t="s">
        <v>1087</v>
      </c>
      <c r="D142" s="266">
        <v>1.785</v>
      </c>
      <c r="E142" s="271" t="s">
        <v>1073</v>
      </c>
      <c r="F142" s="246">
        <v>0.0</v>
      </c>
      <c r="G142" s="246">
        <v>0.0</v>
      </c>
      <c r="H142" s="246">
        <v>0.0</v>
      </c>
      <c r="I142" s="246">
        <v>0.0</v>
      </c>
      <c r="J142" s="247">
        <v>0.0</v>
      </c>
      <c r="K142" s="268"/>
      <c r="L142" s="269"/>
      <c r="M142" s="250"/>
      <c r="N142" s="251"/>
      <c r="O142" s="250">
        <v>0.0</v>
      </c>
      <c r="P142" s="252">
        <v>0.0</v>
      </c>
      <c r="Q142" s="253" t="s">
        <v>1296</v>
      </c>
    </row>
    <row r="143" ht="18.75" customHeight="1">
      <c r="A143" s="242" t="s">
        <v>1297</v>
      </c>
      <c r="B143" s="273">
        <v>46024.0</v>
      </c>
      <c r="C143" s="265" t="s">
        <v>1102</v>
      </c>
      <c r="D143" s="266">
        <v>70.37</v>
      </c>
      <c r="E143" s="267" t="s">
        <v>1073</v>
      </c>
      <c r="F143" s="246">
        <v>0.0</v>
      </c>
      <c r="G143" s="246">
        <v>0.0</v>
      </c>
      <c r="H143" s="246">
        <v>0.0</v>
      </c>
      <c r="I143" s="246">
        <v>0.0</v>
      </c>
      <c r="J143" s="247">
        <v>0.0</v>
      </c>
      <c r="K143" s="268"/>
      <c r="L143" s="269"/>
      <c r="M143" s="250"/>
      <c r="N143" s="251"/>
      <c r="O143" s="250">
        <v>0.0</v>
      </c>
      <c r="P143" s="252">
        <v>0.0</v>
      </c>
      <c r="Q143" s="253" t="s">
        <v>1298</v>
      </c>
    </row>
    <row r="144">
      <c r="A144" s="242" t="s">
        <v>1299</v>
      </c>
      <c r="B144" s="272">
        <v>46361.0</v>
      </c>
      <c r="C144" s="265" t="s">
        <v>1099</v>
      </c>
      <c r="D144" s="266">
        <v>107.112</v>
      </c>
      <c r="E144" s="267" t="s">
        <v>1073</v>
      </c>
      <c r="F144" s="246">
        <v>0.0</v>
      </c>
      <c r="G144" s="246">
        <v>0.0</v>
      </c>
      <c r="H144" s="246">
        <v>0.0</v>
      </c>
      <c r="I144" s="246">
        <v>0.0</v>
      </c>
      <c r="J144" s="247">
        <v>0.0</v>
      </c>
      <c r="K144" s="268"/>
      <c r="L144" s="269"/>
      <c r="M144" s="250"/>
      <c r="N144" s="251"/>
      <c r="O144" s="250">
        <v>0.0</v>
      </c>
      <c r="P144" s="252">
        <v>0.0</v>
      </c>
      <c r="Q144" s="253" t="s">
        <v>1300</v>
      </c>
    </row>
    <row r="145">
      <c r="A145" s="242" t="s">
        <v>1299</v>
      </c>
      <c r="B145" s="270" t="s">
        <v>142</v>
      </c>
      <c r="C145" s="265" t="s">
        <v>1301</v>
      </c>
      <c r="D145" s="266">
        <v>70.37</v>
      </c>
      <c r="E145" s="267" t="s">
        <v>1073</v>
      </c>
      <c r="F145" s="246">
        <v>0.0</v>
      </c>
      <c r="G145" s="246">
        <v>0.0</v>
      </c>
      <c r="H145" s="246">
        <v>0.0</v>
      </c>
      <c r="I145" s="246">
        <v>0.0</v>
      </c>
      <c r="J145" s="247">
        <v>0.0</v>
      </c>
      <c r="K145" s="268"/>
      <c r="L145" s="269"/>
      <c r="M145" s="250"/>
      <c r="N145" s="251"/>
      <c r="O145" s="250">
        <v>0.0</v>
      </c>
      <c r="P145" s="252">
        <v>0.0</v>
      </c>
      <c r="Q145" s="253" t="s">
        <v>1302</v>
      </c>
    </row>
    <row r="146">
      <c r="A146" s="256"/>
      <c r="B146" s="257"/>
      <c r="C146" s="258" t="s">
        <v>1160</v>
      </c>
      <c r="D146" s="235"/>
      <c r="E146" s="259"/>
      <c r="F146" s="260"/>
      <c r="G146" s="260"/>
      <c r="H146" s="260"/>
      <c r="I146" s="260"/>
      <c r="J146" s="260"/>
      <c r="K146" s="261"/>
      <c r="L146" s="262"/>
      <c r="M146" s="262"/>
      <c r="N146" s="262"/>
      <c r="O146" s="262"/>
      <c r="P146" s="262"/>
      <c r="Q146" s="263"/>
    </row>
    <row r="147">
      <c r="A147" s="242" t="s">
        <v>1303</v>
      </c>
      <c r="B147" s="270" t="s">
        <v>137</v>
      </c>
      <c r="C147" s="265" t="s">
        <v>1304</v>
      </c>
      <c r="D147" s="266">
        <v>28.19</v>
      </c>
      <c r="E147" s="267" t="s">
        <v>1305</v>
      </c>
      <c r="F147" s="246">
        <v>0.0</v>
      </c>
      <c r="G147" s="246">
        <v>0.0</v>
      </c>
      <c r="H147" s="246">
        <v>0.0</v>
      </c>
      <c r="I147" s="246">
        <v>0.0</v>
      </c>
      <c r="J147" s="247">
        <v>0.0</v>
      </c>
      <c r="K147" s="268"/>
      <c r="L147" s="269"/>
      <c r="M147" s="250"/>
      <c r="N147" s="251"/>
      <c r="O147" s="250">
        <v>0.0</v>
      </c>
      <c r="P147" s="252">
        <v>0.0</v>
      </c>
      <c r="Q147" s="253" t="s">
        <v>1306</v>
      </c>
    </row>
    <row r="148">
      <c r="A148" s="256"/>
      <c r="B148" s="257"/>
      <c r="C148" s="258" t="s">
        <v>1118</v>
      </c>
      <c r="D148" s="235"/>
      <c r="E148" s="259"/>
      <c r="F148" s="260"/>
      <c r="G148" s="260"/>
      <c r="H148" s="260"/>
      <c r="I148" s="260"/>
      <c r="J148" s="260"/>
      <c r="K148" s="261"/>
      <c r="L148" s="262"/>
      <c r="M148" s="262"/>
      <c r="N148" s="262"/>
      <c r="O148" s="262"/>
      <c r="P148" s="262"/>
      <c r="Q148" s="263"/>
    </row>
    <row r="149">
      <c r="A149" s="242" t="s">
        <v>1307</v>
      </c>
      <c r="B149" s="270" t="s">
        <v>121</v>
      </c>
      <c r="C149" s="265" t="s">
        <v>1257</v>
      </c>
      <c r="D149" s="266">
        <v>107.11</v>
      </c>
      <c r="E149" s="267" t="s">
        <v>1073</v>
      </c>
      <c r="F149" s="246">
        <v>0.0</v>
      </c>
      <c r="G149" s="246">
        <v>0.0</v>
      </c>
      <c r="H149" s="246">
        <v>0.0</v>
      </c>
      <c r="I149" s="246">
        <v>0.0</v>
      </c>
      <c r="J149" s="247">
        <v>0.0</v>
      </c>
      <c r="K149" s="268"/>
      <c r="L149" s="269"/>
      <c r="M149" s="250"/>
      <c r="N149" s="251"/>
      <c r="O149" s="250">
        <v>0.0</v>
      </c>
      <c r="P149" s="252">
        <v>0.0</v>
      </c>
      <c r="Q149" s="253" t="s">
        <v>1308</v>
      </c>
    </row>
    <row r="150">
      <c r="A150" s="256"/>
      <c r="B150" s="257"/>
      <c r="C150" s="258" t="s">
        <v>1126</v>
      </c>
      <c r="D150" s="235"/>
      <c r="E150" s="259"/>
      <c r="F150" s="260"/>
      <c r="G150" s="260"/>
      <c r="H150" s="260"/>
      <c r="I150" s="260"/>
      <c r="J150" s="260"/>
      <c r="K150" s="261"/>
      <c r="L150" s="262"/>
      <c r="M150" s="262"/>
      <c r="N150" s="262"/>
      <c r="O150" s="262"/>
      <c r="P150" s="262"/>
      <c r="Q150" s="263"/>
    </row>
    <row r="151">
      <c r="A151" s="242" t="s">
        <v>1309</v>
      </c>
      <c r="B151" s="264" t="s">
        <v>119</v>
      </c>
      <c r="C151" s="265" t="s">
        <v>1310</v>
      </c>
      <c r="D151" s="266">
        <v>39.05</v>
      </c>
      <c r="E151" s="267" t="s">
        <v>1073</v>
      </c>
      <c r="F151" s="246">
        <v>0.0</v>
      </c>
      <c r="G151" s="246">
        <v>0.0</v>
      </c>
      <c r="H151" s="246">
        <v>0.0</v>
      </c>
      <c r="I151" s="246">
        <v>0.0</v>
      </c>
      <c r="J151" s="247">
        <v>0.0</v>
      </c>
      <c r="K151" s="268"/>
      <c r="L151" s="269"/>
      <c r="M151" s="250"/>
      <c r="N151" s="251"/>
      <c r="O151" s="250">
        <v>0.0</v>
      </c>
      <c r="P151" s="252">
        <v>0.0</v>
      </c>
      <c r="Q151" s="253" t="s">
        <v>1311</v>
      </c>
    </row>
    <row r="152">
      <c r="A152" s="242" t="s">
        <v>1312</v>
      </c>
      <c r="B152" s="264" t="s">
        <v>116</v>
      </c>
      <c r="C152" s="265" t="s">
        <v>1264</v>
      </c>
      <c r="D152" s="266">
        <v>31.32</v>
      </c>
      <c r="E152" s="267" t="s">
        <v>1073</v>
      </c>
      <c r="F152" s="246">
        <v>0.0</v>
      </c>
      <c r="G152" s="246">
        <v>0.0</v>
      </c>
      <c r="H152" s="246">
        <v>0.0</v>
      </c>
      <c r="I152" s="246">
        <v>0.0</v>
      </c>
      <c r="J152" s="247">
        <v>0.0</v>
      </c>
      <c r="K152" s="268"/>
      <c r="L152" s="269"/>
      <c r="M152" s="250"/>
      <c r="N152" s="251"/>
      <c r="O152" s="250">
        <v>0.0</v>
      </c>
      <c r="P152" s="252">
        <v>0.0</v>
      </c>
      <c r="Q152" s="253" t="s">
        <v>1313</v>
      </c>
    </row>
    <row r="153">
      <c r="A153" s="220"/>
      <c r="B153" s="221"/>
      <c r="C153" s="222" t="s">
        <v>1314</v>
      </c>
      <c r="D153" s="223"/>
      <c r="E153" s="224"/>
      <c r="F153" s="224"/>
      <c r="G153" s="225"/>
      <c r="H153" s="226"/>
      <c r="I153" s="227"/>
      <c r="J153" s="228">
        <v>0.0</v>
      </c>
      <c r="K153" s="224"/>
      <c r="L153" s="226"/>
      <c r="M153" s="229"/>
      <c r="N153" s="230"/>
      <c r="O153" s="227"/>
      <c r="P153" s="231">
        <v>0.0</v>
      </c>
      <c r="Q153" s="231"/>
    </row>
    <row r="154">
      <c r="A154" s="256"/>
      <c r="B154" s="257"/>
      <c r="C154" s="258" t="s">
        <v>1082</v>
      </c>
      <c r="D154" s="235"/>
      <c r="E154" s="259"/>
      <c r="F154" s="260"/>
      <c r="G154" s="260"/>
      <c r="H154" s="260"/>
      <c r="I154" s="260"/>
      <c r="J154" s="260"/>
      <c r="K154" s="261"/>
      <c r="L154" s="262"/>
      <c r="M154" s="262"/>
      <c r="N154" s="262"/>
      <c r="O154" s="262"/>
      <c r="P154" s="262"/>
      <c r="Q154" s="263"/>
    </row>
    <row r="155">
      <c r="A155" s="242" t="s">
        <v>1315</v>
      </c>
      <c r="B155" s="270" t="s">
        <v>109</v>
      </c>
      <c r="C155" s="265" t="s">
        <v>1090</v>
      </c>
      <c r="D155" s="266">
        <v>15.3076</v>
      </c>
      <c r="E155" s="267" t="s">
        <v>1073</v>
      </c>
      <c r="F155" s="246">
        <v>0.0</v>
      </c>
      <c r="G155" s="246">
        <v>0.0</v>
      </c>
      <c r="H155" s="246">
        <v>0.0</v>
      </c>
      <c r="I155" s="246">
        <v>0.0</v>
      </c>
      <c r="J155" s="247">
        <v>0.0</v>
      </c>
      <c r="K155" s="268"/>
      <c r="L155" s="269"/>
      <c r="M155" s="250"/>
      <c r="N155" s="251"/>
      <c r="O155" s="250">
        <v>0.0</v>
      </c>
      <c r="P155" s="252">
        <v>0.0</v>
      </c>
      <c r="Q155" s="253" t="s">
        <v>1316</v>
      </c>
    </row>
    <row r="156">
      <c r="A156" s="242" t="s">
        <v>1317</v>
      </c>
      <c r="B156" s="272">
        <v>46209.0</v>
      </c>
      <c r="C156" s="265" t="s">
        <v>1093</v>
      </c>
      <c r="D156" s="266">
        <v>5.75</v>
      </c>
      <c r="E156" s="267" t="s">
        <v>1073</v>
      </c>
      <c r="F156" s="246">
        <v>0.0</v>
      </c>
      <c r="G156" s="246">
        <v>0.0</v>
      </c>
      <c r="H156" s="246">
        <v>0.0</v>
      </c>
      <c r="I156" s="246">
        <v>0.0</v>
      </c>
      <c r="J156" s="247">
        <v>0.0</v>
      </c>
      <c r="K156" s="268"/>
      <c r="L156" s="269"/>
      <c r="M156" s="250"/>
      <c r="N156" s="251"/>
      <c r="O156" s="250">
        <v>0.0</v>
      </c>
      <c r="P156" s="252">
        <v>0.0</v>
      </c>
      <c r="Q156" s="253" t="s">
        <v>1318</v>
      </c>
    </row>
    <row r="157">
      <c r="A157" s="242" t="s">
        <v>1319</v>
      </c>
      <c r="B157" s="264" t="s">
        <v>111</v>
      </c>
      <c r="C157" s="265" t="s">
        <v>1096</v>
      </c>
      <c r="D157" s="266">
        <v>42.12</v>
      </c>
      <c r="E157" s="267" t="s">
        <v>1073</v>
      </c>
      <c r="F157" s="246">
        <v>0.0</v>
      </c>
      <c r="G157" s="246">
        <v>0.0</v>
      </c>
      <c r="H157" s="246">
        <v>0.0</v>
      </c>
      <c r="I157" s="246">
        <v>0.0</v>
      </c>
      <c r="J157" s="247">
        <v>0.0</v>
      </c>
      <c r="K157" s="268"/>
      <c r="L157" s="269"/>
      <c r="M157" s="250"/>
      <c r="N157" s="251"/>
      <c r="O157" s="250">
        <v>0.0</v>
      </c>
      <c r="P157" s="252">
        <v>0.0</v>
      </c>
      <c r="Q157" s="253" t="s">
        <v>1320</v>
      </c>
    </row>
    <row r="158">
      <c r="A158" s="256"/>
      <c r="B158" s="257"/>
      <c r="C158" s="258" t="s">
        <v>1160</v>
      </c>
      <c r="D158" s="235"/>
      <c r="E158" s="259"/>
      <c r="F158" s="260"/>
      <c r="G158" s="260"/>
      <c r="H158" s="260"/>
      <c r="I158" s="260"/>
      <c r="J158" s="260"/>
      <c r="K158" s="261"/>
      <c r="L158" s="262"/>
      <c r="M158" s="262"/>
      <c r="N158" s="262"/>
      <c r="O158" s="262"/>
      <c r="P158" s="262"/>
      <c r="Q158" s="263"/>
    </row>
    <row r="159">
      <c r="A159" s="275" t="s">
        <v>1321</v>
      </c>
      <c r="B159" s="270" t="s">
        <v>129</v>
      </c>
      <c r="C159" s="276" t="s">
        <v>1322</v>
      </c>
      <c r="D159" s="277">
        <v>1.0</v>
      </c>
      <c r="E159" s="278" t="s">
        <v>1116</v>
      </c>
      <c r="F159" s="246">
        <v>0.0</v>
      </c>
      <c r="G159" s="246">
        <v>0.0</v>
      </c>
      <c r="H159" s="246">
        <v>0.0</v>
      </c>
      <c r="I159" s="246">
        <v>0.0</v>
      </c>
      <c r="J159" s="247">
        <v>0.0</v>
      </c>
      <c r="K159" s="268"/>
      <c r="L159" s="269"/>
      <c r="M159" s="250"/>
      <c r="N159" s="251"/>
      <c r="O159" s="250">
        <v>0.0</v>
      </c>
      <c r="P159" s="252">
        <v>0.0</v>
      </c>
      <c r="Q159" s="253" t="s">
        <v>1323</v>
      </c>
    </row>
    <row r="160">
      <c r="A160" s="275" t="s">
        <v>1324</v>
      </c>
      <c r="B160" s="264" t="s">
        <v>104</v>
      </c>
      <c r="C160" s="276" t="s">
        <v>1325</v>
      </c>
      <c r="D160" s="277">
        <v>1.0</v>
      </c>
      <c r="E160" s="278" t="s">
        <v>1116</v>
      </c>
      <c r="F160" s="246">
        <v>0.0</v>
      </c>
      <c r="G160" s="246">
        <v>0.0</v>
      </c>
      <c r="H160" s="246">
        <v>0.0</v>
      </c>
      <c r="I160" s="246">
        <v>0.0</v>
      </c>
      <c r="J160" s="247">
        <v>0.0</v>
      </c>
      <c r="K160" s="268"/>
      <c r="L160" s="269"/>
      <c r="M160" s="250"/>
      <c r="N160" s="251"/>
      <c r="O160" s="250">
        <v>0.0</v>
      </c>
      <c r="P160" s="252">
        <v>0.0</v>
      </c>
      <c r="Q160" s="253" t="s">
        <v>1326</v>
      </c>
    </row>
    <row r="161">
      <c r="A161" s="242" t="s">
        <v>1327</v>
      </c>
      <c r="B161" s="273">
        <v>46035.0</v>
      </c>
      <c r="C161" s="265" t="s">
        <v>1328</v>
      </c>
      <c r="D161" s="266">
        <v>1.0</v>
      </c>
      <c r="E161" s="267" t="s">
        <v>1107</v>
      </c>
      <c r="F161" s="246">
        <v>0.0</v>
      </c>
      <c r="G161" s="246">
        <v>0.0</v>
      </c>
      <c r="H161" s="246">
        <v>0.0</v>
      </c>
      <c r="I161" s="246">
        <v>0.0</v>
      </c>
      <c r="J161" s="247">
        <v>0.0</v>
      </c>
      <c r="K161" s="268"/>
      <c r="L161" s="269"/>
      <c r="M161" s="250"/>
      <c r="N161" s="251"/>
      <c r="O161" s="250">
        <v>0.0</v>
      </c>
      <c r="P161" s="252">
        <v>0.0</v>
      </c>
      <c r="Q161" s="253" t="s">
        <v>1329</v>
      </c>
    </row>
    <row r="162">
      <c r="A162" s="256"/>
      <c r="B162" s="257"/>
      <c r="C162" s="258" t="s">
        <v>1118</v>
      </c>
      <c r="D162" s="235"/>
      <c r="E162" s="259"/>
      <c r="F162" s="260"/>
      <c r="G162" s="260"/>
      <c r="H162" s="260"/>
      <c r="I162" s="260"/>
      <c r="J162" s="260"/>
      <c r="K162" s="261"/>
      <c r="L162" s="262"/>
      <c r="M162" s="262"/>
      <c r="N162" s="262"/>
      <c r="O162" s="262"/>
      <c r="P162" s="262"/>
      <c r="Q162" s="263"/>
    </row>
    <row r="163">
      <c r="A163" s="242" t="s">
        <v>1330</v>
      </c>
      <c r="B163" s="270" t="s">
        <v>121</v>
      </c>
      <c r="C163" s="265" t="s">
        <v>1120</v>
      </c>
      <c r="D163" s="266">
        <v>52.68235</v>
      </c>
      <c r="E163" s="267" t="s">
        <v>1073</v>
      </c>
      <c r="F163" s="246">
        <v>0.0</v>
      </c>
      <c r="G163" s="246">
        <v>0.0</v>
      </c>
      <c r="H163" s="246">
        <v>0.0</v>
      </c>
      <c r="I163" s="246">
        <v>0.0</v>
      </c>
      <c r="J163" s="247">
        <v>0.0</v>
      </c>
      <c r="K163" s="268"/>
      <c r="L163" s="269"/>
      <c r="M163" s="250"/>
      <c r="N163" s="251"/>
      <c r="O163" s="250">
        <v>0.0</v>
      </c>
      <c r="P163" s="252">
        <v>0.0</v>
      </c>
      <c r="Q163" s="253" t="s">
        <v>1331</v>
      </c>
    </row>
    <row r="164">
      <c r="A164" s="256"/>
      <c r="B164" s="257"/>
      <c r="C164" s="258" t="s">
        <v>1122</v>
      </c>
      <c r="D164" s="235"/>
      <c r="E164" s="259"/>
      <c r="F164" s="260"/>
      <c r="G164" s="260"/>
      <c r="H164" s="260"/>
      <c r="I164" s="260"/>
      <c r="J164" s="260"/>
      <c r="K164" s="261"/>
      <c r="L164" s="262"/>
      <c r="M164" s="262"/>
      <c r="N164" s="262"/>
      <c r="O164" s="262"/>
      <c r="P164" s="262"/>
      <c r="Q164" s="263"/>
    </row>
    <row r="165">
      <c r="A165" s="242" t="s">
        <v>1123</v>
      </c>
      <c r="B165" s="270" t="s">
        <v>112</v>
      </c>
      <c r="C165" s="265" t="s">
        <v>1124</v>
      </c>
      <c r="D165" s="266">
        <v>20.25</v>
      </c>
      <c r="E165" s="267" t="s">
        <v>1073</v>
      </c>
      <c r="F165" s="246">
        <v>0.0</v>
      </c>
      <c r="G165" s="246">
        <v>0.0</v>
      </c>
      <c r="H165" s="246">
        <v>0.0</v>
      </c>
      <c r="I165" s="246">
        <v>0.0</v>
      </c>
      <c r="J165" s="247">
        <v>0.0</v>
      </c>
      <c r="K165" s="268"/>
      <c r="L165" s="269"/>
      <c r="M165" s="250"/>
      <c r="N165" s="251"/>
      <c r="O165" s="250">
        <v>0.0</v>
      </c>
      <c r="P165" s="252">
        <v>0.0</v>
      </c>
      <c r="Q165" s="253" t="s">
        <v>1332</v>
      </c>
    </row>
    <row r="166">
      <c r="A166" s="256"/>
      <c r="B166" s="257"/>
      <c r="C166" s="258" t="s">
        <v>1126</v>
      </c>
      <c r="D166" s="235"/>
      <c r="E166" s="259"/>
      <c r="F166" s="260"/>
      <c r="G166" s="260"/>
      <c r="H166" s="260"/>
      <c r="I166" s="260"/>
      <c r="J166" s="260"/>
      <c r="K166" s="261"/>
      <c r="L166" s="262"/>
      <c r="M166" s="262"/>
      <c r="N166" s="262"/>
      <c r="O166" s="262"/>
      <c r="P166" s="262"/>
      <c r="Q166" s="263"/>
    </row>
    <row r="167">
      <c r="A167" s="242" t="s">
        <v>1333</v>
      </c>
      <c r="B167" s="264" t="s">
        <v>116</v>
      </c>
      <c r="C167" s="265" t="s">
        <v>1128</v>
      </c>
      <c r="D167" s="266">
        <v>20.25</v>
      </c>
      <c r="E167" s="267" t="s">
        <v>1073</v>
      </c>
      <c r="F167" s="246">
        <v>0.0</v>
      </c>
      <c r="G167" s="246">
        <v>0.0</v>
      </c>
      <c r="H167" s="246">
        <v>0.0</v>
      </c>
      <c r="I167" s="246">
        <v>0.0</v>
      </c>
      <c r="J167" s="247">
        <v>0.0</v>
      </c>
      <c r="K167" s="268"/>
      <c r="L167" s="269"/>
      <c r="M167" s="250"/>
      <c r="N167" s="251"/>
      <c r="O167" s="250">
        <v>0.0</v>
      </c>
      <c r="P167" s="252">
        <v>0.0</v>
      </c>
      <c r="Q167" s="253" t="s">
        <v>1334</v>
      </c>
    </row>
    <row r="168">
      <c r="A168" s="256"/>
      <c r="B168" s="257"/>
      <c r="C168" s="258" t="s">
        <v>1130</v>
      </c>
      <c r="D168" s="235"/>
      <c r="E168" s="259"/>
      <c r="F168" s="260"/>
      <c r="G168" s="260"/>
      <c r="H168" s="260"/>
      <c r="I168" s="260"/>
      <c r="J168" s="260"/>
      <c r="K168" s="261"/>
      <c r="L168" s="262"/>
      <c r="M168" s="262"/>
      <c r="N168" s="262"/>
      <c r="O168" s="262"/>
      <c r="P168" s="262"/>
      <c r="Q168" s="263"/>
    </row>
    <row r="169">
      <c r="A169" s="242" t="s">
        <v>1335</v>
      </c>
      <c r="B169" s="264" t="s">
        <v>134</v>
      </c>
      <c r="C169" s="265" t="s">
        <v>1132</v>
      </c>
      <c r="D169" s="266">
        <v>4.9</v>
      </c>
      <c r="E169" s="267" t="s">
        <v>1073</v>
      </c>
      <c r="F169" s="246">
        <v>0.0</v>
      </c>
      <c r="G169" s="246">
        <v>0.0</v>
      </c>
      <c r="H169" s="246">
        <v>0.0</v>
      </c>
      <c r="I169" s="246">
        <v>0.0</v>
      </c>
      <c r="J169" s="247">
        <v>0.0</v>
      </c>
      <c r="K169" s="268"/>
      <c r="L169" s="269"/>
      <c r="M169" s="250"/>
      <c r="N169" s="251"/>
      <c r="O169" s="250">
        <v>0.0</v>
      </c>
      <c r="P169" s="252">
        <v>0.0</v>
      </c>
      <c r="Q169" s="253" t="s">
        <v>1336</v>
      </c>
    </row>
    <row r="170">
      <c r="A170" s="220"/>
      <c r="B170" s="221"/>
      <c r="C170" s="222" t="s">
        <v>1337</v>
      </c>
      <c r="D170" s="223"/>
      <c r="E170" s="224"/>
      <c r="F170" s="224"/>
      <c r="G170" s="225"/>
      <c r="H170" s="226"/>
      <c r="I170" s="227"/>
      <c r="J170" s="228">
        <v>0.0</v>
      </c>
      <c r="K170" s="224"/>
      <c r="L170" s="226"/>
      <c r="M170" s="229"/>
      <c r="N170" s="230"/>
      <c r="O170" s="227"/>
      <c r="P170" s="231">
        <v>0.0</v>
      </c>
      <c r="Q170" s="231"/>
    </row>
    <row r="171">
      <c r="A171" s="256"/>
      <c r="B171" s="257"/>
      <c r="C171" s="258" t="s">
        <v>1082</v>
      </c>
      <c r="D171" s="235"/>
      <c r="E171" s="259"/>
      <c r="F171" s="260"/>
      <c r="G171" s="260"/>
      <c r="H171" s="260"/>
      <c r="I171" s="260"/>
      <c r="J171" s="260"/>
      <c r="K171" s="261"/>
      <c r="L171" s="262"/>
      <c r="M171" s="262"/>
      <c r="N171" s="262"/>
      <c r="O171" s="262"/>
      <c r="P171" s="262"/>
      <c r="Q171" s="263"/>
    </row>
    <row r="172">
      <c r="A172" s="242" t="s">
        <v>1338</v>
      </c>
      <c r="B172" s="272">
        <v>46209.0</v>
      </c>
      <c r="C172" s="265" t="s">
        <v>1093</v>
      </c>
      <c r="D172" s="266">
        <v>7.105</v>
      </c>
      <c r="E172" s="267" t="s">
        <v>1073</v>
      </c>
      <c r="F172" s="246">
        <v>0.0</v>
      </c>
      <c r="G172" s="246">
        <v>0.0</v>
      </c>
      <c r="H172" s="246">
        <v>0.0</v>
      </c>
      <c r="I172" s="246">
        <v>0.0</v>
      </c>
      <c r="J172" s="247">
        <v>0.0</v>
      </c>
      <c r="K172" s="268"/>
      <c r="L172" s="269"/>
      <c r="M172" s="250"/>
      <c r="N172" s="251"/>
      <c r="O172" s="250">
        <v>0.0</v>
      </c>
      <c r="P172" s="252">
        <v>0.0</v>
      </c>
      <c r="Q172" s="253" t="s">
        <v>1339</v>
      </c>
    </row>
    <row r="173">
      <c r="A173" s="242" t="s">
        <v>1340</v>
      </c>
      <c r="B173" s="264" t="s">
        <v>111</v>
      </c>
      <c r="C173" s="265" t="s">
        <v>1096</v>
      </c>
      <c r="D173" s="266">
        <v>14.21</v>
      </c>
      <c r="E173" s="267" t="s">
        <v>1073</v>
      </c>
      <c r="F173" s="246">
        <v>0.0</v>
      </c>
      <c r="G173" s="246">
        <v>0.0</v>
      </c>
      <c r="H173" s="246">
        <v>0.0</v>
      </c>
      <c r="I173" s="246">
        <v>0.0</v>
      </c>
      <c r="J173" s="247">
        <v>0.0</v>
      </c>
      <c r="K173" s="268"/>
      <c r="L173" s="269"/>
      <c r="M173" s="250"/>
      <c r="N173" s="251"/>
      <c r="O173" s="250">
        <v>0.0</v>
      </c>
      <c r="P173" s="252">
        <v>0.0</v>
      </c>
      <c r="Q173" s="253" t="s">
        <v>1341</v>
      </c>
    </row>
    <row r="174">
      <c r="A174" s="242" t="s">
        <v>1342</v>
      </c>
      <c r="B174" s="272">
        <v>46361.0</v>
      </c>
      <c r="C174" s="265" t="s">
        <v>1099</v>
      </c>
      <c r="D174" s="266">
        <v>7.1</v>
      </c>
      <c r="E174" s="267" t="s">
        <v>1073</v>
      </c>
      <c r="F174" s="246">
        <v>0.0</v>
      </c>
      <c r="G174" s="246">
        <v>0.0</v>
      </c>
      <c r="H174" s="246">
        <v>0.0</v>
      </c>
      <c r="I174" s="246">
        <v>0.0</v>
      </c>
      <c r="J174" s="247">
        <v>0.0</v>
      </c>
      <c r="K174" s="268"/>
      <c r="L174" s="269"/>
      <c r="M174" s="250"/>
      <c r="N174" s="251"/>
      <c r="O174" s="250">
        <v>0.0</v>
      </c>
      <c r="P174" s="252">
        <v>0.0</v>
      </c>
      <c r="Q174" s="253" t="s">
        <v>1343</v>
      </c>
    </row>
    <row r="175">
      <c r="A175" s="242" t="s">
        <v>1344</v>
      </c>
      <c r="B175" s="273">
        <v>46024.0</v>
      </c>
      <c r="C175" s="265" t="s">
        <v>1102</v>
      </c>
      <c r="D175" s="266">
        <v>2.43</v>
      </c>
      <c r="E175" s="267" t="s">
        <v>1073</v>
      </c>
      <c r="F175" s="246">
        <v>0.0</v>
      </c>
      <c r="G175" s="246">
        <v>0.0</v>
      </c>
      <c r="H175" s="246">
        <v>0.0</v>
      </c>
      <c r="I175" s="246">
        <v>0.0</v>
      </c>
      <c r="J175" s="247">
        <v>0.0</v>
      </c>
      <c r="K175" s="268"/>
      <c r="L175" s="269"/>
      <c r="M175" s="250"/>
      <c r="N175" s="251"/>
      <c r="O175" s="250">
        <v>0.0</v>
      </c>
      <c r="P175" s="252">
        <v>0.0</v>
      </c>
      <c r="Q175" s="253" t="s">
        <v>1345</v>
      </c>
    </row>
    <row r="176">
      <c r="A176" s="256"/>
      <c r="B176" s="257"/>
      <c r="C176" s="258" t="s">
        <v>1160</v>
      </c>
      <c r="D176" s="235"/>
      <c r="E176" s="259"/>
      <c r="F176" s="260"/>
      <c r="G176" s="260"/>
      <c r="H176" s="260"/>
      <c r="I176" s="260"/>
      <c r="J176" s="260"/>
      <c r="K176" s="261"/>
      <c r="L176" s="262"/>
      <c r="M176" s="262"/>
      <c r="N176" s="262"/>
      <c r="O176" s="262"/>
      <c r="P176" s="262"/>
      <c r="Q176" s="263"/>
    </row>
    <row r="177">
      <c r="A177" s="275" t="s">
        <v>1346</v>
      </c>
      <c r="B177" s="270" t="s">
        <v>129</v>
      </c>
      <c r="C177" s="276" t="s">
        <v>1322</v>
      </c>
      <c r="D177" s="277">
        <v>1.0</v>
      </c>
      <c r="E177" s="278" t="s">
        <v>1116</v>
      </c>
      <c r="F177" s="246">
        <v>0.0</v>
      </c>
      <c r="G177" s="246">
        <v>0.0</v>
      </c>
      <c r="H177" s="246">
        <v>0.0</v>
      </c>
      <c r="I177" s="246">
        <v>0.0</v>
      </c>
      <c r="J177" s="247">
        <v>0.0</v>
      </c>
      <c r="K177" s="268"/>
      <c r="L177" s="269"/>
      <c r="M177" s="250"/>
      <c r="N177" s="251"/>
      <c r="O177" s="250">
        <v>0.0</v>
      </c>
      <c r="P177" s="252">
        <v>0.0</v>
      </c>
      <c r="Q177" s="253" t="s">
        <v>1347</v>
      </c>
    </row>
    <row r="178">
      <c r="A178" s="275" t="s">
        <v>1348</v>
      </c>
      <c r="B178" s="264" t="s">
        <v>104</v>
      </c>
      <c r="C178" s="276" t="s">
        <v>1325</v>
      </c>
      <c r="D178" s="277">
        <v>1.0</v>
      </c>
      <c r="E178" s="278" t="s">
        <v>1116</v>
      </c>
      <c r="F178" s="246">
        <v>0.0</v>
      </c>
      <c r="G178" s="246">
        <v>0.0</v>
      </c>
      <c r="H178" s="246">
        <v>0.0</v>
      </c>
      <c r="I178" s="246">
        <v>0.0</v>
      </c>
      <c r="J178" s="247">
        <v>0.0</v>
      </c>
      <c r="K178" s="268"/>
      <c r="L178" s="269"/>
      <c r="M178" s="250"/>
      <c r="N178" s="251"/>
      <c r="O178" s="250">
        <v>0.0</v>
      </c>
      <c r="P178" s="252">
        <v>0.0</v>
      </c>
      <c r="Q178" s="253" t="s">
        <v>1349</v>
      </c>
    </row>
    <row r="179">
      <c r="A179" s="275" t="s">
        <v>1350</v>
      </c>
      <c r="B179" s="270" t="s">
        <v>129</v>
      </c>
      <c r="C179" s="276" t="s">
        <v>1351</v>
      </c>
      <c r="D179" s="277">
        <v>1.0</v>
      </c>
      <c r="E179" s="278" t="s">
        <v>1116</v>
      </c>
      <c r="F179" s="246">
        <v>0.0</v>
      </c>
      <c r="G179" s="246">
        <v>0.0</v>
      </c>
      <c r="H179" s="246">
        <v>0.0</v>
      </c>
      <c r="I179" s="246">
        <v>0.0</v>
      </c>
      <c r="J179" s="247">
        <v>0.0</v>
      </c>
      <c r="K179" s="268"/>
      <c r="L179" s="269"/>
      <c r="M179" s="250"/>
      <c r="N179" s="251"/>
      <c r="O179" s="250">
        <v>0.0</v>
      </c>
      <c r="P179" s="252">
        <v>0.0</v>
      </c>
      <c r="Q179" s="253" t="s">
        <v>1352</v>
      </c>
    </row>
    <row r="180">
      <c r="A180" s="256"/>
      <c r="B180" s="257"/>
      <c r="C180" s="258" t="s">
        <v>1118</v>
      </c>
      <c r="D180" s="235"/>
      <c r="E180" s="259"/>
      <c r="F180" s="260"/>
      <c r="G180" s="260"/>
      <c r="H180" s="260"/>
      <c r="I180" s="260"/>
      <c r="J180" s="260"/>
      <c r="K180" s="261"/>
      <c r="L180" s="262"/>
      <c r="M180" s="262"/>
      <c r="N180" s="262"/>
      <c r="O180" s="262"/>
      <c r="P180" s="262"/>
      <c r="Q180" s="263"/>
    </row>
    <row r="181">
      <c r="A181" s="242" t="s">
        <v>1353</v>
      </c>
      <c r="B181" s="270" t="s">
        <v>121</v>
      </c>
      <c r="C181" s="265" t="s">
        <v>1120</v>
      </c>
      <c r="D181" s="266">
        <v>14.063</v>
      </c>
      <c r="E181" s="267" t="s">
        <v>1073</v>
      </c>
      <c r="F181" s="246">
        <v>0.0</v>
      </c>
      <c r="G181" s="246">
        <v>0.0</v>
      </c>
      <c r="H181" s="246">
        <v>0.0</v>
      </c>
      <c r="I181" s="246">
        <v>0.0</v>
      </c>
      <c r="J181" s="247">
        <v>0.0</v>
      </c>
      <c r="K181" s="268"/>
      <c r="L181" s="269"/>
      <c r="M181" s="250"/>
      <c r="N181" s="251"/>
      <c r="O181" s="250">
        <v>0.0</v>
      </c>
      <c r="P181" s="252">
        <v>0.0</v>
      </c>
      <c r="Q181" s="253" t="s">
        <v>1354</v>
      </c>
    </row>
    <row r="182">
      <c r="A182" s="256"/>
      <c r="B182" s="257"/>
      <c r="C182" s="258" t="s">
        <v>1122</v>
      </c>
      <c r="D182" s="235"/>
      <c r="E182" s="259"/>
      <c r="F182" s="260"/>
      <c r="G182" s="260"/>
      <c r="H182" s="260"/>
      <c r="I182" s="260"/>
      <c r="J182" s="260"/>
      <c r="K182" s="261"/>
      <c r="L182" s="262"/>
      <c r="M182" s="262"/>
      <c r="N182" s="262"/>
      <c r="O182" s="262"/>
      <c r="P182" s="262"/>
      <c r="Q182" s="263"/>
    </row>
    <row r="183">
      <c r="A183" s="242" t="s">
        <v>1355</v>
      </c>
      <c r="B183" s="270" t="s">
        <v>112</v>
      </c>
      <c r="C183" s="265" t="s">
        <v>1124</v>
      </c>
      <c r="D183" s="266">
        <v>2.43</v>
      </c>
      <c r="E183" s="267" t="s">
        <v>1073</v>
      </c>
      <c r="F183" s="246">
        <v>0.0</v>
      </c>
      <c r="G183" s="246">
        <v>0.0</v>
      </c>
      <c r="H183" s="246">
        <v>0.0</v>
      </c>
      <c r="I183" s="246">
        <v>0.0</v>
      </c>
      <c r="J183" s="247">
        <v>0.0</v>
      </c>
      <c r="K183" s="268"/>
      <c r="L183" s="269"/>
      <c r="M183" s="250"/>
      <c r="N183" s="251"/>
      <c r="O183" s="250">
        <v>0.0</v>
      </c>
      <c r="P183" s="252">
        <v>0.0</v>
      </c>
      <c r="Q183" s="253" t="s">
        <v>1356</v>
      </c>
    </row>
    <row r="184">
      <c r="A184" s="256"/>
      <c r="B184" s="257"/>
      <c r="C184" s="258" t="s">
        <v>1126</v>
      </c>
      <c r="D184" s="235"/>
      <c r="E184" s="259"/>
      <c r="F184" s="260"/>
      <c r="G184" s="260"/>
      <c r="H184" s="260"/>
      <c r="I184" s="260"/>
      <c r="J184" s="260"/>
      <c r="K184" s="261"/>
      <c r="L184" s="262"/>
      <c r="M184" s="262"/>
      <c r="N184" s="262"/>
      <c r="O184" s="262"/>
      <c r="P184" s="262"/>
      <c r="Q184" s="263"/>
    </row>
    <row r="185">
      <c r="A185" s="242" t="s">
        <v>1357</v>
      </c>
      <c r="B185" s="264" t="s">
        <v>116</v>
      </c>
      <c r="C185" s="265" t="s">
        <v>1128</v>
      </c>
      <c r="D185" s="266">
        <v>2.43</v>
      </c>
      <c r="E185" s="267" t="s">
        <v>1073</v>
      </c>
      <c r="F185" s="246">
        <v>0.0</v>
      </c>
      <c r="G185" s="246">
        <v>0.0</v>
      </c>
      <c r="H185" s="246">
        <v>0.0</v>
      </c>
      <c r="I185" s="246">
        <v>0.0</v>
      </c>
      <c r="J185" s="247">
        <v>0.0</v>
      </c>
      <c r="K185" s="268"/>
      <c r="L185" s="269"/>
      <c r="M185" s="250"/>
      <c r="N185" s="251"/>
      <c r="O185" s="250">
        <v>0.0</v>
      </c>
      <c r="P185" s="252">
        <v>0.0</v>
      </c>
      <c r="Q185" s="253" t="s">
        <v>1358</v>
      </c>
    </row>
    <row r="186">
      <c r="A186" s="256"/>
      <c r="B186" s="257"/>
      <c r="C186" s="258" t="s">
        <v>1185</v>
      </c>
      <c r="D186" s="235"/>
      <c r="E186" s="259"/>
      <c r="F186" s="260"/>
      <c r="G186" s="260"/>
      <c r="H186" s="260"/>
      <c r="I186" s="260"/>
      <c r="J186" s="260"/>
      <c r="K186" s="261"/>
      <c r="L186" s="262"/>
      <c r="M186" s="262"/>
      <c r="N186" s="262"/>
      <c r="O186" s="262"/>
      <c r="P186" s="262"/>
      <c r="Q186" s="263"/>
    </row>
    <row r="187">
      <c r="A187" s="242" t="s">
        <v>1346</v>
      </c>
      <c r="B187" s="270" t="s">
        <v>143</v>
      </c>
      <c r="C187" s="265" t="s">
        <v>1186</v>
      </c>
      <c r="D187" s="266">
        <v>1.0</v>
      </c>
      <c r="E187" s="267" t="s">
        <v>1107</v>
      </c>
      <c r="F187" s="246">
        <v>0.0</v>
      </c>
      <c r="G187" s="246">
        <v>0.0</v>
      </c>
      <c r="H187" s="246">
        <v>0.0</v>
      </c>
      <c r="I187" s="246">
        <v>0.0</v>
      </c>
      <c r="J187" s="247">
        <v>0.0</v>
      </c>
      <c r="K187" s="268"/>
      <c r="L187" s="269"/>
      <c r="M187" s="250"/>
      <c r="N187" s="251"/>
      <c r="O187" s="250">
        <v>0.0</v>
      </c>
      <c r="P187" s="252">
        <v>0.0</v>
      </c>
      <c r="Q187" s="253" t="s">
        <v>1359</v>
      </c>
    </row>
    <row r="188">
      <c r="A188" s="220"/>
      <c r="B188" s="221"/>
      <c r="C188" s="222" t="s">
        <v>1360</v>
      </c>
      <c r="D188" s="223"/>
      <c r="E188" s="224"/>
      <c r="F188" s="224"/>
      <c r="G188" s="225"/>
      <c r="H188" s="226"/>
      <c r="I188" s="227"/>
      <c r="J188" s="228">
        <v>0.0</v>
      </c>
      <c r="K188" s="224"/>
      <c r="L188" s="226"/>
      <c r="M188" s="229"/>
      <c r="N188" s="230"/>
      <c r="O188" s="227"/>
      <c r="P188" s="231">
        <v>0.0</v>
      </c>
      <c r="Q188" s="231"/>
    </row>
    <row r="189">
      <c r="A189" s="256"/>
      <c r="B189" s="257"/>
      <c r="C189" s="258" t="s">
        <v>1082</v>
      </c>
      <c r="D189" s="235"/>
      <c r="E189" s="259"/>
      <c r="F189" s="260"/>
      <c r="G189" s="260"/>
      <c r="H189" s="260"/>
      <c r="I189" s="260"/>
      <c r="J189" s="260"/>
      <c r="K189" s="261"/>
      <c r="L189" s="262"/>
      <c r="M189" s="262"/>
      <c r="N189" s="262"/>
      <c r="O189" s="262"/>
      <c r="P189" s="262"/>
      <c r="Q189" s="263"/>
    </row>
    <row r="190">
      <c r="A190" s="242" t="s">
        <v>1361</v>
      </c>
      <c r="B190" s="272">
        <v>46209.0</v>
      </c>
      <c r="C190" s="265" t="s">
        <v>1093</v>
      </c>
      <c r="D190" s="266">
        <v>6.125</v>
      </c>
      <c r="E190" s="267" t="s">
        <v>1073</v>
      </c>
      <c r="F190" s="246">
        <v>0.0</v>
      </c>
      <c r="G190" s="246">
        <v>0.0</v>
      </c>
      <c r="H190" s="246">
        <v>0.0</v>
      </c>
      <c r="I190" s="246">
        <v>0.0</v>
      </c>
      <c r="J190" s="247">
        <v>0.0</v>
      </c>
      <c r="K190" s="268"/>
      <c r="L190" s="269"/>
      <c r="M190" s="250"/>
      <c r="N190" s="251"/>
      <c r="O190" s="250">
        <v>0.0</v>
      </c>
      <c r="P190" s="252">
        <v>0.0</v>
      </c>
      <c r="Q190" s="253" t="s">
        <v>1362</v>
      </c>
    </row>
    <row r="191">
      <c r="A191" s="242" t="s">
        <v>1363</v>
      </c>
      <c r="B191" s="264" t="s">
        <v>111</v>
      </c>
      <c r="C191" s="265" t="s">
        <v>1096</v>
      </c>
      <c r="D191" s="266">
        <v>12.25</v>
      </c>
      <c r="E191" s="267" t="s">
        <v>1073</v>
      </c>
      <c r="F191" s="246">
        <v>0.0</v>
      </c>
      <c r="G191" s="246">
        <v>0.0</v>
      </c>
      <c r="H191" s="246">
        <v>0.0</v>
      </c>
      <c r="I191" s="246">
        <v>0.0</v>
      </c>
      <c r="J191" s="247">
        <v>0.0</v>
      </c>
      <c r="K191" s="268"/>
      <c r="L191" s="269"/>
      <c r="M191" s="250"/>
      <c r="N191" s="251"/>
      <c r="O191" s="250">
        <v>0.0</v>
      </c>
      <c r="P191" s="252">
        <v>0.0</v>
      </c>
      <c r="Q191" s="253" t="s">
        <v>1364</v>
      </c>
    </row>
    <row r="192">
      <c r="A192" s="242" t="s">
        <v>1365</v>
      </c>
      <c r="B192" s="272">
        <v>46361.0</v>
      </c>
      <c r="C192" s="265" t="s">
        <v>1099</v>
      </c>
      <c r="D192" s="266">
        <v>7.9625</v>
      </c>
      <c r="E192" s="267" t="s">
        <v>1073</v>
      </c>
      <c r="F192" s="246">
        <v>0.0</v>
      </c>
      <c r="G192" s="246">
        <v>0.0</v>
      </c>
      <c r="H192" s="246">
        <v>0.0</v>
      </c>
      <c r="I192" s="246">
        <v>0.0</v>
      </c>
      <c r="J192" s="247">
        <v>0.0</v>
      </c>
      <c r="K192" s="268"/>
      <c r="L192" s="269"/>
      <c r="M192" s="250"/>
      <c r="N192" s="251"/>
      <c r="O192" s="250">
        <v>0.0</v>
      </c>
      <c r="P192" s="252">
        <v>0.0</v>
      </c>
      <c r="Q192" s="253" t="s">
        <v>1366</v>
      </c>
    </row>
    <row r="193">
      <c r="A193" s="242" t="s">
        <v>1367</v>
      </c>
      <c r="B193" s="264" t="s">
        <v>142</v>
      </c>
      <c r="C193" s="265" t="s">
        <v>1156</v>
      </c>
      <c r="D193" s="266">
        <v>2.34</v>
      </c>
      <c r="E193" s="267" t="s">
        <v>1073</v>
      </c>
      <c r="F193" s="246">
        <v>0.0</v>
      </c>
      <c r="G193" s="246">
        <v>0.0</v>
      </c>
      <c r="H193" s="246">
        <v>0.0</v>
      </c>
      <c r="I193" s="246">
        <v>0.0</v>
      </c>
      <c r="J193" s="247">
        <v>0.0</v>
      </c>
      <c r="K193" s="268"/>
      <c r="L193" s="269"/>
      <c r="M193" s="250"/>
      <c r="N193" s="251"/>
      <c r="O193" s="250">
        <v>0.0</v>
      </c>
      <c r="P193" s="252">
        <v>0.0</v>
      </c>
      <c r="Q193" s="253" t="s">
        <v>1368</v>
      </c>
    </row>
    <row r="194">
      <c r="A194" s="242" t="s">
        <v>1369</v>
      </c>
      <c r="B194" s="273">
        <v>46024.0</v>
      </c>
      <c r="C194" s="265" t="s">
        <v>1102</v>
      </c>
      <c r="D194" s="266">
        <v>2.34</v>
      </c>
      <c r="E194" s="267" t="s">
        <v>1073</v>
      </c>
      <c r="F194" s="246">
        <v>0.0</v>
      </c>
      <c r="G194" s="246">
        <v>0.0</v>
      </c>
      <c r="H194" s="246">
        <v>0.0</v>
      </c>
      <c r="I194" s="246">
        <v>0.0</v>
      </c>
      <c r="J194" s="247">
        <v>0.0</v>
      </c>
      <c r="K194" s="268"/>
      <c r="L194" s="269"/>
      <c r="M194" s="250"/>
      <c r="N194" s="251"/>
      <c r="O194" s="250">
        <v>0.0</v>
      </c>
      <c r="P194" s="252">
        <v>0.0</v>
      </c>
      <c r="Q194" s="253" t="s">
        <v>1370</v>
      </c>
    </row>
    <row r="195">
      <c r="A195" s="256"/>
      <c r="B195" s="257"/>
      <c r="C195" s="258" t="s">
        <v>1160</v>
      </c>
      <c r="D195" s="235"/>
      <c r="E195" s="259"/>
      <c r="F195" s="260"/>
      <c r="G195" s="260"/>
      <c r="H195" s="260"/>
      <c r="I195" s="260"/>
      <c r="J195" s="260"/>
      <c r="K195" s="261"/>
      <c r="L195" s="262"/>
      <c r="M195" s="262"/>
      <c r="N195" s="262"/>
      <c r="O195" s="262"/>
      <c r="P195" s="262"/>
      <c r="Q195" s="263"/>
    </row>
    <row r="196">
      <c r="A196" s="275" t="s">
        <v>1371</v>
      </c>
      <c r="B196" s="270" t="s">
        <v>129</v>
      </c>
      <c r="C196" s="276" t="s">
        <v>1322</v>
      </c>
      <c r="D196" s="277">
        <v>1.0</v>
      </c>
      <c r="E196" s="278" t="s">
        <v>1116</v>
      </c>
      <c r="F196" s="246">
        <v>0.0</v>
      </c>
      <c r="G196" s="246">
        <v>0.0</v>
      </c>
      <c r="H196" s="246">
        <v>0.0</v>
      </c>
      <c r="I196" s="246">
        <v>0.0</v>
      </c>
      <c r="J196" s="247">
        <v>0.0</v>
      </c>
      <c r="K196" s="268"/>
      <c r="L196" s="269"/>
      <c r="M196" s="250"/>
      <c r="N196" s="251"/>
      <c r="O196" s="250">
        <v>0.0</v>
      </c>
      <c r="P196" s="252">
        <v>0.0</v>
      </c>
      <c r="Q196" s="253" t="s">
        <v>1372</v>
      </c>
    </row>
    <row r="197">
      <c r="A197" s="275" t="s">
        <v>1373</v>
      </c>
      <c r="B197" s="264" t="s">
        <v>104</v>
      </c>
      <c r="C197" s="276" t="s">
        <v>1325</v>
      </c>
      <c r="D197" s="277">
        <v>1.0</v>
      </c>
      <c r="E197" s="278" t="s">
        <v>1116</v>
      </c>
      <c r="F197" s="246">
        <v>0.0</v>
      </c>
      <c r="G197" s="246">
        <v>0.0</v>
      </c>
      <c r="H197" s="246">
        <v>0.0</v>
      </c>
      <c r="I197" s="246">
        <v>0.0</v>
      </c>
      <c r="J197" s="247">
        <v>0.0</v>
      </c>
      <c r="K197" s="268"/>
      <c r="L197" s="269"/>
      <c r="M197" s="250"/>
      <c r="N197" s="251"/>
      <c r="O197" s="250">
        <v>0.0</v>
      </c>
      <c r="P197" s="252">
        <v>0.0</v>
      </c>
      <c r="Q197" s="253" t="s">
        <v>1374</v>
      </c>
    </row>
    <row r="198">
      <c r="A198" s="275" t="s">
        <v>1375</v>
      </c>
      <c r="B198" s="270" t="s">
        <v>129</v>
      </c>
      <c r="C198" s="276" t="s">
        <v>1351</v>
      </c>
      <c r="D198" s="277">
        <v>1.0</v>
      </c>
      <c r="E198" s="278" t="s">
        <v>1116</v>
      </c>
      <c r="F198" s="246">
        <v>0.0</v>
      </c>
      <c r="G198" s="246">
        <v>0.0</v>
      </c>
      <c r="H198" s="246">
        <v>0.0</v>
      </c>
      <c r="I198" s="246">
        <v>0.0</v>
      </c>
      <c r="J198" s="247">
        <v>0.0</v>
      </c>
      <c r="K198" s="268"/>
      <c r="L198" s="269"/>
      <c r="M198" s="250"/>
      <c r="N198" s="251"/>
      <c r="O198" s="250">
        <v>0.0</v>
      </c>
      <c r="P198" s="252">
        <v>0.0</v>
      </c>
      <c r="Q198" s="253" t="s">
        <v>1376</v>
      </c>
    </row>
    <row r="199">
      <c r="A199" s="256"/>
      <c r="B199" s="257"/>
      <c r="C199" s="258" t="s">
        <v>1168</v>
      </c>
      <c r="D199" s="235"/>
      <c r="E199" s="259"/>
      <c r="F199" s="260"/>
      <c r="G199" s="260"/>
      <c r="H199" s="260"/>
      <c r="I199" s="260"/>
      <c r="J199" s="260"/>
      <c r="K199" s="261"/>
      <c r="L199" s="262"/>
      <c r="M199" s="262"/>
      <c r="N199" s="262"/>
      <c r="O199" s="262"/>
      <c r="P199" s="262"/>
      <c r="Q199" s="263"/>
    </row>
    <row r="200">
      <c r="A200" s="242" t="s">
        <v>1377</v>
      </c>
      <c r="B200" s="264" t="s">
        <v>130</v>
      </c>
      <c r="C200" s="265" t="s">
        <v>1170</v>
      </c>
      <c r="D200" s="266">
        <v>1.0</v>
      </c>
      <c r="E200" s="267" t="s">
        <v>1107</v>
      </c>
      <c r="F200" s="246">
        <v>0.0</v>
      </c>
      <c r="G200" s="246">
        <v>0.0</v>
      </c>
      <c r="H200" s="246">
        <v>0.0</v>
      </c>
      <c r="I200" s="246">
        <v>0.0</v>
      </c>
      <c r="J200" s="247">
        <v>0.0</v>
      </c>
      <c r="K200" s="268"/>
      <c r="L200" s="269"/>
      <c r="M200" s="250"/>
      <c r="N200" s="251"/>
      <c r="O200" s="250">
        <v>0.0</v>
      </c>
      <c r="P200" s="252">
        <v>0.0</v>
      </c>
      <c r="Q200" s="253" t="s">
        <v>1378</v>
      </c>
    </row>
    <row r="201">
      <c r="A201" s="242" t="s">
        <v>1379</v>
      </c>
      <c r="B201" s="274"/>
      <c r="C201" s="265" t="s">
        <v>1380</v>
      </c>
      <c r="D201" s="266">
        <v>1.0</v>
      </c>
      <c r="E201" s="271" t="s">
        <v>1107</v>
      </c>
      <c r="F201" s="246">
        <v>0.0</v>
      </c>
      <c r="G201" s="246">
        <v>0.0</v>
      </c>
      <c r="H201" s="246">
        <v>0.0</v>
      </c>
      <c r="I201" s="246">
        <v>0.0</v>
      </c>
      <c r="J201" s="247">
        <v>0.0</v>
      </c>
      <c r="K201" s="268"/>
      <c r="L201" s="269"/>
      <c r="M201" s="250"/>
      <c r="N201" s="251"/>
      <c r="O201" s="250">
        <v>0.0</v>
      </c>
      <c r="P201" s="252">
        <v>0.0</v>
      </c>
      <c r="Q201" s="253" t="s">
        <v>1381</v>
      </c>
    </row>
    <row r="202">
      <c r="A202" s="242" t="s">
        <v>1382</v>
      </c>
      <c r="B202" s="274"/>
      <c r="C202" s="265" t="s">
        <v>1176</v>
      </c>
      <c r="D202" s="266">
        <v>1.0</v>
      </c>
      <c r="E202" s="267" t="s">
        <v>1107</v>
      </c>
      <c r="F202" s="246">
        <v>0.0</v>
      </c>
      <c r="G202" s="246">
        <v>0.0</v>
      </c>
      <c r="H202" s="246">
        <v>0.0</v>
      </c>
      <c r="I202" s="246">
        <v>0.0</v>
      </c>
      <c r="J202" s="247">
        <v>0.0</v>
      </c>
      <c r="K202" s="268"/>
      <c r="L202" s="269"/>
      <c r="M202" s="250"/>
      <c r="N202" s="251"/>
      <c r="O202" s="250">
        <v>0.0</v>
      </c>
      <c r="P202" s="252">
        <v>0.0</v>
      </c>
      <c r="Q202" s="253" t="s">
        <v>1383</v>
      </c>
    </row>
    <row r="203">
      <c r="A203" s="256"/>
      <c r="B203" s="257"/>
      <c r="C203" s="258" t="s">
        <v>1122</v>
      </c>
      <c r="D203" s="235"/>
      <c r="E203" s="259"/>
      <c r="F203" s="260"/>
      <c r="G203" s="260"/>
      <c r="H203" s="260"/>
      <c r="I203" s="260"/>
      <c r="J203" s="260"/>
      <c r="K203" s="261"/>
      <c r="L203" s="262"/>
      <c r="M203" s="262"/>
      <c r="N203" s="262"/>
      <c r="O203" s="262"/>
      <c r="P203" s="262"/>
      <c r="Q203" s="263"/>
    </row>
    <row r="204">
      <c r="A204" s="242" t="s">
        <v>1384</v>
      </c>
      <c r="B204" s="270" t="s">
        <v>112</v>
      </c>
      <c r="C204" s="265" t="s">
        <v>1124</v>
      </c>
      <c r="D204" s="266">
        <v>2.34</v>
      </c>
      <c r="E204" s="267" t="s">
        <v>1073</v>
      </c>
      <c r="F204" s="246">
        <v>0.0</v>
      </c>
      <c r="G204" s="246">
        <v>0.0</v>
      </c>
      <c r="H204" s="246">
        <v>0.0</v>
      </c>
      <c r="I204" s="246">
        <v>0.0</v>
      </c>
      <c r="J204" s="247">
        <v>0.0</v>
      </c>
      <c r="K204" s="268"/>
      <c r="L204" s="269"/>
      <c r="M204" s="250"/>
      <c r="N204" s="251"/>
      <c r="O204" s="250">
        <v>0.0</v>
      </c>
      <c r="P204" s="252">
        <v>0.0</v>
      </c>
      <c r="Q204" s="253" t="s">
        <v>1385</v>
      </c>
    </row>
    <row r="205">
      <c r="A205" s="256"/>
      <c r="B205" s="257"/>
      <c r="C205" s="258" t="s">
        <v>1126</v>
      </c>
      <c r="D205" s="235"/>
      <c r="E205" s="259"/>
      <c r="F205" s="260"/>
      <c r="G205" s="260"/>
      <c r="H205" s="260"/>
      <c r="I205" s="260"/>
      <c r="J205" s="260"/>
      <c r="K205" s="261"/>
      <c r="L205" s="262"/>
      <c r="M205" s="262"/>
      <c r="N205" s="262"/>
      <c r="O205" s="262"/>
      <c r="P205" s="262"/>
      <c r="Q205" s="263"/>
    </row>
    <row r="206">
      <c r="A206" s="242" t="s">
        <v>1386</v>
      </c>
      <c r="B206" s="264" t="s">
        <v>116</v>
      </c>
      <c r="C206" s="265" t="s">
        <v>1128</v>
      </c>
      <c r="D206" s="266">
        <v>2.34</v>
      </c>
      <c r="E206" s="267" t="s">
        <v>1073</v>
      </c>
      <c r="F206" s="246">
        <v>0.0</v>
      </c>
      <c r="G206" s="246">
        <v>0.0</v>
      </c>
      <c r="H206" s="246">
        <v>0.0</v>
      </c>
      <c r="I206" s="246">
        <v>0.0</v>
      </c>
      <c r="J206" s="247">
        <v>0.0</v>
      </c>
      <c r="K206" s="268"/>
      <c r="L206" s="269"/>
      <c r="M206" s="250"/>
      <c r="N206" s="251"/>
      <c r="O206" s="250">
        <v>0.0</v>
      </c>
      <c r="P206" s="252">
        <v>0.0</v>
      </c>
      <c r="Q206" s="253" t="s">
        <v>1387</v>
      </c>
    </row>
    <row r="207">
      <c r="A207" s="242" t="s">
        <v>1388</v>
      </c>
      <c r="B207" s="270" t="s">
        <v>142</v>
      </c>
      <c r="C207" s="265" t="s">
        <v>1183</v>
      </c>
      <c r="D207" s="266">
        <v>13.72</v>
      </c>
      <c r="E207" s="267" t="s">
        <v>1073</v>
      </c>
      <c r="F207" s="246">
        <v>0.0</v>
      </c>
      <c r="G207" s="246">
        <v>0.0</v>
      </c>
      <c r="H207" s="246">
        <v>0.0</v>
      </c>
      <c r="I207" s="246">
        <v>0.0</v>
      </c>
      <c r="J207" s="247">
        <v>0.0</v>
      </c>
      <c r="K207" s="268"/>
      <c r="L207" s="269"/>
      <c r="M207" s="250"/>
      <c r="N207" s="251"/>
      <c r="O207" s="250">
        <v>0.0</v>
      </c>
      <c r="P207" s="252">
        <v>0.0</v>
      </c>
      <c r="Q207" s="253" t="s">
        <v>1389</v>
      </c>
    </row>
    <row r="208">
      <c r="A208" s="256"/>
      <c r="B208" s="257"/>
      <c r="C208" s="258" t="s">
        <v>1185</v>
      </c>
      <c r="D208" s="235"/>
      <c r="E208" s="259"/>
      <c r="F208" s="260"/>
      <c r="G208" s="260"/>
      <c r="H208" s="260"/>
      <c r="I208" s="260"/>
      <c r="J208" s="260"/>
      <c r="K208" s="261"/>
      <c r="L208" s="262"/>
      <c r="M208" s="262"/>
      <c r="N208" s="262"/>
      <c r="O208" s="262"/>
      <c r="P208" s="262"/>
      <c r="Q208" s="263"/>
    </row>
    <row r="209">
      <c r="A209" s="242" t="s">
        <v>1371</v>
      </c>
      <c r="B209" s="270" t="s">
        <v>143</v>
      </c>
      <c r="C209" s="265" t="s">
        <v>1186</v>
      </c>
      <c r="D209" s="266">
        <v>1.0</v>
      </c>
      <c r="E209" s="267" t="s">
        <v>1107</v>
      </c>
      <c r="F209" s="246">
        <v>0.0</v>
      </c>
      <c r="G209" s="246">
        <v>0.0</v>
      </c>
      <c r="H209" s="246">
        <v>0.0</v>
      </c>
      <c r="I209" s="246">
        <v>0.0</v>
      </c>
      <c r="J209" s="247">
        <v>0.0</v>
      </c>
      <c r="K209" s="268"/>
      <c r="L209" s="269"/>
      <c r="M209" s="250"/>
      <c r="N209" s="251"/>
      <c r="O209" s="250">
        <v>0.0</v>
      </c>
      <c r="P209" s="252">
        <v>0.0</v>
      </c>
      <c r="Q209" s="253" t="s">
        <v>1390</v>
      </c>
    </row>
    <row r="210">
      <c r="A210" s="256"/>
      <c r="B210" s="257"/>
      <c r="C210" s="258" t="s">
        <v>1188</v>
      </c>
      <c r="D210" s="235"/>
      <c r="E210" s="259"/>
      <c r="F210" s="260"/>
      <c r="G210" s="260"/>
      <c r="H210" s="260"/>
      <c r="I210" s="260"/>
      <c r="J210" s="260"/>
      <c r="K210" s="261"/>
      <c r="L210" s="262"/>
      <c r="M210" s="262"/>
      <c r="N210" s="262"/>
      <c r="O210" s="262"/>
      <c r="P210" s="262"/>
      <c r="Q210" s="263"/>
    </row>
    <row r="211">
      <c r="A211" s="242" t="s">
        <v>1391</v>
      </c>
      <c r="B211" s="270" t="s">
        <v>133</v>
      </c>
      <c r="C211" s="265" t="s">
        <v>1190</v>
      </c>
      <c r="D211" s="266">
        <v>1.0</v>
      </c>
      <c r="E211" s="267" t="s">
        <v>1116</v>
      </c>
      <c r="F211" s="246">
        <v>0.0</v>
      </c>
      <c r="G211" s="246">
        <v>0.0</v>
      </c>
      <c r="H211" s="246">
        <v>0.0</v>
      </c>
      <c r="I211" s="246">
        <v>0.0</v>
      </c>
      <c r="J211" s="247">
        <v>0.0</v>
      </c>
      <c r="K211" s="268"/>
      <c r="L211" s="269"/>
      <c r="M211" s="250"/>
      <c r="N211" s="251"/>
      <c r="O211" s="250">
        <v>0.0</v>
      </c>
      <c r="P211" s="252">
        <v>0.0</v>
      </c>
      <c r="Q211" s="253" t="s">
        <v>1392</v>
      </c>
    </row>
    <row r="212">
      <c r="A212" s="220"/>
      <c r="B212" s="221"/>
      <c r="C212" s="222" t="s">
        <v>1393</v>
      </c>
      <c r="D212" s="223"/>
      <c r="E212" s="224"/>
      <c r="F212" s="224"/>
      <c r="G212" s="225"/>
      <c r="H212" s="226"/>
      <c r="I212" s="227"/>
      <c r="J212" s="228">
        <v>0.0</v>
      </c>
      <c r="K212" s="224"/>
      <c r="L212" s="226"/>
      <c r="M212" s="229"/>
      <c r="N212" s="230"/>
      <c r="O212" s="227"/>
      <c r="P212" s="231">
        <v>0.0</v>
      </c>
      <c r="Q212" s="231"/>
    </row>
    <row r="213">
      <c r="A213" s="256"/>
      <c r="B213" s="257"/>
      <c r="C213" s="258" t="s">
        <v>1082</v>
      </c>
      <c r="D213" s="235"/>
      <c r="E213" s="259"/>
      <c r="F213" s="260"/>
      <c r="G213" s="260"/>
      <c r="H213" s="260"/>
      <c r="I213" s="260"/>
      <c r="J213" s="260"/>
      <c r="K213" s="261"/>
      <c r="L213" s="262"/>
      <c r="M213" s="262"/>
      <c r="N213" s="262"/>
      <c r="O213" s="262"/>
      <c r="P213" s="262"/>
      <c r="Q213" s="263"/>
    </row>
    <row r="214">
      <c r="A214" s="242" t="s">
        <v>1394</v>
      </c>
      <c r="B214" s="272">
        <v>46209.0</v>
      </c>
      <c r="C214" s="265" t="s">
        <v>1093</v>
      </c>
      <c r="D214" s="266">
        <v>13.35</v>
      </c>
      <c r="E214" s="267" t="s">
        <v>1073</v>
      </c>
      <c r="F214" s="246">
        <v>0.0</v>
      </c>
      <c r="G214" s="246">
        <v>0.0</v>
      </c>
      <c r="H214" s="246">
        <v>0.0</v>
      </c>
      <c r="I214" s="246">
        <v>0.0</v>
      </c>
      <c r="J214" s="247">
        <v>0.0</v>
      </c>
      <c r="K214" s="268"/>
      <c r="L214" s="269"/>
      <c r="M214" s="250"/>
      <c r="N214" s="251"/>
      <c r="O214" s="250">
        <v>0.0</v>
      </c>
      <c r="P214" s="252">
        <v>0.0</v>
      </c>
      <c r="Q214" s="253" t="s">
        <v>1362</v>
      </c>
    </row>
    <row r="215">
      <c r="A215" s="242" t="s">
        <v>1395</v>
      </c>
      <c r="B215" s="264" t="s">
        <v>111</v>
      </c>
      <c r="C215" s="265" t="s">
        <v>1096</v>
      </c>
      <c r="D215" s="266">
        <v>26.705</v>
      </c>
      <c r="E215" s="267" t="s">
        <v>1073</v>
      </c>
      <c r="F215" s="246">
        <v>0.0</v>
      </c>
      <c r="G215" s="246">
        <v>0.0</v>
      </c>
      <c r="H215" s="246">
        <v>0.0</v>
      </c>
      <c r="I215" s="246">
        <v>0.0</v>
      </c>
      <c r="J215" s="247">
        <v>0.0</v>
      </c>
      <c r="K215" s="268"/>
      <c r="L215" s="269"/>
      <c r="M215" s="250"/>
      <c r="N215" s="251"/>
      <c r="O215" s="250">
        <v>0.0</v>
      </c>
      <c r="P215" s="252">
        <v>0.0</v>
      </c>
      <c r="Q215" s="253" t="s">
        <v>1364</v>
      </c>
    </row>
    <row r="216">
      <c r="A216" s="242" t="s">
        <v>1396</v>
      </c>
      <c r="B216" s="264" t="s">
        <v>142</v>
      </c>
      <c r="C216" s="265" t="s">
        <v>1156</v>
      </c>
      <c r="D216" s="266">
        <v>2.24</v>
      </c>
      <c r="E216" s="267" t="s">
        <v>1073</v>
      </c>
      <c r="F216" s="246">
        <v>0.0</v>
      </c>
      <c r="G216" s="246">
        <v>0.0</v>
      </c>
      <c r="H216" s="246">
        <v>0.0</v>
      </c>
      <c r="I216" s="246">
        <v>0.0</v>
      </c>
      <c r="J216" s="247">
        <v>0.0</v>
      </c>
      <c r="K216" s="268"/>
      <c r="L216" s="269"/>
      <c r="M216" s="250"/>
      <c r="N216" s="251"/>
      <c r="O216" s="250">
        <v>0.0</v>
      </c>
      <c r="P216" s="252">
        <v>0.0</v>
      </c>
      <c r="Q216" s="253" t="s">
        <v>1366</v>
      </c>
    </row>
    <row r="217">
      <c r="A217" s="242" t="s">
        <v>1397</v>
      </c>
      <c r="B217" s="274"/>
      <c r="C217" s="265" t="s">
        <v>1176</v>
      </c>
      <c r="D217" s="266">
        <v>2.24</v>
      </c>
      <c r="E217" s="267" t="s">
        <v>1107</v>
      </c>
      <c r="F217" s="246">
        <v>0.0</v>
      </c>
      <c r="G217" s="246">
        <v>0.0</v>
      </c>
      <c r="H217" s="246">
        <v>0.0</v>
      </c>
      <c r="I217" s="246">
        <v>0.0</v>
      </c>
      <c r="J217" s="247">
        <v>0.0</v>
      </c>
      <c r="K217" s="268"/>
      <c r="L217" s="269"/>
      <c r="M217" s="250"/>
      <c r="N217" s="251"/>
      <c r="O217" s="250">
        <v>0.0</v>
      </c>
      <c r="P217" s="252">
        <v>0.0</v>
      </c>
      <c r="Q217" s="253" t="s">
        <v>1368</v>
      </c>
    </row>
    <row r="218">
      <c r="A218" s="256"/>
      <c r="B218" s="257"/>
      <c r="C218" s="258" t="s">
        <v>1160</v>
      </c>
      <c r="D218" s="235"/>
      <c r="E218" s="259"/>
      <c r="F218" s="260"/>
      <c r="G218" s="260"/>
      <c r="H218" s="260"/>
      <c r="I218" s="260"/>
      <c r="J218" s="260"/>
      <c r="K218" s="261"/>
      <c r="L218" s="262"/>
      <c r="M218" s="262"/>
      <c r="N218" s="262"/>
      <c r="O218" s="262"/>
      <c r="P218" s="262"/>
      <c r="Q218" s="263"/>
    </row>
    <row r="219">
      <c r="A219" s="275" t="s">
        <v>1398</v>
      </c>
      <c r="B219" s="270" t="s">
        <v>129</v>
      </c>
      <c r="C219" s="276" t="s">
        <v>1322</v>
      </c>
      <c r="D219" s="277">
        <v>1.0</v>
      </c>
      <c r="E219" s="278" t="s">
        <v>1116</v>
      </c>
      <c r="F219" s="246">
        <v>0.0</v>
      </c>
      <c r="G219" s="246">
        <v>0.0</v>
      </c>
      <c r="H219" s="246">
        <v>0.0</v>
      </c>
      <c r="I219" s="246">
        <v>0.0</v>
      </c>
      <c r="J219" s="247">
        <v>0.0</v>
      </c>
      <c r="K219" s="268"/>
      <c r="L219" s="269"/>
      <c r="M219" s="250"/>
      <c r="N219" s="251"/>
      <c r="O219" s="250">
        <v>0.0</v>
      </c>
      <c r="P219" s="252">
        <v>0.0</v>
      </c>
      <c r="Q219" s="253" t="s">
        <v>1372</v>
      </c>
    </row>
    <row r="220">
      <c r="A220" s="275" t="s">
        <v>1399</v>
      </c>
      <c r="B220" s="264" t="s">
        <v>104</v>
      </c>
      <c r="C220" s="276" t="s">
        <v>1325</v>
      </c>
      <c r="D220" s="277">
        <v>1.0</v>
      </c>
      <c r="E220" s="278" t="s">
        <v>1116</v>
      </c>
      <c r="F220" s="246">
        <v>0.0</v>
      </c>
      <c r="G220" s="246">
        <v>0.0</v>
      </c>
      <c r="H220" s="246">
        <v>0.0</v>
      </c>
      <c r="I220" s="246">
        <v>0.0</v>
      </c>
      <c r="J220" s="247">
        <v>0.0</v>
      </c>
      <c r="K220" s="268"/>
      <c r="L220" s="269"/>
      <c r="M220" s="250"/>
      <c r="N220" s="251"/>
      <c r="O220" s="250">
        <v>0.0</v>
      </c>
      <c r="P220" s="252">
        <v>0.0</v>
      </c>
      <c r="Q220" s="253" t="s">
        <v>1374</v>
      </c>
    </row>
    <row r="221">
      <c r="A221" s="275" t="s">
        <v>1400</v>
      </c>
      <c r="B221" s="270" t="s">
        <v>129</v>
      </c>
      <c r="C221" s="276" t="s">
        <v>1351</v>
      </c>
      <c r="D221" s="277">
        <v>1.0</v>
      </c>
      <c r="E221" s="278" t="s">
        <v>1116</v>
      </c>
      <c r="F221" s="246">
        <v>0.0</v>
      </c>
      <c r="G221" s="246">
        <v>0.0</v>
      </c>
      <c r="H221" s="246">
        <v>0.0</v>
      </c>
      <c r="I221" s="246">
        <v>0.0</v>
      </c>
      <c r="J221" s="247">
        <v>0.0</v>
      </c>
      <c r="K221" s="268"/>
      <c r="L221" s="269"/>
      <c r="M221" s="250"/>
      <c r="N221" s="251"/>
      <c r="O221" s="250">
        <v>0.0</v>
      </c>
      <c r="P221" s="252">
        <v>0.0</v>
      </c>
      <c r="Q221" s="253" t="s">
        <v>1376</v>
      </c>
    </row>
    <row r="222">
      <c r="A222" s="256"/>
      <c r="B222" s="257"/>
      <c r="C222" s="258" t="s">
        <v>1168</v>
      </c>
      <c r="D222" s="235"/>
      <c r="E222" s="259"/>
      <c r="F222" s="260"/>
      <c r="G222" s="260"/>
      <c r="H222" s="260"/>
      <c r="I222" s="260"/>
      <c r="J222" s="260"/>
      <c r="K222" s="261"/>
      <c r="L222" s="262"/>
      <c r="M222" s="262"/>
      <c r="N222" s="262"/>
      <c r="O222" s="262"/>
      <c r="P222" s="262"/>
      <c r="Q222" s="263"/>
    </row>
    <row r="223">
      <c r="A223" s="242" t="s">
        <v>1401</v>
      </c>
      <c r="B223" s="264" t="s">
        <v>130</v>
      </c>
      <c r="C223" s="265" t="s">
        <v>1170</v>
      </c>
      <c r="D223" s="266">
        <v>1.0</v>
      </c>
      <c r="E223" s="267" t="s">
        <v>1107</v>
      </c>
      <c r="F223" s="246">
        <v>0.0</v>
      </c>
      <c r="G223" s="246">
        <v>0.0</v>
      </c>
      <c r="H223" s="246">
        <v>0.0</v>
      </c>
      <c r="I223" s="246">
        <v>0.0</v>
      </c>
      <c r="J223" s="247">
        <v>0.0</v>
      </c>
      <c r="K223" s="268"/>
      <c r="L223" s="269"/>
      <c r="M223" s="250"/>
      <c r="N223" s="251"/>
      <c r="O223" s="250">
        <v>0.0</v>
      </c>
      <c r="P223" s="252">
        <v>0.0</v>
      </c>
      <c r="Q223" s="253" t="s">
        <v>1378</v>
      </c>
    </row>
    <row r="224">
      <c r="A224" s="242" t="s">
        <v>1402</v>
      </c>
      <c r="B224" s="274"/>
      <c r="C224" s="265" t="s">
        <v>1380</v>
      </c>
      <c r="D224" s="266">
        <v>1.0</v>
      </c>
      <c r="E224" s="271" t="s">
        <v>1107</v>
      </c>
      <c r="F224" s="246">
        <v>0.0</v>
      </c>
      <c r="G224" s="246">
        <v>0.0</v>
      </c>
      <c r="H224" s="246">
        <v>0.0</v>
      </c>
      <c r="I224" s="246">
        <v>0.0</v>
      </c>
      <c r="J224" s="247">
        <v>0.0</v>
      </c>
      <c r="K224" s="268"/>
      <c r="L224" s="269"/>
      <c r="M224" s="250"/>
      <c r="N224" s="251"/>
      <c r="O224" s="250">
        <v>0.0</v>
      </c>
      <c r="P224" s="252">
        <v>0.0</v>
      </c>
      <c r="Q224" s="253" t="s">
        <v>1381</v>
      </c>
    </row>
    <row r="225">
      <c r="A225" s="242" t="s">
        <v>1403</v>
      </c>
      <c r="B225" s="274"/>
      <c r="C225" s="265" t="s">
        <v>1176</v>
      </c>
      <c r="D225" s="266">
        <v>1.0</v>
      </c>
      <c r="E225" s="267" t="s">
        <v>1107</v>
      </c>
      <c r="F225" s="246">
        <v>0.0</v>
      </c>
      <c r="G225" s="246">
        <v>0.0</v>
      </c>
      <c r="H225" s="246">
        <v>0.0</v>
      </c>
      <c r="I225" s="246">
        <v>0.0</v>
      </c>
      <c r="J225" s="247">
        <v>0.0</v>
      </c>
      <c r="K225" s="268"/>
      <c r="L225" s="269"/>
      <c r="M225" s="250"/>
      <c r="N225" s="251"/>
      <c r="O225" s="250">
        <v>0.0</v>
      </c>
      <c r="P225" s="252">
        <v>0.0</v>
      </c>
      <c r="Q225" s="253" t="s">
        <v>1383</v>
      </c>
    </row>
    <row r="226">
      <c r="A226" s="256"/>
      <c r="B226" s="257"/>
      <c r="C226" s="258" t="s">
        <v>1122</v>
      </c>
      <c r="D226" s="235"/>
      <c r="E226" s="259"/>
      <c r="F226" s="260"/>
      <c r="G226" s="260"/>
      <c r="H226" s="260"/>
      <c r="I226" s="260"/>
      <c r="J226" s="260"/>
      <c r="K226" s="261"/>
      <c r="L226" s="262"/>
      <c r="M226" s="262"/>
      <c r="N226" s="262"/>
      <c r="O226" s="262"/>
      <c r="P226" s="262"/>
      <c r="Q226" s="263"/>
    </row>
    <row r="227">
      <c r="A227" s="242" t="s">
        <v>1404</v>
      </c>
      <c r="B227" s="270" t="s">
        <v>112</v>
      </c>
      <c r="C227" s="265" t="s">
        <v>1124</v>
      </c>
      <c r="D227" s="266">
        <v>2.24</v>
      </c>
      <c r="E227" s="267" t="s">
        <v>1073</v>
      </c>
      <c r="F227" s="246">
        <v>0.0</v>
      </c>
      <c r="G227" s="246">
        <v>0.0</v>
      </c>
      <c r="H227" s="246">
        <v>0.0</v>
      </c>
      <c r="I227" s="246">
        <v>0.0</v>
      </c>
      <c r="J227" s="247">
        <v>0.0</v>
      </c>
      <c r="K227" s="268"/>
      <c r="L227" s="269"/>
      <c r="M227" s="250"/>
      <c r="N227" s="251"/>
      <c r="O227" s="250">
        <v>0.0</v>
      </c>
      <c r="P227" s="252">
        <v>0.0</v>
      </c>
      <c r="Q227" s="253" t="s">
        <v>1385</v>
      </c>
    </row>
    <row r="228">
      <c r="A228" s="256"/>
      <c r="B228" s="257"/>
      <c r="C228" s="258" t="s">
        <v>1126</v>
      </c>
      <c r="D228" s="235"/>
      <c r="E228" s="259"/>
      <c r="F228" s="260"/>
      <c r="G228" s="260"/>
      <c r="H228" s="260"/>
      <c r="I228" s="260"/>
      <c r="J228" s="260"/>
      <c r="K228" s="261"/>
      <c r="L228" s="262"/>
      <c r="M228" s="262"/>
      <c r="N228" s="262"/>
      <c r="O228" s="262"/>
      <c r="P228" s="262"/>
      <c r="Q228" s="263"/>
    </row>
    <row r="229">
      <c r="A229" s="242" t="s">
        <v>1405</v>
      </c>
      <c r="B229" s="264" t="s">
        <v>116</v>
      </c>
      <c r="C229" s="265" t="s">
        <v>1128</v>
      </c>
      <c r="D229" s="266">
        <v>2.24</v>
      </c>
      <c r="E229" s="267" t="s">
        <v>1073</v>
      </c>
      <c r="F229" s="246">
        <v>0.0</v>
      </c>
      <c r="G229" s="246">
        <v>0.0</v>
      </c>
      <c r="H229" s="246">
        <v>0.0</v>
      </c>
      <c r="I229" s="246">
        <v>0.0</v>
      </c>
      <c r="J229" s="247">
        <v>0.0</v>
      </c>
      <c r="K229" s="268"/>
      <c r="L229" s="269"/>
      <c r="M229" s="250"/>
      <c r="N229" s="251"/>
      <c r="O229" s="250">
        <v>0.0</v>
      </c>
      <c r="P229" s="252">
        <v>0.0</v>
      </c>
      <c r="Q229" s="253" t="s">
        <v>1387</v>
      </c>
    </row>
    <row r="230">
      <c r="A230" s="242" t="s">
        <v>1406</v>
      </c>
      <c r="B230" s="270" t="s">
        <v>142</v>
      </c>
      <c r="C230" s="265" t="s">
        <v>1183</v>
      </c>
      <c r="D230" s="266">
        <v>13.35</v>
      </c>
      <c r="E230" s="267" t="s">
        <v>1073</v>
      </c>
      <c r="F230" s="246">
        <v>0.0</v>
      </c>
      <c r="G230" s="246">
        <v>0.0</v>
      </c>
      <c r="H230" s="246">
        <v>0.0</v>
      </c>
      <c r="I230" s="246">
        <v>0.0</v>
      </c>
      <c r="J230" s="247">
        <v>0.0</v>
      </c>
      <c r="K230" s="268"/>
      <c r="L230" s="269"/>
      <c r="M230" s="250"/>
      <c r="N230" s="251"/>
      <c r="O230" s="250">
        <v>0.0</v>
      </c>
      <c r="P230" s="252">
        <v>0.0</v>
      </c>
      <c r="Q230" s="253" t="s">
        <v>1389</v>
      </c>
    </row>
    <row r="231">
      <c r="A231" s="256"/>
      <c r="B231" s="257"/>
      <c r="C231" s="258" t="s">
        <v>1185</v>
      </c>
      <c r="D231" s="235"/>
      <c r="E231" s="259"/>
      <c r="F231" s="260"/>
      <c r="G231" s="260"/>
      <c r="H231" s="260"/>
      <c r="I231" s="260"/>
      <c r="J231" s="260"/>
      <c r="K231" s="261"/>
      <c r="L231" s="262"/>
      <c r="M231" s="262"/>
      <c r="N231" s="262"/>
      <c r="O231" s="262"/>
      <c r="P231" s="262"/>
      <c r="Q231" s="263"/>
    </row>
    <row r="232">
      <c r="A232" s="242" t="s">
        <v>1398</v>
      </c>
      <c r="B232" s="270" t="s">
        <v>143</v>
      </c>
      <c r="C232" s="265" t="s">
        <v>1186</v>
      </c>
      <c r="D232" s="266">
        <v>1.0</v>
      </c>
      <c r="E232" s="267" t="s">
        <v>1107</v>
      </c>
      <c r="F232" s="246">
        <v>0.0</v>
      </c>
      <c r="G232" s="246">
        <v>0.0</v>
      </c>
      <c r="H232" s="246">
        <v>0.0</v>
      </c>
      <c r="I232" s="246">
        <v>0.0</v>
      </c>
      <c r="J232" s="247">
        <v>0.0</v>
      </c>
      <c r="K232" s="268"/>
      <c r="L232" s="269"/>
      <c r="M232" s="250"/>
      <c r="N232" s="251"/>
      <c r="O232" s="250">
        <v>0.0</v>
      </c>
      <c r="P232" s="252">
        <v>0.0</v>
      </c>
      <c r="Q232" s="253" t="s">
        <v>1390</v>
      </c>
    </row>
    <row r="233">
      <c r="A233" s="256"/>
      <c r="B233" s="257"/>
      <c r="C233" s="258" t="s">
        <v>1188</v>
      </c>
      <c r="D233" s="235"/>
      <c r="E233" s="259"/>
      <c r="F233" s="260"/>
      <c r="G233" s="260"/>
      <c r="H233" s="260"/>
      <c r="I233" s="260"/>
      <c r="J233" s="260"/>
      <c r="K233" s="261"/>
      <c r="L233" s="262"/>
      <c r="M233" s="262"/>
      <c r="N233" s="262"/>
      <c r="O233" s="262"/>
      <c r="P233" s="262"/>
      <c r="Q233" s="263"/>
    </row>
    <row r="234">
      <c r="A234" s="242" t="s">
        <v>1407</v>
      </c>
      <c r="B234" s="270" t="s">
        <v>133</v>
      </c>
      <c r="C234" s="265" t="s">
        <v>1190</v>
      </c>
      <c r="D234" s="266">
        <v>1.0</v>
      </c>
      <c r="E234" s="267" t="s">
        <v>1116</v>
      </c>
      <c r="F234" s="246">
        <v>0.0</v>
      </c>
      <c r="G234" s="246">
        <v>0.0</v>
      </c>
      <c r="H234" s="246">
        <v>0.0</v>
      </c>
      <c r="I234" s="246">
        <v>0.0</v>
      </c>
      <c r="J234" s="247">
        <v>0.0</v>
      </c>
      <c r="K234" s="268"/>
      <c r="L234" s="269"/>
      <c r="M234" s="250"/>
      <c r="N234" s="251"/>
      <c r="O234" s="250">
        <v>0.0</v>
      </c>
      <c r="P234" s="252">
        <v>0.0</v>
      </c>
      <c r="Q234" s="253" t="s">
        <v>1392</v>
      </c>
    </row>
    <row r="235">
      <c r="A235" s="220"/>
      <c r="B235" s="221"/>
      <c r="C235" s="222" t="s">
        <v>1408</v>
      </c>
      <c r="D235" s="223"/>
      <c r="E235" s="224"/>
      <c r="F235" s="224"/>
      <c r="G235" s="225"/>
      <c r="H235" s="226"/>
      <c r="I235" s="227"/>
      <c r="J235" s="228">
        <v>0.0</v>
      </c>
      <c r="K235" s="224"/>
      <c r="L235" s="226"/>
      <c r="M235" s="229"/>
      <c r="N235" s="230"/>
      <c r="O235" s="227"/>
      <c r="P235" s="231">
        <v>0.0</v>
      </c>
      <c r="Q235" s="231"/>
    </row>
    <row r="236">
      <c r="A236" s="256"/>
      <c r="B236" s="257"/>
      <c r="C236" s="258" t="s">
        <v>1082</v>
      </c>
      <c r="D236" s="235"/>
      <c r="E236" s="259"/>
      <c r="F236" s="260"/>
      <c r="G236" s="260"/>
      <c r="H236" s="260"/>
      <c r="I236" s="260"/>
      <c r="J236" s="260"/>
      <c r="K236" s="261"/>
      <c r="L236" s="262"/>
      <c r="M236" s="262"/>
      <c r="N236" s="262"/>
      <c r="O236" s="262"/>
      <c r="P236" s="262"/>
      <c r="Q236" s="263"/>
    </row>
    <row r="237">
      <c r="A237" s="242" t="s">
        <v>1409</v>
      </c>
      <c r="B237" s="272">
        <v>46209.0</v>
      </c>
      <c r="C237" s="265" t="s">
        <v>1093</v>
      </c>
      <c r="D237" s="266">
        <v>9.13</v>
      </c>
      <c r="E237" s="267" t="s">
        <v>1073</v>
      </c>
      <c r="F237" s="246">
        <v>0.0</v>
      </c>
      <c r="G237" s="246">
        <v>0.0</v>
      </c>
      <c r="H237" s="246">
        <v>0.0</v>
      </c>
      <c r="I237" s="246">
        <v>0.0</v>
      </c>
      <c r="J237" s="247">
        <v>0.0</v>
      </c>
      <c r="K237" s="268"/>
      <c r="L237" s="269"/>
      <c r="M237" s="250"/>
      <c r="N237" s="251"/>
      <c r="O237" s="250">
        <v>0.0</v>
      </c>
      <c r="P237" s="252">
        <v>0.0</v>
      </c>
      <c r="Q237" s="253" t="s">
        <v>1410</v>
      </c>
    </row>
    <row r="238">
      <c r="A238" s="242" t="s">
        <v>1411</v>
      </c>
      <c r="B238" s="264" t="s">
        <v>111</v>
      </c>
      <c r="C238" s="265" t="s">
        <v>1096</v>
      </c>
      <c r="D238" s="266">
        <v>18.277</v>
      </c>
      <c r="E238" s="267" t="s">
        <v>1073</v>
      </c>
      <c r="F238" s="246">
        <v>0.0</v>
      </c>
      <c r="G238" s="246">
        <v>0.0</v>
      </c>
      <c r="H238" s="246">
        <v>0.0</v>
      </c>
      <c r="I238" s="246">
        <v>0.0</v>
      </c>
      <c r="J238" s="247">
        <v>0.0</v>
      </c>
      <c r="K238" s="268"/>
      <c r="L238" s="269"/>
      <c r="M238" s="250"/>
      <c r="N238" s="251"/>
      <c r="O238" s="250">
        <v>0.0</v>
      </c>
      <c r="P238" s="252">
        <v>0.0</v>
      </c>
      <c r="Q238" s="253" t="s">
        <v>1412</v>
      </c>
    </row>
    <row r="239">
      <c r="A239" s="242" t="s">
        <v>1413</v>
      </c>
      <c r="B239" s="264" t="s">
        <v>142</v>
      </c>
      <c r="C239" s="265" t="s">
        <v>1156</v>
      </c>
      <c r="D239" s="266">
        <v>2.24</v>
      </c>
      <c r="E239" s="267" t="s">
        <v>1073</v>
      </c>
      <c r="F239" s="246">
        <v>0.0</v>
      </c>
      <c r="G239" s="246">
        <v>0.0</v>
      </c>
      <c r="H239" s="246">
        <v>0.0</v>
      </c>
      <c r="I239" s="246">
        <v>0.0</v>
      </c>
      <c r="J239" s="247">
        <v>0.0</v>
      </c>
      <c r="K239" s="268"/>
      <c r="L239" s="269"/>
      <c r="M239" s="250"/>
      <c r="N239" s="251"/>
      <c r="O239" s="250">
        <v>0.0</v>
      </c>
      <c r="P239" s="252">
        <v>0.0</v>
      </c>
      <c r="Q239" s="253" t="s">
        <v>1414</v>
      </c>
    </row>
    <row r="240">
      <c r="A240" s="242" t="s">
        <v>1415</v>
      </c>
      <c r="B240" s="273">
        <v>46024.0</v>
      </c>
      <c r="C240" s="265" t="s">
        <v>1102</v>
      </c>
      <c r="D240" s="266">
        <v>2.24</v>
      </c>
      <c r="E240" s="267" t="s">
        <v>1073</v>
      </c>
      <c r="F240" s="246">
        <v>0.0</v>
      </c>
      <c r="G240" s="246">
        <v>0.0</v>
      </c>
      <c r="H240" s="246">
        <v>0.0</v>
      </c>
      <c r="I240" s="246">
        <v>0.0</v>
      </c>
      <c r="J240" s="247">
        <v>0.0</v>
      </c>
      <c r="K240" s="268"/>
      <c r="L240" s="269"/>
      <c r="M240" s="250"/>
      <c r="N240" s="251"/>
      <c r="O240" s="250">
        <v>0.0</v>
      </c>
      <c r="P240" s="252">
        <v>0.0</v>
      </c>
      <c r="Q240" s="253" t="s">
        <v>1416</v>
      </c>
    </row>
    <row r="241">
      <c r="A241" s="256"/>
      <c r="B241" s="257"/>
      <c r="C241" s="258" t="s">
        <v>1160</v>
      </c>
      <c r="D241" s="235"/>
      <c r="E241" s="259"/>
      <c r="F241" s="260"/>
      <c r="G241" s="260"/>
      <c r="H241" s="260"/>
      <c r="I241" s="260"/>
      <c r="J241" s="260"/>
      <c r="K241" s="261"/>
      <c r="L241" s="262"/>
      <c r="M241" s="262"/>
      <c r="N241" s="262"/>
      <c r="O241" s="262"/>
      <c r="P241" s="262"/>
      <c r="Q241" s="263"/>
    </row>
    <row r="242">
      <c r="A242" s="275" t="s">
        <v>1417</v>
      </c>
      <c r="B242" s="270" t="s">
        <v>129</v>
      </c>
      <c r="C242" s="276" t="s">
        <v>1322</v>
      </c>
      <c r="D242" s="277">
        <v>1.0</v>
      </c>
      <c r="E242" s="278" t="s">
        <v>1116</v>
      </c>
      <c r="F242" s="246">
        <v>0.0</v>
      </c>
      <c r="G242" s="246">
        <v>0.0</v>
      </c>
      <c r="H242" s="246">
        <v>0.0</v>
      </c>
      <c r="I242" s="246">
        <v>0.0</v>
      </c>
      <c r="J242" s="247">
        <v>0.0</v>
      </c>
      <c r="K242" s="268"/>
      <c r="L242" s="269"/>
      <c r="M242" s="250"/>
      <c r="N242" s="251"/>
      <c r="O242" s="250">
        <v>0.0</v>
      </c>
      <c r="P242" s="252">
        <v>0.0</v>
      </c>
      <c r="Q242" s="253" t="s">
        <v>1418</v>
      </c>
    </row>
    <row r="243">
      <c r="A243" s="275" t="s">
        <v>1419</v>
      </c>
      <c r="B243" s="264" t="s">
        <v>104</v>
      </c>
      <c r="C243" s="276" t="s">
        <v>1325</v>
      </c>
      <c r="D243" s="277">
        <v>1.0</v>
      </c>
      <c r="E243" s="278" t="s">
        <v>1116</v>
      </c>
      <c r="F243" s="246">
        <v>0.0</v>
      </c>
      <c r="G243" s="246">
        <v>0.0</v>
      </c>
      <c r="H243" s="246">
        <v>0.0</v>
      </c>
      <c r="I243" s="246">
        <v>0.0</v>
      </c>
      <c r="J243" s="247">
        <v>0.0</v>
      </c>
      <c r="K243" s="268"/>
      <c r="L243" s="269"/>
      <c r="M243" s="250"/>
      <c r="N243" s="251"/>
      <c r="O243" s="250">
        <v>0.0</v>
      </c>
      <c r="P243" s="252">
        <v>0.0</v>
      </c>
      <c r="Q243" s="253" t="s">
        <v>1420</v>
      </c>
    </row>
    <row r="244">
      <c r="A244" s="275" t="s">
        <v>1421</v>
      </c>
      <c r="B244" s="270" t="s">
        <v>129</v>
      </c>
      <c r="C244" s="276" t="s">
        <v>1351</v>
      </c>
      <c r="D244" s="277">
        <v>1.0</v>
      </c>
      <c r="E244" s="278" t="s">
        <v>1116</v>
      </c>
      <c r="F244" s="246">
        <v>0.0</v>
      </c>
      <c r="G244" s="246">
        <v>0.0</v>
      </c>
      <c r="H244" s="246">
        <v>0.0</v>
      </c>
      <c r="I244" s="246">
        <v>0.0</v>
      </c>
      <c r="J244" s="247">
        <v>0.0</v>
      </c>
      <c r="K244" s="268"/>
      <c r="L244" s="269"/>
      <c r="M244" s="250"/>
      <c r="N244" s="251"/>
      <c r="O244" s="250">
        <v>0.0</v>
      </c>
      <c r="P244" s="252">
        <v>0.0</v>
      </c>
      <c r="Q244" s="253" t="s">
        <v>1422</v>
      </c>
    </row>
    <row r="245">
      <c r="A245" s="256"/>
      <c r="B245" s="257"/>
      <c r="C245" s="258" t="s">
        <v>1168</v>
      </c>
      <c r="D245" s="235"/>
      <c r="E245" s="259"/>
      <c r="F245" s="260"/>
      <c r="G245" s="260"/>
      <c r="H245" s="260"/>
      <c r="I245" s="260"/>
      <c r="J245" s="260"/>
      <c r="K245" s="261"/>
      <c r="L245" s="262"/>
      <c r="M245" s="262"/>
      <c r="N245" s="262"/>
      <c r="O245" s="262"/>
      <c r="P245" s="262"/>
      <c r="Q245" s="263"/>
    </row>
    <row r="246">
      <c r="A246" s="242" t="s">
        <v>1423</v>
      </c>
      <c r="B246" s="264" t="s">
        <v>130</v>
      </c>
      <c r="C246" s="265" t="s">
        <v>1170</v>
      </c>
      <c r="D246" s="266">
        <v>1.0</v>
      </c>
      <c r="E246" s="267" t="s">
        <v>1107</v>
      </c>
      <c r="F246" s="246">
        <v>0.0</v>
      </c>
      <c r="G246" s="246">
        <v>0.0</v>
      </c>
      <c r="H246" s="246">
        <v>0.0</v>
      </c>
      <c r="I246" s="246">
        <v>0.0</v>
      </c>
      <c r="J246" s="247">
        <v>0.0</v>
      </c>
      <c r="K246" s="268"/>
      <c r="L246" s="269"/>
      <c r="M246" s="250"/>
      <c r="N246" s="251"/>
      <c r="O246" s="250">
        <v>0.0</v>
      </c>
      <c r="P246" s="252">
        <v>0.0</v>
      </c>
      <c r="Q246" s="253" t="s">
        <v>1424</v>
      </c>
    </row>
    <row r="247">
      <c r="A247" s="242" t="s">
        <v>1425</v>
      </c>
      <c r="B247" s="274"/>
      <c r="C247" s="265" t="s">
        <v>1380</v>
      </c>
      <c r="D247" s="266">
        <v>1.0</v>
      </c>
      <c r="E247" s="271" t="s">
        <v>1107</v>
      </c>
      <c r="F247" s="246">
        <v>0.0</v>
      </c>
      <c r="G247" s="246">
        <v>0.0</v>
      </c>
      <c r="H247" s="246">
        <v>0.0</v>
      </c>
      <c r="I247" s="246">
        <v>0.0</v>
      </c>
      <c r="J247" s="247">
        <v>0.0</v>
      </c>
      <c r="K247" s="268"/>
      <c r="L247" s="269"/>
      <c r="M247" s="250"/>
      <c r="N247" s="251"/>
      <c r="O247" s="250">
        <v>0.0</v>
      </c>
      <c r="P247" s="252">
        <v>0.0</v>
      </c>
      <c r="Q247" s="253" t="s">
        <v>1426</v>
      </c>
    </row>
    <row r="248">
      <c r="A248" s="242" t="s">
        <v>1427</v>
      </c>
      <c r="B248" s="274"/>
      <c r="C248" s="265" t="s">
        <v>1176</v>
      </c>
      <c r="D248" s="266">
        <v>1.0</v>
      </c>
      <c r="E248" s="267" t="s">
        <v>1107</v>
      </c>
      <c r="F248" s="246">
        <v>0.0</v>
      </c>
      <c r="G248" s="246">
        <v>0.0</v>
      </c>
      <c r="H248" s="246">
        <v>0.0</v>
      </c>
      <c r="I248" s="246">
        <v>0.0</v>
      </c>
      <c r="J248" s="247">
        <v>0.0</v>
      </c>
      <c r="K248" s="268"/>
      <c r="L248" s="269"/>
      <c r="M248" s="250"/>
      <c r="N248" s="251"/>
      <c r="O248" s="250">
        <v>0.0</v>
      </c>
      <c r="P248" s="252">
        <v>0.0</v>
      </c>
      <c r="Q248" s="253" t="s">
        <v>1428</v>
      </c>
    </row>
    <row r="249">
      <c r="A249" s="256"/>
      <c r="B249" s="257"/>
      <c r="C249" s="258" t="s">
        <v>1122</v>
      </c>
      <c r="D249" s="235"/>
      <c r="E249" s="259"/>
      <c r="F249" s="260"/>
      <c r="G249" s="260"/>
      <c r="H249" s="260"/>
      <c r="I249" s="260"/>
      <c r="J249" s="260"/>
      <c r="K249" s="261"/>
      <c r="L249" s="262"/>
      <c r="M249" s="262"/>
      <c r="N249" s="262"/>
      <c r="O249" s="262"/>
      <c r="P249" s="262"/>
      <c r="Q249" s="263"/>
    </row>
    <row r="250">
      <c r="A250" s="242" t="s">
        <v>1429</v>
      </c>
      <c r="B250" s="270" t="s">
        <v>112</v>
      </c>
      <c r="C250" s="265" t="s">
        <v>1124</v>
      </c>
      <c r="D250" s="266">
        <v>2.24</v>
      </c>
      <c r="E250" s="267" t="s">
        <v>1073</v>
      </c>
      <c r="F250" s="246">
        <v>0.0</v>
      </c>
      <c r="G250" s="246">
        <v>0.0</v>
      </c>
      <c r="H250" s="246">
        <v>0.0</v>
      </c>
      <c r="I250" s="246">
        <v>0.0</v>
      </c>
      <c r="J250" s="247">
        <v>0.0</v>
      </c>
      <c r="K250" s="268"/>
      <c r="L250" s="269"/>
      <c r="M250" s="250"/>
      <c r="N250" s="251"/>
      <c r="O250" s="250">
        <v>0.0</v>
      </c>
      <c r="P250" s="252">
        <v>0.0</v>
      </c>
      <c r="Q250" s="253" t="s">
        <v>1430</v>
      </c>
    </row>
    <row r="251">
      <c r="A251" s="256"/>
      <c r="B251" s="257"/>
      <c r="C251" s="258" t="s">
        <v>1126</v>
      </c>
      <c r="D251" s="235"/>
      <c r="E251" s="259"/>
      <c r="F251" s="260"/>
      <c r="G251" s="260"/>
      <c r="H251" s="260"/>
      <c r="I251" s="260"/>
      <c r="J251" s="260"/>
      <c r="K251" s="261"/>
      <c r="L251" s="262"/>
      <c r="M251" s="262"/>
      <c r="N251" s="262"/>
      <c r="O251" s="262"/>
      <c r="P251" s="262"/>
      <c r="Q251" s="263"/>
    </row>
    <row r="252">
      <c r="A252" s="242" t="s">
        <v>1431</v>
      </c>
      <c r="B252" s="264" t="s">
        <v>116</v>
      </c>
      <c r="C252" s="265" t="s">
        <v>1128</v>
      </c>
      <c r="D252" s="266">
        <v>2.24</v>
      </c>
      <c r="E252" s="267" t="s">
        <v>1073</v>
      </c>
      <c r="F252" s="246">
        <v>0.0</v>
      </c>
      <c r="G252" s="246">
        <v>0.0</v>
      </c>
      <c r="H252" s="246">
        <v>0.0</v>
      </c>
      <c r="I252" s="246">
        <v>0.0</v>
      </c>
      <c r="J252" s="247">
        <v>0.0</v>
      </c>
      <c r="K252" s="268"/>
      <c r="L252" s="269"/>
      <c r="M252" s="250"/>
      <c r="N252" s="251"/>
      <c r="O252" s="250">
        <v>0.0</v>
      </c>
      <c r="P252" s="252">
        <v>0.0</v>
      </c>
      <c r="Q252" s="253" t="s">
        <v>1432</v>
      </c>
    </row>
    <row r="253">
      <c r="A253" s="242" t="s">
        <v>1433</v>
      </c>
      <c r="B253" s="270" t="s">
        <v>142</v>
      </c>
      <c r="C253" s="265" t="s">
        <v>1183</v>
      </c>
      <c r="D253" s="266">
        <v>13.35</v>
      </c>
      <c r="E253" s="267" t="s">
        <v>1073</v>
      </c>
      <c r="F253" s="246">
        <v>0.0</v>
      </c>
      <c r="G253" s="246">
        <v>0.0</v>
      </c>
      <c r="H253" s="246">
        <v>0.0</v>
      </c>
      <c r="I253" s="246">
        <v>0.0</v>
      </c>
      <c r="J253" s="247">
        <v>0.0</v>
      </c>
      <c r="K253" s="268"/>
      <c r="L253" s="269"/>
      <c r="M253" s="250"/>
      <c r="N253" s="251"/>
      <c r="O253" s="250">
        <v>0.0</v>
      </c>
      <c r="P253" s="252">
        <v>0.0</v>
      </c>
      <c r="Q253" s="253" t="s">
        <v>1434</v>
      </c>
    </row>
    <row r="254">
      <c r="A254" s="256"/>
      <c r="B254" s="257"/>
      <c r="C254" s="258" t="s">
        <v>1185</v>
      </c>
      <c r="D254" s="235"/>
      <c r="E254" s="259"/>
      <c r="F254" s="260"/>
      <c r="G254" s="260"/>
      <c r="H254" s="260"/>
      <c r="I254" s="260"/>
      <c r="J254" s="260"/>
      <c r="K254" s="261"/>
      <c r="L254" s="262"/>
      <c r="M254" s="262"/>
      <c r="N254" s="262"/>
      <c r="O254" s="262"/>
      <c r="P254" s="262"/>
      <c r="Q254" s="263"/>
    </row>
    <row r="255">
      <c r="A255" s="242" t="s">
        <v>1417</v>
      </c>
      <c r="B255" s="270" t="s">
        <v>143</v>
      </c>
      <c r="C255" s="265" t="s">
        <v>1186</v>
      </c>
      <c r="D255" s="266">
        <v>1.0</v>
      </c>
      <c r="E255" s="267" t="s">
        <v>1107</v>
      </c>
      <c r="F255" s="246">
        <v>0.0</v>
      </c>
      <c r="G255" s="246">
        <v>0.0</v>
      </c>
      <c r="H255" s="246">
        <v>0.0</v>
      </c>
      <c r="I255" s="246">
        <v>0.0</v>
      </c>
      <c r="J255" s="247">
        <v>0.0</v>
      </c>
      <c r="K255" s="268"/>
      <c r="L255" s="269"/>
      <c r="M255" s="250"/>
      <c r="N255" s="251"/>
      <c r="O255" s="250">
        <v>0.0</v>
      </c>
      <c r="P255" s="252">
        <v>0.0</v>
      </c>
      <c r="Q255" s="253" t="s">
        <v>1435</v>
      </c>
    </row>
    <row r="256">
      <c r="A256" s="256"/>
      <c r="B256" s="257"/>
      <c r="C256" s="258" t="s">
        <v>1188</v>
      </c>
      <c r="D256" s="235"/>
      <c r="E256" s="259"/>
      <c r="F256" s="260"/>
      <c r="G256" s="260"/>
      <c r="H256" s="260"/>
      <c r="I256" s="260"/>
      <c r="J256" s="260"/>
      <c r="K256" s="261"/>
      <c r="L256" s="262"/>
      <c r="M256" s="262"/>
      <c r="N256" s="262"/>
      <c r="O256" s="262"/>
      <c r="P256" s="262"/>
      <c r="Q256" s="263"/>
    </row>
    <row r="257">
      <c r="A257" s="242" t="s">
        <v>1436</v>
      </c>
      <c r="B257" s="270" t="s">
        <v>133</v>
      </c>
      <c r="C257" s="265" t="s">
        <v>1190</v>
      </c>
      <c r="D257" s="266">
        <v>1.0</v>
      </c>
      <c r="E257" s="267" t="s">
        <v>1116</v>
      </c>
      <c r="F257" s="246">
        <v>0.0</v>
      </c>
      <c r="G257" s="246">
        <v>0.0</v>
      </c>
      <c r="H257" s="246">
        <v>0.0</v>
      </c>
      <c r="I257" s="246">
        <v>0.0</v>
      </c>
      <c r="J257" s="247">
        <v>0.0</v>
      </c>
      <c r="K257" s="268"/>
      <c r="L257" s="269"/>
      <c r="M257" s="250"/>
      <c r="N257" s="251"/>
      <c r="O257" s="250">
        <v>0.0</v>
      </c>
      <c r="P257" s="252">
        <v>0.0</v>
      </c>
      <c r="Q257" s="253" t="s">
        <v>1437</v>
      </c>
    </row>
    <row r="258">
      <c r="A258" s="220"/>
      <c r="B258" s="221"/>
      <c r="C258" s="222" t="s">
        <v>1438</v>
      </c>
      <c r="D258" s="223"/>
      <c r="E258" s="224"/>
      <c r="F258" s="224"/>
      <c r="G258" s="225"/>
      <c r="H258" s="226"/>
      <c r="I258" s="227"/>
      <c r="J258" s="228">
        <v>0.0</v>
      </c>
      <c r="K258" s="224"/>
      <c r="L258" s="226"/>
      <c r="M258" s="229"/>
      <c r="N258" s="230"/>
      <c r="O258" s="227"/>
      <c r="P258" s="231">
        <v>0.0</v>
      </c>
      <c r="Q258" s="231"/>
    </row>
    <row r="259">
      <c r="A259" s="256"/>
      <c r="B259" s="257"/>
      <c r="C259" s="258" t="s">
        <v>1082</v>
      </c>
      <c r="D259" s="235"/>
      <c r="E259" s="259"/>
      <c r="F259" s="260"/>
      <c r="G259" s="260"/>
      <c r="H259" s="260"/>
      <c r="I259" s="260"/>
      <c r="J259" s="260"/>
      <c r="K259" s="261"/>
      <c r="L259" s="262"/>
      <c r="M259" s="262"/>
      <c r="N259" s="262"/>
      <c r="O259" s="262"/>
      <c r="P259" s="262"/>
      <c r="Q259" s="263"/>
    </row>
    <row r="260">
      <c r="A260" s="242" t="s">
        <v>1439</v>
      </c>
      <c r="B260" s="272">
        <v>46209.0</v>
      </c>
      <c r="C260" s="265" t="s">
        <v>1093</v>
      </c>
      <c r="D260" s="266">
        <v>9.13</v>
      </c>
      <c r="E260" s="267" t="s">
        <v>1073</v>
      </c>
      <c r="F260" s="246">
        <v>0.0</v>
      </c>
      <c r="G260" s="246">
        <v>0.0</v>
      </c>
      <c r="H260" s="246">
        <v>0.0</v>
      </c>
      <c r="I260" s="246">
        <v>0.0</v>
      </c>
      <c r="J260" s="247">
        <v>0.0</v>
      </c>
      <c r="K260" s="268"/>
      <c r="L260" s="269"/>
      <c r="M260" s="250"/>
      <c r="N260" s="251"/>
      <c r="O260" s="250">
        <v>0.0</v>
      </c>
      <c r="P260" s="252">
        <v>0.0</v>
      </c>
      <c r="Q260" s="253" t="s">
        <v>1410</v>
      </c>
    </row>
    <row r="261">
      <c r="A261" s="242" t="s">
        <v>1440</v>
      </c>
      <c r="B261" s="264" t="s">
        <v>111</v>
      </c>
      <c r="C261" s="265" t="s">
        <v>1096</v>
      </c>
      <c r="D261" s="266">
        <v>18.277</v>
      </c>
      <c r="E261" s="267" t="s">
        <v>1073</v>
      </c>
      <c r="F261" s="246">
        <v>0.0</v>
      </c>
      <c r="G261" s="246">
        <v>0.0</v>
      </c>
      <c r="H261" s="246">
        <v>0.0</v>
      </c>
      <c r="I261" s="246">
        <v>0.0</v>
      </c>
      <c r="J261" s="247">
        <v>0.0</v>
      </c>
      <c r="K261" s="268"/>
      <c r="L261" s="269"/>
      <c r="M261" s="250"/>
      <c r="N261" s="251"/>
      <c r="O261" s="250">
        <v>0.0</v>
      </c>
      <c r="P261" s="252">
        <v>0.0</v>
      </c>
      <c r="Q261" s="253" t="s">
        <v>1412</v>
      </c>
    </row>
    <row r="262">
      <c r="A262" s="242" t="s">
        <v>1441</v>
      </c>
      <c r="B262" s="264" t="s">
        <v>142</v>
      </c>
      <c r="C262" s="265" t="s">
        <v>1156</v>
      </c>
      <c r="D262" s="266">
        <v>2.24</v>
      </c>
      <c r="E262" s="267" t="s">
        <v>1073</v>
      </c>
      <c r="F262" s="246">
        <v>0.0</v>
      </c>
      <c r="G262" s="246">
        <v>0.0</v>
      </c>
      <c r="H262" s="246">
        <v>0.0</v>
      </c>
      <c r="I262" s="246">
        <v>0.0</v>
      </c>
      <c r="J262" s="247">
        <v>0.0</v>
      </c>
      <c r="K262" s="268"/>
      <c r="L262" s="269"/>
      <c r="M262" s="250"/>
      <c r="N262" s="251"/>
      <c r="O262" s="250">
        <v>0.0</v>
      </c>
      <c r="P262" s="252">
        <v>0.0</v>
      </c>
      <c r="Q262" s="253" t="s">
        <v>1414</v>
      </c>
    </row>
    <row r="263">
      <c r="A263" s="242" t="s">
        <v>1442</v>
      </c>
      <c r="B263" s="273">
        <v>46024.0</v>
      </c>
      <c r="C263" s="265" t="s">
        <v>1102</v>
      </c>
      <c r="D263" s="266">
        <v>2.24</v>
      </c>
      <c r="E263" s="267" t="s">
        <v>1073</v>
      </c>
      <c r="F263" s="246">
        <v>0.0</v>
      </c>
      <c r="G263" s="246">
        <v>0.0</v>
      </c>
      <c r="H263" s="246">
        <v>0.0</v>
      </c>
      <c r="I263" s="246">
        <v>0.0</v>
      </c>
      <c r="J263" s="247">
        <v>0.0</v>
      </c>
      <c r="K263" s="268"/>
      <c r="L263" s="269"/>
      <c r="M263" s="250"/>
      <c r="N263" s="251"/>
      <c r="O263" s="250">
        <v>0.0</v>
      </c>
      <c r="P263" s="252">
        <v>0.0</v>
      </c>
      <c r="Q263" s="253" t="s">
        <v>1416</v>
      </c>
    </row>
    <row r="264">
      <c r="A264" s="256"/>
      <c r="B264" s="257"/>
      <c r="C264" s="258" t="s">
        <v>1160</v>
      </c>
      <c r="D264" s="235"/>
      <c r="E264" s="259"/>
      <c r="F264" s="260"/>
      <c r="G264" s="260"/>
      <c r="H264" s="260"/>
      <c r="I264" s="260"/>
      <c r="J264" s="260"/>
      <c r="K264" s="261"/>
      <c r="L264" s="262"/>
      <c r="M264" s="262"/>
      <c r="N264" s="262"/>
      <c r="O264" s="262"/>
      <c r="P264" s="262"/>
      <c r="Q264" s="263"/>
    </row>
    <row r="265">
      <c r="A265" s="275" t="s">
        <v>1443</v>
      </c>
      <c r="B265" s="270" t="s">
        <v>129</v>
      </c>
      <c r="C265" s="276" t="s">
        <v>1322</v>
      </c>
      <c r="D265" s="277">
        <v>1.0</v>
      </c>
      <c r="E265" s="278" t="s">
        <v>1116</v>
      </c>
      <c r="F265" s="246">
        <v>0.0</v>
      </c>
      <c r="G265" s="246">
        <v>0.0</v>
      </c>
      <c r="H265" s="246">
        <v>0.0</v>
      </c>
      <c r="I265" s="246">
        <v>0.0</v>
      </c>
      <c r="J265" s="247">
        <v>0.0</v>
      </c>
      <c r="K265" s="268"/>
      <c r="L265" s="269"/>
      <c r="M265" s="250"/>
      <c r="N265" s="251"/>
      <c r="O265" s="250">
        <v>0.0</v>
      </c>
      <c r="P265" s="252">
        <v>0.0</v>
      </c>
      <c r="Q265" s="253" t="s">
        <v>1418</v>
      </c>
    </row>
    <row r="266">
      <c r="A266" s="275" t="s">
        <v>1444</v>
      </c>
      <c r="B266" s="264" t="s">
        <v>104</v>
      </c>
      <c r="C266" s="276" t="s">
        <v>1325</v>
      </c>
      <c r="D266" s="277">
        <v>1.0</v>
      </c>
      <c r="E266" s="278" t="s">
        <v>1116</v>
      </c>
      <c r="F266" s="246">
        <v>0.0</v>
      </c>
      <c r="G266" s="246">
        <v>0.0</v>
      </c>
      <c r="H266" s="246">
        <v>0.0</v>
      </c>
      <c r="I266" s="246">
        <v>0.0</v>
      </c>
      <c r="J266" s="247">
        <v>0.0</v>
      </c>
      <c r="K266" s="268"/>
      <c r="L266" s="269"/>
      <c r="M266" s="250"/>
      <c r="N266" s="251"/>
      <c r="O266" s="250">
        <v>0.0</v>
      </c>
      <c r="P266" s="252">
        <v>0.0</v>
      </c>
      <c r="Q266" s="253" t="s">
        <v>1420</v>
      </c>
    </row>
    <row r="267">
      <c r="A267" s="275" t="s">
        <v>1445</v>
      </c>
      <c r="B267" s="270" t="s">
        <v>129</v>
      </c>
      <c r="C267" s="276" t="s">
        <v>1351</v>
      </c>
      <c r="D267" s="277">
        <v>1.0</v>
      </c>
      <c r="E267" s="278" t="s">
        <v>1116</v>
      </c>
      <c r="F267" s="246">
        <v>0.0</v>
      </c>
      <c r="G267" s="246">
        <v>0.0</v>
      </c>
      <c r="H267" s="246">
        <v>0.0</v>
      </c>
      <c r="I267" s="246">
        <v>0.0</v>
      </c>
      <c r="J267" s="247">
        <v>0.0</v>
      </c>
      <c r="K267" s="268"/>
      <c r="L267" s="269"/>
      <c r="M267" s="250"/>
      <c r="N267" s="251"/>
      <c r="O267" s="250">
        <v>0.0</v>
      </c>
      <c r="P267" s="252">
        <v>0.0</v>
      </c>
      <c r="Q267" s="253" t="s">
        <v>1422</v>
      </c>
    </row>
    <row r="268">
      <c r="A268" s="256"/>
      <c r="B268" s="257"/>
      <c r="C268" s="258" t="s">
        <v>1168</v>
      </c>
      <c r="D268" s="235"/>
      <c r="E268" s="259"/>
      <c r="F268" s="260"/>
      <c r="G268" s="260"/>
      <c r="H268" s="260"/>
      <c r="I268" s="260"/>
      <c r="J268" s="260"/>
      <c r="K268" s="261"/>
      <c r="L268" s="262"/>
      <c r="M268" s="262"/>
      <c r="N268" s="262"/>
      <c r="O268" s="262"/>
      <c r="P268" s="262"/>
      <c r="Q268" s="263"/>
    </row>
    <row r="269">
      <c r="A269" s="242" t="s">
        <v>1446</v>
      </c>
      <c r="B269" s="264" t="s">
        <v>130</v>
      </c>
      <c r="C269" s="265" t="s">
        <v>1170</v>
      </c>
      <c r="D269" s="266">
        <v>1.0</v>
      </c>
      <c r="E269" s="267" t="s">
        <v>1107</v>
      </c>
      <c r="F269" s="246">
        <v>0.0</v>
      </c>
      <c r="G269" s="246">
        <v>0.0</v>
      </c>
      <c r="H269" s="246">
        <v>0.0</v>
      </c>
      <c r="I269" s="246">
        <v>0.0</v>
      </c>
      <c r="J269" s="247">
        <v>0.0</v>
      </c>
      <c r="K269" s="268"/>
      <c r="L269" s="269"/>
      <c r="M269" s="250"/>
      <c r="N269" s="251"/>
      <c r="O269" s="250">
        <v>0.0</v>
      </c>
      <c r="P269" s="252">
        <v>0.0</v>
      </c>
      <c r="Q269" s="253" t="s">
        <v>1424</v>
      </c>
    </row>
    <row r="270">
      <c r="A270" s="242" t="s">
        <v>1447</v>
      </c>
      <c r="B270" s="274"/>
      <c r="C270" s="265" t="s">
        <v>1380</v>
      </c>
      <c r="D270" s="266">
        <v>1.0</v>
      </c>
      <c r="E270" s="271" t="s">
        <v>1107</v>
      </c>
      <c r="F270" s="246">
        <v>0.0</v>
      </c>
      <c r="G270" s="246">
        <v>0.0</v>
      </c>
      <c r="H270" s="246">
        <v>0.0</v>
      </c>
      <c r="I270" s="246">
        <v>0.0</v>
      </c>
      <c r="J270" s="247">
        <v>0.0</v>
      </c>
      <c r="K270" s="268"/>
      <c r="L270" s="269"/>
      <c r="M270" s="250"/>
      <c r="N270" s="251"/>
      <c r="O270" s="250">
        <v>0.0</v>
      </c>
      <c r="P270" s="252">
        <v>0.0</v>
      </c>
      <c r="Q270" s="253" t="s">
        <v>1426</v>
      </c>
    </row>
    <row r="271">
      <c r="A271" s="242" t="s">
        <v>1448</v>
      </c>
      <c r="B271" s="274"/>
      <c r="C271" s="265" t="s">
        <v>1176</v>
      </c>
      <c r="D271" s="266">
        <v>1.0</v>
      </c>
      <c r="E271" s="267" t="s">
        <v>1107</v>
      </c>
      <c r="F271" s="246">
        <v>0.0</v>
      </c>
      <c r="G271" s="246">
        <v>0.0</v>
      </c>
      <c r="H271" s="246">
        <v>0.0</v>
      </c>
      <c r="I271" s="246">
        <v>0.0</v>
      </c>
      <c r="J271" s="247">
        <v>0.0</v>
      </c>
      <c r="K271" s="268"/>
      <c r="L271" s="269"/>
      <c r="M271" s="250"/>
      <c r="N271" s="251"/>
      <c r="O271" s="250">
        <v>0.0</v>
      </c>
      <c r="P271" s="252">
        <v>0.0</v>
      </c>
      <c r="Q271" s="253" t="s">
        <v>1428</v>
      </c>
    </row>
    <row r="272">
      <c r="A272" s="256"/>
      <c r="B272" s="257"/>
      <c r="C272" s="258" t="s">
        <v>1122</v>
      </c>
      <c r="D272" s="235"/>
      <c r="E272" s="259"/>
      <c r="F272" s="260"/>
      <c r="G272" s="260"/>
      <c r="H272" s="260"/>
      <c r="I272" s="260"/>
      <c r="J272" s="260"/>
      <c r="K272" s="261"/>
      <c r="L272" s="262"/>
      <c r="M272" s="262"/>
      <c r="N272" s="262"/>
      <c r="O272" s="262"/>
      <c r="P272" s="262"/>
      <c r="Q272" s="263"/>
    </row>
    <row r="273">
      <c r="A273" s="242" t="s">
        <v>1449</v>
      </c>
      <c r="B273" s="270" t="s">
        <v>112</v>
      </c>
      <c r="C273" s="265" t="s">
        <v>1124</v>
      </c>
      <c r="D273" s="266">
        <v>2.24</v>
      </c>
      <c r="E273" s="267" t="s">
        <v>1073</v>
      </c>
      <c r="F273" s="246">
        <v>0.0</v>
      </c>
      <c r="G273" s="246">
        <v>0.0</v>
      </c>
      <c r="H273" s="246">
        <v>0.0</v>
      </c>
      <c r="I273" s="246">
        <v>0.0</v>
      </c>
      <c r="J273" s="247">
        <v>0.0</v>
      </c>
      <c r="K273" s="268"/>
      <c r="L273" s="269"/>
      <c r="M273" s="250"/>
      <c r="N273" s="251"/>
      <c r="O273" s="250">
        <v>0.0</v>
      </c>
      <c r="P273" s="252">
        <v>0.0</v>
      </c>
      <c r="Q273" s="253" t="s">
        <v>1430</v>
      </c>
    </row>
    <row r="274">
      <c r="A274" s="256"/>
      <c r="B274" s="257"/>
      <c r="C274" s="258" t="s">
        <v>1126</v>
      </c>
      <c r="D274" s="235"/>
      <c r="E274" s="259"/>
      <c r="F274" s="260"/>
      <c r="G274" s="260"/>
      <c r="H274" s="260"/>
      <c r="I274" s="260"/>
      <c r="J274" s="260"/>
      <c r="K274" s="261"/>
      <c r="L274" s="262"/>
      <c r="M274" s="262"/>
      <c r="N274" s="262"/>
      <c r="O274" s="262"/>
      <c r="P274" s="262"/>
      <c r="Q274" s="263"/>
    </row>
    <row r="275">
      <c r="A275" s="242" t="s">
        <v>1450</v>
      </c>
      <c r="B275" s="264" t="s">
        <v>116</v>
      </c>
      <c r="C275" s="265" t="s">
        <v>1128</v>
      </c>
      <c r="D275" s="266">
        <v>2.24</v>
      </c>
      <c r="E275" s="267" t="s">
        <v>1073</v>
      </c>
      <c r="F275" s="246">
        <v>0.0</v>
      </c>
      <c r="G275" s="246">
        <v>0.0</v>
      </c>
      <c r="H275" s="246">
        <v>0.0</v>
      </c>
      <c r="I275" s="246">
        <v>0.0</v>
      </c>
      <c r="J275" s="247">
        <v>0.0</v>
      </c>
      <c r="K275" s="268"/>
      <c r="L275" s="269"/>
      <c r="M275" s="250"/>
      <c r="N275" s="251"/>
      <c r="O275" s="250">
        <v>0.0</v>
      </c>
      <c r="P275" s="252">
        <v>0.0</v>
      </c>
      <c r="Q275" s="253" t="s">
        <v>1432</v>
      </c>
    </row>
    <row r="276">
      <c r="A276" s="242" t="s">
        <v>1451</v>
      </c>
      <c r="B276" s="270" t="s">
        <v>142</v>
      </c>
      <c r="C276" s="265" t="s">
        <v>1183</v>
      </c>
      <c r="D276" s="266">
        <v>13.35</v>
      </c>
      <c r="E276" s="267" t="s">
        <v>1073</v>
      </c>
      <c r="F276" s="246">
        <v>0.0</v>
      </c>
      <c r="G276" s="246">
        <v>0.0</v>
      </c>
      <c r="H276" s="246">
        <v>0.0</v>
      </c>
      <c r="I276" s="246">
        <v>0.0</v>
      </c>
      <c r="J276" s="247">
        <v>0.0</v>
      </c>
      <c r="K276" s="268"/>
      <c r="L276" s="269"/>
      <c r="M276" s="250"/>
      <c r="N276" s="251"/>
      <c r="O276" s="250">
        <v>0.0</v>
      </c>
      <c r="P276" s="252">
        <v>0.0</v>
      </c>
      <c r="Q276" s="253" t="s">
        <v>1434</v>
      </c>
    </row>
    <row r="277">
      <c r="A277" s="256"/>
      <c r="B277" s="257"/>
      <c r="C277" s="258" t="s">
        <v>1185</v>
      </c>
      <c r="D277" s="235"/>
      <c r="E277" s="259"/>
      <c r="F277" s="260"/>
      <c r="G277" s="260"/>
      <c r="H277" s="260"/>
      <c r="I277" s="260"/>
      <c r="J277" s="260"/>
      <c r="K277" s="261"/>
      <c r="L277" s="262"/>
      <c r="M277" s="262"/>
      <c r="N277" s="262"/>
      <c r="O277" s="262"/>
      <c r="P277" s="262"/>
      <c r="Q277" s="263"/>
    </row>
    <row r="278">
      <c r="A278" s="242" t="s">
        <v>1443</v>
      </c>
      <c r="B278" s="270" t="s">
        <v>143</v>
      </c>
      <c r="C278" s="265" t="s">
        <v>1186</v>
      </c>
      <c r="D278" s="266">
        <v>1.0</v>
      </c>
      <c r="E278" s="267" t="s">
        <v>1107</v>
      </c>
      <c r="F278" s="246">
        <v>0.0</v>
      </c>
      <c r="G278" s="246">
        <v>0.0</v>
      </c>
      <c r="H278" s="246">
        <v>0.0</v>
      </c>
      <c r="I278" s="246">
        <v>0.0</v>
      </c>
      <c r="J278" s="247">
        <v>0.0</v>
      </c>
      <c r="K278" s="268"/>
      <c r="L278" s="269"/>
      <c r="M278" s="250"/>
      <c r="N278" s="251"/>
      <c r="O278" s="250">
        <v>0.0</v>
      </c>
      <c r="P278" s="252">
        <v>0.0</v>
      </c>
      <c r="Q278" s="253" t="s">
        <v>1435</v>
      </c>
    </row>
    <row r="279">
      <c r="A279" s="256"/>
      <c r="B279" s="257"/>
      <c r="C279" s="258" t="s">
        <v>1188</v>
      </c>
      <c r="D279" s="235"/>
      <c r="E279" s="259"/>
      <c r="F279" s="260"/>
      <c r="G279" s="260"/>
      <c r="H279" s="260"/>
      <c r="I279" s="260"/>
      <c r="J279" s="260"/>
      <c r="K279" s="261"/>
      <c r="L279" s="262"/>
      <c r="M279" s="262"/>
      <c r="N279" s="262"/>
      <c r="O279" s="262"/>
      <c r="P279" s="262"/>
      <c r="Q279" s="263"/>
    </row>
    <row r="280">
      <c r="A280" s="242" t="s">
        <v>1452</v>
      </c>
      <c r="B280" s="270" t="s">
        <v>133</v>
      </c>
      <c r="C280" s="265" t="s">
        <v>1190</v>
      </c>
      <c r="D280" s="266">
        <v>1.0</v>
      </c>
      <c r="E280" s="267" t="s">
        <v>1116</v>
      </c>
      <c r="F280" s="246">
        <v>0.0</v>
      </c>
      <c r="G280" s="246">
        <v>0.0</v>
      </c>
      <c r="H280" s="246">
        <v>0.0</v>
      </c>
      <c r="I280" s="246">
        <v>0.0</v>
      </c>
      <c r="J280" s="247">
        <v>0.0</v>
      </c>
      <c r="K280" s="268"/>
      <c r="L280" s="269"/>
      <c r="M280" s="250"/>
      <c r="N280" s="251"/>
      <c r="O280" s="250">
        <v>0.0</v>
      </c>
      <c r="P280" s="252">
        <v>0.0</v>
      </c>
      <c r="Q280" s="253" t="s">
        <v>1437</v>
      </c>
    </row>
    <row r="281">
      <c r="A281" s="220"/>
      <c r="B281" s="221"/>
      <c r="C281" s="222" t="s">
        <v>1453</v>
      </c>
      <c r="D281" s="223"/>
      <c r="E281" s="224"/>
      <c r="F281" s="224"/>
      <c r="G281" s="225"/>
      <c r="H281" s="226"/>
      <c r="I281" s="227"/>
      <c r="J281" s="228">
        <v>0.0</v>
      </c>
      <c r="K281" s="224"/>
      <c r="L281" s="226"/>
      <c r="M281" s="229"/>
      <c r="N281" s="230"/>
      <c r="O281" s="227"/>
      <c r="P281" s="231">
        <v>0.0</v>
      </c>
      <c r="Q281" s="231"/>
    </row>
    <row r="282">
      <c r="A282" s="256"/>
      <c r="B282" s="257"/>
      <c r="C282" s="258" t="s">
        <v>1082</v>
      </c>
      <c r="D282" s="235"/>
      <c r="E282" s="259"/>
      <c r="F282" s="260"/>
      <c r="G282" s="260"/>
      <c r="H282" s="260"/>
      <c r="I282" s="260"/>
      <c r="J282" s="260"/>
      <c r="K282" s="261"/>
      <c r="L282" s="262"/>
      <c r="M282" s="262"/>
      <c r="N282" s="262"/>
      <c r="O282" s="262"/>
      <c r="P282" s="262"/>
      <c r="Q282" s="263"/>
    </row>
    <row r="283">
      <c r="A283" s="242" t="s">
        <v>1454</v>
      </c>
      <c r="B283" s="272">
        <v>46209.0</v>
      </c>
      <c r="C283" s="265" t="s">
        <v>1093</v>
      </c>
      <c r="D283" s="266">
        <v>8.575</v>
      </c>
      <c r="E283" s="267" t="s">
        <v>1073</v>
      </c>
      <c r="F283" s="246">
        <v>0.0</v>
      </c>
      <c r="G283" s="246">
        <v>0.0</v>
      </c>
      <c r="H283" s="246">
        <v>0.0</v>
      </c>
      <c r="I283" s="246">
        <v>0.0</v>
      </c>
      <c r="J283" s="247">
        <v>0.0</v>
      </c>
      <c r="K283" s="268"/>
      <c r="L283" s="269"/>
      <c r="M283" s="250"/>
      <c r="N283" s="251"/>
      <c r="O283" s="250">
        <v>0.0</v>
      </c>
      <c r="P283" s="252">
        <v>0.0</v>
      </c>
      <c r="Q283" s="253" t="s">
        <v>1455</v>
      </c>
    </row>
    <row r="284">
      <c r="A284" s="242" t="s">
        <v>1456</v>
      </c>
      <c r="B284" s="264" t="s">
        <v>111</v>
      </c>
      <c r="C284" s="265" t="s">
        <v>1096</v>
      </c>
      <c r="D284" s="266">
        <v>17.15</v>
      </c>
      <c r="E284" s="267" t="s">
        <v>1073</v>
      </c>
      <c r="F284" s="246">
        <v>0.0</v>
      </c>
      <c r="G284" s="246">
        <v>0.0</v>
      </c>
      <c r="H284" s="246">
        <v>0.0</v>
      </c>
      <c r="I284" s="246">
        <v>0.0</v>
      </c>
      <c r="J284" s="247">
        <v>0.0</v>
      </c>
      <c r="K284" s="268"/>
      <c r="L284" s="269"/>
      <c r="M284" s="250"/>
      <c r="N284" s="251"/>
      <c r="O284" s="250">
        <v>0.0</v>
      </c>
      <c r="P284" s="252">
        <v>0.0</v>
      </c>
      <c r="Q284" s="253" t="s">
        <v>1457</v>
      </c>
    </row>
    <row r="285">
      <c r="A285" s="242" t="s">
        <v>1458</v>
      </c>
      <c r="B285" s="264" t="s">
        <v>142</v>
      </c>
      <c r="C285" s="265" t="s">
        <v>1156</v>
      </c>
      <c r="D285" s="266">
        <v>1.82</v>
      </c>
      <c r="E285" s="267" t="s">
        <v>1073</v>
      </c>
      <c r="F285" s="246">
        <v>0.0</v>
      </c>
      <c r="G285" s="246">
        <v>0.0</v>
      </c>
      <c r="H285" s="246">
        <v>0.0</v>
      </c>
      <c r="I285" s="246">
        <v>0.0</v>
      </c>
      <c r="J285" s="247">
        <v>0.0</v>
      </c>
      <c r="K285" s="268"/>
      <c r="L285" s="269"/>
      <c r="M285" s="250"/>
      <c r="N285" s="251"/>
      <c r="O285" s="250">
        <v>0.0</v>
      </c>
      <c r="P285" s="252">
        <v>0.0</v>
      </c>
      <c r="Q285" s="253" t="s">
        <v>1459</v>
      </c>
    </row>
    <row r="286">
      <c r="A286" s="242" t="s">
        <v>1460</v>
      </c>
      <c r="B286" s="273">
        <v>46024.0</v>
      </c>
      <c r="C286" s="265" t="s">
        <v>1102</v>
      </c>
      <c r="D286" s="266">
        <v>1.82</v>
      </c>
      <c r="E286" s="267" t="s">
        <v>1073</v>
      </c>
      <c r="F286" s="246">
        <v>0.0</v>
      </c>
      <c r="G286" s="246">
        <v>0.0</v>
      </c>
      <c r="H286" s="246">
        <v>0.0</v>
      </c>
      <c r="I286" s="246">
        <v>0.0</v>
      </c>
      <c r="J286" s="247">
        <v>0.0</v>
      </c>
      <c r="K286" s="268"/>
      <c r="L286" s="269"/>
      <c r="M286" s="250"/>
      <c r="N286" s="251"/>
      <c r="O286" s="250">
        <v>0.0</v>
      </c>
      <c r="P286" s="252">
        <v>0.0</v>
      </c>
      <c r="Q286" s="253" t="s">
        <v>1461</v>
      </c>
    </row>
    <row r="287">
      <c r="A287" s="256"/>
      <c r="B287" s="257"/>
      <c r="C287" s="258" t="s">
        <v>1160</v>
      </c>
      <c r="D287" s="235"/>
      <c r="E287" s="259"/>
      <c r="F287" s="260"/>
      <c r="G287" s="260"/>
      <c r="H287" s="260"/>
      <c r="I287" s="260"/>
      <c r="J287" s="260"/>
      <c r="K287" s="261"/>
      <c r="L287" s="262"/>
      <c r="M287" s="262"/>
      <c r="N287" s="262"/>
      <c r="O287" s="262"/>
      <c r="P287" s="262"/>
      <c r="Q287" s="263"/>
    </row>
    <row r="288">
      <c r="A288" s="275" t="s">
        <v>1462</v>
      </c>
      <c r="B288" s="270" t="s">
        <v>129</v>
      </c>
      <c r="C288" s="276" t="s">
        <v>1322</v>
      </c>
      <c r="D288" s="277">
        <v>1.0</v>
      </c>
      <c r="E288" s="278" t="s">
        <v>1116</v>
      </c>
      <c r="F288" s="246">
        <v>0.0</v>
      </c>
      <c r="G288" s="246">
        <v>0.0</v>
      </c>
      <c r="H288" s="246">
        <v>0.0</v>
      </c>
      <c r="I288" s="246">
        <v>0.0</v>
      </c>
      <c r="J288" s="247">
        <v>0.0</v>
      </c>
      <c r="K288" s="268"/>
      <c r="L288" s="269"/>
      <c r="M288" s="250"/>
      <c r="N288" s="251"/>
      <c r="O288" s="250">
        <v>0.0</v>
      </c>
      <c r="P288" s="252">
        <v>0.0</v>
      </c>
      <c r="Q288" s="253" t="s">
        <v>1463</v>
      </c>
    </row>
    <row r="289">
      <c r="A289" s="275" t="s">
        <v>1464</v>
      </c>
      <c r="B289" s="264" t="s">
        <v>104</v>
      </c>
      <c r="C289" s="276" t="s">
        <v>1325</v>
      </c>
      <c r="D289" s="277">
        <v>1.0</v>
      </c>
      <c r="E289" s="278" t="s">
        <v>1116</v>
      </c>
      <c r="F289" s="246">
        <v>0.0</v>
      </c>
      <c r="G289" s="246">
        <v>0.0</v>
      </c>
      <c r="H289" s="246">
        <v>0.0</v>
      </c>
      <c r="I289" s="246">
        <v>0.0</v>
      </c>
      <c r="J289" s="247">
        <v>0.0</v>
      </c>
      <c r="K289" s="268"/>
      <c r="L289" s="269"/>
      <c r="M289" s="250"/>
      <c r="N289" s="251"/>
      <c r="O289" s="250">
        <v>0.0</v>
      </c>
      <c r="P289" s="252">
        <v>0.0</v>
      </c>
      <c r="Q289" s="253" t="s">
        <v>1465</v>
      </c>
    </row>
    <row r="290">
      <c r="A290" s="275" t="s">
        <v>1466</v>
      </c>
      <c r="B290" s="270" t="s">
        <v>129</v>
      </c>
      <c r="C290" s="276" t="s">
        <v>1351</v>
      </c>
      <c r="D290" s="277">
        <v>1.0</v>
      </c>
      <c r="E290" s="278" t="s">
        <v>1116</v>
      </c>
      <c r="F290" s="246">
        <v>0.0</v>
      </c>
      <c r="G290" s="246">
        <v>0.0</v>
      </c>
      <c r="H290" s="246">
        <v>0.0</v>
      </c>
      <c r="I290" s="246">
        <v>0.0</v>
      </c>
      <c r="J290" s="247">
        <v>0.0</v>
      </c>
      <c r="K290" s="268"/>
      <c r="L290" s="269"/>
      <c r="M290" s="250"/>
      <c r="N290" s="251"/>
      <c r="O290" s="250">
        <v>0.0</v>
      </c>
      <c r="P290" s="252">
        <v>0.0</v>
      </c>
      <c r="Q290" s="253" t="s">
        <v>1467</v>
      </c>
    </row>
    <row r="291">
      <c r="A291" s="256"/>
      <c r="B291" s="257"/>
      <c r="C291" s="258" t="s">
        <v>1168</v>
      </c>
      <c r="D291" s="235"/>
      <c r="E291" s="259"/>
      <c r="F291" s="260"/>
      <c r="G291" s="260"/>
      <c r="H291" s="260"/>
      <c r="I291" s="260"/>
      <c r="J291" s="260"/>
      <c r="K291" s="261"/>
      <c r="L291" s="262"/>
      <c r="M291" s="262"/>
      <c r="N291" s="262"/>
      <c r="O291" s="262"/>
      <c r="P291" s="262"/>
      <c r="Q291" s="263"/>
    </row>
    <row r="292">
      <c r="A292" s="242" t="s">
        <v>1468</v>
      </c>
      <c r="B292" s="264" t="s">
        <v>130</v>
      </c>
      <c r="C292" s="265" t="s">
        <v>1170</v>
      </c>
      <c r="D292" s="266">
        <v>1.0</v>
      </c>
      <c r="E292" s="267" t="s">
        <v>1107</v>
      </c>
      <c r="F292" s="246">
        <v>0.0</v>
      </c>
      <c r="G292" s="246">
        <v>0.0</v>
      </c>
      <c r="H292" s="246">
        <v>0.0</v>
      </c>
      <c r="I292" s="246">
        <v>0.0</v>
      </c>
      <c r="J292" s="247">
        <v>0.0</v>
      </c>
      <c r="K292" s="268"/>
      <c r="L292" s="269"/>
      <c r="M292" s="250"/>
      <c r="N292" s="251"/>
      <c r="O292" s="250">
        <v>0.0</v>
      </c>
      <c r="P292" s="252">
        <v>0.0</v>
      </c>
      <c r="Q292" s="253" t="s">
        <v>1469</v>
      </c>
    </row>
    <row r="293">
      <c r="A293" s="242" t="s">
        <v>1470</v>
      </c>
      <c r="B293" s="274"/>
      <c r="C293" s="265" t="s">
        <v>1380</v>
      </c>
      <c r="D293" s="266">
        <v>1.0</v>
      </c>
      <c r="E293" s="271" t="s">
        <v>1107</v>
      </c>
      <c r="F293" s="246">
        <v>0.0</v>
      </c>
      <c r="G293" s="246">
        <v>0.0</v>
      </c>
      <c r="H293" s="246">
        <v>0.0</v>
      </c>
      <c r="I293" s="246">
        <v>0.0</v>
      </c>
      <c r="J293" s="247">
        <v>0.0</v>
      </c>
      <c r="K293" s="268"/>
      <c r="L293" s="269"/>
      <c r="M293" s="250"/>
      <c r="N293" s="251"/>
      <c r="O293" s="250">
        <v>0.0</v>
      </c>
      <c r="P293" s="252">
        <v>0.0</v>
      </c>
      <c r="Q293" s="253" t="s">
        <v>1471</v>
      </c>
    </row>
    <row r="294">
      <c r="A294" s="242" t="s">
        <v>1472</v>
      </c>
      <c r="B294" s="274"/>
      <c r="C294" s="265" t="s">
        <v>1176</v>
      </c>
      <c r="D294" s="266">
        <v>1.0</v>
      </c>
      <c r="E294" s="267" t="s">
        <v>1107</v>
      </c>
      <c r="F294" s="246">
        <v>0.0</v>
      </c>
      <c r="G294" s="246">
        <v>0.0</v>
      </c>
      <c r="H294" s="246">
        <v>0.0</v>
      </c>
      <c r="I294" s="246">
        <v>0.0</v>
      </c>
      <c r="J294" s="247">
        <v>0.0</v>
      </c>
      <c r="K294" s="268"/>
      <c r="L294" s="269"/>
      <c r="M294" s="250"/>
      <c r="N294" s="251"/>
      <c r="O294" s="250">
        <v>0.0</v>
      </c>
      <c r="P294" s="252">
        <v>0.0</v>
      </c>
      <c r="Q294" s="253" t="s">
        <v>1473</v>
      </c>
    </row>
    <row r="295">
      <c r="A295" s="256"/>
      <c r="B295" s="257"/>
      <c r="C295" s="258" t="s">
        <v>1122</v>
      </c>
      <c r="D295" s="235"/>
      <c r="E295" s="259"/>
      <c r="F295" s="260"/>
      <c r="G295" s="260"/>
      <c r="H295" s="260"/>
      <c r="I295" s="260"/>
      <c r="J295" s="260"/>
      <c r="K295" s="261"/>
      <c r="L295" s="262"/>
      <c r="M295" s="262"/>
      <c r="N295" s="262"/>
      <c r="O295" s="262"/>
      <c r="P295" s="262"/>
      <c r="Q295" s="263"/>
    </row>
    <row r="296">
      <c r="A296" s="242" t="s">
        <v>1474</v>
      </c>
      <c r="B296" s="270" t="s">
        <v>112</v>
      </c>
      <c r="C296" s="265" t="s">
        <v>1124</v>
      </c>
      <c r="D296" s="266">
        <v>1.82</v>
      </c>
      <c r="E296" s="267" t="s">
        <v>1073</v>
      </c>
      <c r="F296" s="246">
        <v>0.0</v>
      </c>
      <c r="G296" s="246">
        <v>0.0</v>
      </c>
      <c r="H296" s="246">
        <v>0.0</v>
      </c>
      <c r="I296" s="246">
        <v>0.0</v>
      </c>
      <c r="J296" s="247">
        <v>0.0</v>
      </c>
      <c r="K296" s="268"/>
      <c r="L296" s="269"/>
      <c r="M296" s="250"/>
      <c r="N296" s="251"/>
      <c r="O296" s="250">
        <v>0.0</v>
      </c>
      <c r="P296" s="252">
        <v>0.0</v>
      </c>
      <c r="Q296" s="253" t="s">
        <v>1475</v>
      </c>
    </row>
    <row r="297">
      <c r="A297" s="256"/>
      <c r="B297" s="257"/>
      <c r="C297" s="258" t="s">
        <v>1126</v>
      </c>
      <c r="D297" s="235"/>
      <c r="E297" s="259"/>
      <c r="F297" s="260"/>
      <c r="G297" s="260"/>
      <c r="H297" s="260"/>
      <c r="I297" s="260"/>
      <c r="J297" s="260"/>
      <c r="K297" s="261"/>
      <c r="L297" s="262"/>
      <c r="M297" s="262"/>
      <c r="N297" s="262"/>
      <c r="O297" s="262"/>
      <c r="P297" s="262"/>
      <c r="Q297" s="263"/>
    </row>
    <row r="298">
      <c r="A298" s="242" t="s">
        <v>1476</v>
      </c>
      <c r="B298" s="264" t="s">
        <v>116</v>
      </c>
      <c r="C298" s="265" t="s">
        <v>1128</v>
      </c>
      <c r="D298" s="266">
        <v>1.82</v>
      </c>
      <c r="E298" s="267" t="s">
        <v>1073</v>
      </c>
      <c r="F298" s="246">
        <v>0.0</v>
      </c>
      <c r="G298" s="246">
        <v>0.0</v>
      </c>
      <c r="H298" s="246">
        <v>0.0</v>
      </c>
      <c r="I298" s="246">
        <v>0.0</v>
      </c>
      <c r="J298" s="247">
        <v>0.0</v>
      </c>
      <c r="K298" s="268"/>
      <c r="L298" s="269"/>
      <c r="M298" s="250"/>
      <c r="N298" s="251"/>
      <c r="O298" s="250">
        <v>0.0</v>
      </c>
      <c r="P298" s="252">
        <v>0.0</v>
      </c>
      <c r="Q298" s="253" t="s">
        <v>1477</v>
      </c>
    </row>
    <row r="299">
      <c r="A299" s="242" t="s">
        <v>1478</v>
      </c>
      <c r="B299" s="270" t="s">
        <v>142</v>
      </c>
      <c r="C299" s="265" t="s">
        <v>1183</v>
      </c>
      <c r="D299" s="266">
        <v>8.58</v>
      </c>
      <c r="E299" s="267" t="s">
        <v>1073</v>
      </c>
      <c r="F299" s="246">
        <v>0.0</v>
      </c>
      <c r="G299" s="246">
        <v>0.0</v>
      </c>
      <c r="H299" s="246">
        <v>0.0</v>
      </c>
      <c r="I299" s="246">
        <v>0.0</v>
      </c>
      <c r="J299" s="247">
        <v>0.0</v>
      </c>
      <c r="K299" s="268"/>
      <c r="L299" s="269"/>
      <c r="M299" s="250"/>
      <c r="N299" s="251"/>
      <c r="O299" s="250">
        <v>0.0</v>
      </c>
      <c r="P299" s="252">
        <v>0.0</v>
      </c>
      <c r="Q299" s="253" t="s">
        <v>1479</v>
      </c>
    </row>
    <row r="300">
      <c r="A300" s="256"/>
      <c r="B300" s="257"/>
      <c r="C300" s="258" t="s">
        <v>1185</v>
      </c>
      <c r="D300" s="235"/>
      <c r="E300" s="259"/>
      <c r="F300" s="260"/>
      <c r="G300" s="260"/>
      <c r="H300" s="260"/>
      <c r="I300" s="260"/>
      <c r="J300" s="260"/>
      <c r="K300" s="261"/>
      <c r="L300" s="262"/>
      <c r="M300" s="262"/>
      <c r="N300" s="262"/>
      <c r="O300" s="262"/>
      <c r="P300" s="262"/>
      <c r="Q300" s="263"/>
    </row>
    <row r="301">
      <c r="A301" s="242" t="s">
        <v>1462</v>
      </c>
      <c r="B301" s="270" t="s">
        <v>143</v>
      </c>
      <c r="C301" s="265" t="s">
        <v>1186</v>
      </c>
      <c r="D301" s="266">
        <v>1.0</v>
      </c>
      <c r="E301" s="267" t="s">
        <v>1107</v>
      </c>
      <c r="F301" s="246">
        <v>0.0</v>
      </c>
      <c r="G301" s="246">
        <v>0.0</v>
      </c>
      <c r="H301" s="246">
        <v>0.0</v>
      </c>
      <c r="I301" s="246">
        <v>0.0</v>
      </c>
      <c r="J301" s="247">
        <v>0.0</v>
      </c>
      <c r="K301" s="268"/>
      <c r="L301" s="269"/>
      <c r="M301" s="250"/>
      <c r="N301" s="251"/>
      <c r="O301" s="250">
        <v>0.0</v>
      </c>
      <c r="P301" s="252">
        <v>0.0</v>
      </c>
      <c r="Q301" s="253" t="s">
        <v>1480</v>
      </c>
    </row>
    <row r="302">
      <c r="A302" s="256"/>
      <c r="B302" s="257"/>
      <c r="C302" s="258" t="s">
        <v>1188</v>
      </c>
      <c r="D302" s="235"/>
      <c r="E302" s="259"/>
      <c r="F302" s="260"/>
      <c r="G302" s="260"/>
      <c r="H302" s="260"/>
      <c r="I302" s="260"/>
      <c r="J302" s="260"/>
      <c r="K302" s="261"/>
      <c r="L302" s="262"/>
      <c r="M302" s="262"/>
      <c r="N302" s="262"/>
      <c r="O302" s="262"/>
      <c r="P302" s="262"/>
      <c r="Q302" s="263"/>
    </row>
    <row r="303">
      <c r="A303" s="242" t="s">
        <v>1481</v>
      </c>
      <c r="B303" s="270" t="s">
        <v>133</v>
      </c>
      <c r="C303" s="265" t="s">
        <v>1190</v>
      </c>
      <c r="D303" s="266">
        <v>1.0</v>
      </c>
      <c r="E303" s="267" t="s">
        <v>1116</v>
      </c>
      <c r="F303" s="246">
        <v>0.0</v>
      </c>
      <c r="G303" s="246">
        <v>0.0</v>
      </c>
      <c r="H303" s="246">
        <v>0.0</v>
      </c>
      <c r="I303" s="246">
        <v>0.0</v>
      </c>
      <c r="J303" s="247">
        <v>0.0</v>
      </c>
      <c r="K303" s="268"/>
      <c r="L303" s="269"/>
      <c r="M303" s="250"/>
      <c r="N303" s="251"/>
      <c r="O303" s="250">
        <v>0.0</v>
      </c>
      <c r="P303" s="252">
        <v>0.0</v>
      </c>
      <c r="Q303" s="253" t="s">
        <v>1482</v>
      </c>
    </row>
    <row r="304">
      <c r="A304" s="279" t="s">
        <v>1483</v>
      </c>
      <c r="B304" s="221"/>
      <c r="C304" s="222" t="s">
        <v>1484</v>
      </c>
      <c r="D304" s="223"/>
      <c r="E304" s="224"/>
      <c r="F304" s="224"/>
      <c r="G304" s="225"/>
      <c r="H304" s="226"/>
      <c r="I304" s="227"/>
      <c r="J304" s="228">
        <v>0.0</v>
      </c>
      <c r="K304" s="224"/>
      <c r="L304" s="226"/>
      <c r="M304" s="229"/>
      <c r="N304" s="230"/>
      <c r="O304" s="227"/>
      <c r="P304" s="231">
        <v>0.0</v>
      </c>
      <c r="Q304" s="231"/>
    </row>
    <row r="305">
      <c r="A305" s="232"/>
      <c r="B305" s="233"/>
      <c r="C305" s="234" t="s">
        <v>1070</v>
      </c>
      <c r="D305" s="235"/>
      <c r="E305" s="236"/>
      <c r="F305" s="237"/>
      <c r="G305" s="237"/>
      <c r="H305" s="237"/>
      <c r="I305" s="237"/>
      <c r="J305" s="238"/>
      <c r="K305" s="239"/>
      <c r="L305" s="240"/>
      <c r="M305" s="240"/>
      <c r="N305" s="240"/>
      <c r="O305" s="240"/>
      <c r="P305" s="240"/>
      <c r="Q305" s="241"/>
    </row>
    <row r="306">
      <c r="A306" s="242" t="s">
        <v>1485</v>
      </c>
      <c r="B306" s="255">
        <v>46083.0</v>
      </c>
      <c r="C306" s="244" t="s">
        <v>1136</v>
      </c>
      <c r="D306" s="245">
        <v>10.45</v>
      </c>
      <c r="E306" s="242" t="s">
        <v>1073</v>
      </c>
      <c r="F306" s="246">
        <v>0.0</v>
      </c>
      <c r="G306" s="246">
        <v>0.0</v>
      </c>
      <c r="H306" s="246">
        <v>0.0</v>
      </c>
      <c r="I306" s="246">
        <v>0.0</v>
      </c>
      <c r="J306" s="247">
        <v>0.0</v>
      </c>
      <c r="K306" s="248"/>
      <c r="L306" s="249"/>
      <c r="M306" s="250"/>
      <c r="N306" s="251"/>
      <c r="O306" s="250">
        <v>0.0</v>
      </c>
      <c r="P306" s="252">
        <v>0.0</v>
      </c>
      <c r="Q306" s="253" t="s">
        <v>1486</v>
      </c>
    </row>
    <row r="307">
      <c r="A307" s="256"/>
      <c r="B307" s="257"/>
      <c r="C307" s="258" t="s">
        <v>1082</v>
      </c>
      <c r="D307" s="235"/>
      <c r="E307" s="259"/>
      <c r="F307" s="260"/>
      <c r="G307" s="260"/>
      <c r="H307" s="260"/>
      <c r="I307" s="260"/>
      <c r="J307" s="260"/>
      <c r="K307" s="261"/>
      <c r="L307" s="262"/>
      <c r="M307" s="262"/>
      <c r="N307" s="262"/>
      <c r="O307" s="262"/>
      <c r="P307" s="262"/>
      <c r="Q307" s="263"/>
    </row>
    <row r="308">
      <c r="A308" s="242" t="s">
        <v>1487</v>
      </c>
      <c r="B308" s="270" t="s">
        <v>142</v>
      </c>
      <c r="C308" s="265" t="s">
        <v>1087</v>
      </c>
      <c r="D308" s="266">
        <v>1.97</v>
      </c>
      <c r="E308" s="271" t="s">
        <v>1073</v>
      </c>
      <c r="F308" s="246">
        <v>0.0</v>
      </c>
      <c r="G308" s="246">
        <v>0.0</v>
      </c>
      <c r="H308" s="246">
        <v>0.0</v>
      </c>
      <c r="I308" s="246">
        <v>0.0</v>
      </c>
      <c r="J308" s="247">
        <v>0.0</v>
      </c>
      <c r="K308" s="268"/>
      <c r="L308" s="269"/>
      <c r="M308" s="250"/>
      <c r="N308" s="251"/>
      <c r="O308" s="250">
        <v>0.0</v>
      </c>
      <c r="P308" s="252">
        <v>0.0</v>
      </c>
      <c r="Q308" s="253" t="s">
        <v>1455</v>
      </c>
    </row>
    <row r="309">
      <c r="A309" s="242" t="s">
        <v>1488</v>
      </c>
      <c r="B309" s="272">
        <v>46209.0</v>
      </c>
      <c r="C309" s="265" t="s">
        <v>1093</v>
      </c>
      <c r="D309" s="266">
        <v>10.2</v>
      </c>
      <c r="E309" s="267" t="s">
        <v>1073</v>
      </c>
      <c r="F309" s="246">
        <v>0.0</v>
      </c>
      <c r="G309" s="246">
        <v>0.0</v>
      </c>
      <c r="H309" s="246">
        <v>0.0</v>
      </c>
      <c r="I309" s="246">
        <v>0.0</v>
      </c>
      <c r="J309" s="247">
        <v>0.0</v>
      </c>
      <c r="K309" s="268"/>
      <c r="L309" s="269"/>
      <c r="M309" s="250"/>
      <c r="N309" s="251"/>
      <c r="O309" s="250">
        <v>0.0</v>
      </c>
      <c r="P309" s="252">
        <v>0.0</v>
      </c>
      <c r="Q309" s="253" t="s">
        <v>1457</v>
      </c>
    </row>
    <row r="310" ht="30.0" customHeight="1">
      <c r="A310" s="242" t="s">
        <v>1489</v>
      </c>
      <c r="B310" s="264" t="s">
        <v>111</v>
      </c>
      <c r="C310" s="265" t="s">
        <v>1096</v>
      </c>
      <c r="D310" s="266">
        <v>20.4</v>
      </c>
      <c r="E310" s="267" t="s">
        <v>1073</v>
      </c>
      <c r="F310" s="246">
        <v>0.0</v>
      </c>
      <c r="G310" s="246">
        <v>0.0</v>
      </c>
      <c r="H310" s="246">
        <v>0.0</v>
      </c>
      <c r="I310" s="246">
        <v>0.0</v>
      </c>
      <c r="J310" s="247">
        <v>0.0</v>
      </c>
      <c r="K310" s="268"/>
      <c r="L310" s="269"/>
      <c r="M310" s="250"/>
      <c r="N310" s="251"/>
      <c r="O310" s="250">
        <v>0.0</v>
      </c>
      <c r="P310" s="252">
        <v>0.0</v>
      </c>
      <c r="Q310" s="253" t="s">
        <v>1459</v>
      </c>
    </row>
    <row r="311">
      <c r="A311" s="242" t="s">
        <v>1490</v>
      </c>
      <c r="B311" s="272">
        <v>46361.0</v>
      </c>
      <c r="C311" s="265" t="s">
        <v>1099</v>
      </c>
      <c r="D311" s="266">
        <v>10.045</v>
      </c>
      <c r="E311" s="267" t="s">
        <v>1073</v>
      </c>
      <c r="F311" s="246">
        <v>0.0</v>
      </c>
      <c r="G311" s="246">
        <v>0.0</v>
      </c>
      <c r="H311" s="246">
        <v>0.0</v>
      </c>
      <c r="I311" s="246">
        <v>0.0</v>
      </c>
      <c r="J311" s="247">
        <v>0.0</v>
      </c>
      <c r="K311" s="268"/>
      <c r="L311" s="269"/>
      <c r="M311" s="250"/>
      <c r="N311" s="251"/>
      <c r="O311" s="250">
        <v>0.0</v>
      </c>
      <c r="P311" s="252">
        <v>0.0</v>
      </c>
      <c r="Q311" s="253" t="s">
        <v>1461</v>
      </c>
    </row>
    <row r="312">
      <c r="A312" s="242" t="s">
        <v>1491</v>
      </c>
      <c r="B312" s="273">
        <v>46024.0</v>
      </c>
      <c r="C312" s="265" t="s">
        <v>1102</v>
      </c>
      <c r="D312" s="266">
        <v>10.6</v>
      </c>
      <c r="E312" s="267" t="s">
        <v>1073</v>
      </c>
      <c r="F312" s="246">
        <v>0.0</v>
      </c>
      <c r="G312" s="246">
        <v>0.0</v>
      </c>
      <c r="H312" s="246">
        <v>0.0</v>
      </c>
      <c r="I312" s="246">
        <v>0.0</v>
      </c>
      <c r="J312" s="247">
        <v>0.0</v>
      </c>
      <c r="K312" s="268"/>
      <c r="L312" s="269"/>
      <c r="M312" s="250"/>
      <c r="N312" s="251"/>
      <c r="O312" s="250">
        <v>0.0</v>
      </c>
      <c r="P312" s="252">
        <v>0.0</v>
      </c>
      <c r="Q312" s="253" t="s">
        <v>1492</v>
      </c>
    </row>
    <row r="313">
      <c r="A313" s="256"/>
      <c r="B313" s="257"/>
      <c r="C313" s="258" t="s">
        <v>1160</v>
      </c>
      <c r="D313" s="235"/>
      <c r="E313" s="259"/>
      <c r="F313" s="260"/>
      <c r="G313" s="260"/>
      <c r="H313" s="260"/>
      <c r="I313" s="260"/>
      <c r="J313" s="260"/>
      <c r="K313" s="261"/>
      <c r="L313" s="262"/>
      <c r="M313" s="262"/>
      <c r="N313" s="262"/>
      <c r="O313" s="262"/>
      <c r="P313" s="262"/>
      <c r="Q313" s="263"/>
    </row>
    <row r="314">
      <c r="A314" s="275" t="s">
        <v>1493</v>
      </c>
      <c r="B314" s="270" t="s">
        <v>129</v>
      </c>
      <c r="C314" s="276" t="s">
        <v>1322</v>
      </c>
      <c r="D314" s="277">
        <v>1.0</v>
      </c>
      <c r="E314" s="278" t="s">
        <v>1116</v>
      </c>
      <c r="F314" s="246">
        <v>0.0</v>
      </c>
      <c r="G314" s="246">
        <v>0.0</v>
      </c>
      <c r="H314" s="246">
        <v>0.0</v>
      </c>
      <c r="I314" s="246">
        <v>0.0</v>
      </c>
      <c r="J314" s="247">
        <v>0.0</v>
      </c>
      <c r="K314" s="268"/>
      <c r="L314" s="269"/>
      <c r="M314" s="250"/>
      <c r="N314" s="251"/>
      <c r="O314" s="250">
        <v>0.0</v>
      </c>
      <c r="P314" s="252">
        <v>0.0</v>
      </c>
      <c r="Q314" s="253" t="s">
        <v>1463</v>
      </c>
    </row>
    <row r="315">
      <c r="A315" s="275" t="s">
        <v>1494</v>
      </c>
      <c r="B315" s="264" t="s">
        <v>104</v>
      </c>
      <c r="C315" s="276" t="s">
        <v>1325</v>
      </c>
      <c r="D315" s="277">
        <v>1.0</v>
      </c>
      <c r="E315" s="278" t="s">
        <v>1116</v>
      </c>
      <c r="F315" s="246">
        <v>0.0</v>
      </c>
      <c r="G315" s="246">
        <v>0.0</v>
      </c>
      <c r="H315" s="246">
        <v>0.0</v>
      </c>
      <c r="I315" s="246">
        <v>0.0</v>
      </c>
      <c r="J315" s="247">
        <v>0.0</v>
      </c>
      <c r="K315" s="268"/>
      <c r="L315" s="269"/>
      <c r="M315" s="250"/>
      <c r="N315" s="251"/>
      <c r="O315" s="250">
        <v>0.0</v>
      </c>
      <c r="P315" s="252">
        <v>0.0</v>
      </c>
      <c r="Q315" s="253" t="s">
        <v>1465</v>
      </c>
    </row>
    <row r="316">
      <c r="A316" s="275" t="s">
        <v>1495</v>
      </c>
      <c r="B316" s="270" t="s">
        <v>129</v>
      </c>
      <c r="C316" s="276" t="s">
        <v>1351</v>
      </c>
      <c r="D316" s="277">
        <v>1.0</v>
      </c>
      <c r="E316" s="278" t="s">
        <v>1116</v>
      </c>
      <c r="F316" s="246">
        <v>0.0</v>
      </c>
      <c r="G316" s="246">
        <v>0.0</v>
      </c>
      <c r="H316" s="246">
        <v>0.0</v>
      </c>
      <c r="I316" s="246">
        <v>0.0</v>
      </c>
      <c r="J316" s="247">
        <v>0.0</v>
      </c>
      <c r="K316" s="268"/>
      <c r="L316" s="269"/>
      <c r="M316" s="250"/>
      <c r="N316" s="251"/>
      <c r="O316" s="250">
        <v>0.0</v>
      </c>
      <c r="P316" s="252">
        <v>0.0</v>
      </c>
      <c r="Q316" s="253" t="s">
        <v>1467</v>
      </c>
    </row>
    <row r="317">
      <c r="A317" s="256"/>
      <c r="B317" s="257"/>
      <c r="C317" s="258" t="s">
        <v>1250</v>
      </c>
      <c r="D317" s="235"/>
      <c r="E317" s="259"/>
      <c r="F317" s="260"/>
      <c r="G317" s="260"/>
      <c r="H317" s="260"/>
      <c r="I317" s="260"/>
      <c r="J317" s="260"/>
      <c r="K317" s="261"/>
      <c r="L317" s="262"/>
      <c r="M317" s="262"/>
      <c r="N317" s="262"/>
      <c r="O317" s="262"/>
      <c r="P317" s="262"/>
      <c r="Q317" s="263"/>
    </row>
    <row r="318">
      <c r="A318" s="280" t="s">
        <v>1496</v>
      </c>
      <c r="B318" s="273">
        <v>46270.0</v>
      </c>
      <c r="C318" s="265" t="s">
        <v>1252</v>
      </c>
      <c r="D318" s="266">
        <v>1.0</v>
      </c>
      <c r="E318" s="271" t="s">
        <v>1107</v>
      </c>
      <c r="F318" s="246">
        <v>0.0</v>
      </c>
      <c r="G318" s="246">
        <v>0.0</v>
      </c>
      <c r="H318" s="246">
        <v>0.0</v>
      </c>
      <c r="I318" s="246">
        <v>0.0</v>
      </c>
      <c r="J318" s="247">
        <v>0.0</v>
      </c>
      <c r="K318" s="268"/>
      <c r="L318" s="269"/>
      <c r="M318" s="250"/>
      <c r="N318" s="251"/>
      <c r="O318" s="250">
        <v>0.0</v>
      </c>
      <c r="P318" s="252">
        <v>0.0</v>
      </c>
      <c r="Q318" s="253" t="s">
        <v>1497</v>
      </c>
    </row>
    <row r="319">
      <c r="A319" s="256"/>
      <c r="B319" s="257"/>
      <c r="C319" s="258" t="s">
        <v>1168</v>
      </c>
      <c r="D319" s="235"/>
      <c r="E319" s="259"/>
      <c r="F319" s="260"/>
      <c r="G319" s="260"/>
      <c r="H319" s="260"/>
      <c r="I319" s="260"/>
      <c r="J319" s="260"/>
      <c r="K319" s="261"/>
      <c r="L319" s="262"/>
      <c r="M319" s="262"/>
      <c r="N319" s="262"/>
      <c r="O319" s="262"/>
      <c r="P319" s="262"/>
      <c r="Q319" s="263"/>
    </row>
    <row r="320">
      <c r="A320" s="280" t="s">
        <v>1498</v>
      </c>
      <c r="B320" s="270" t="s">
        <v>140</v>
      </c>
      <c r="C320" s="265" t="s">
        <v>1499</v>
      </c>
      <c r="D320" s="266">
        <v>1.0</v>
      </c>
      <c r="E320" s="271" t="s">
        <v>1107</v>
      </c>
      <c r="F320" s="246">
        <v>0.0</v>
      </c>
      <c r="G320" s="246">
        <v>0.0</v>
      </c>
      <c r="H320" s="246">
        <v>0.0</v>
      </c>
      <c r="I320" s="246">
        <v>0.0</v>
      </c>
      <c r="J320" s="247">
        <v>0.0</v>
      </c>
      <c r="K320" s="268"/>
      <c r="L320" s="269"/>
      <c r="M320" s="250"/>
      <c r="N320" s="251"/>
      <c r="O320" s="250">
        <v>0.0</v>
      </c>
      <c r="P320" s="252">
        <v>0.0</v>
      </c>
      <c r="Q320" s="253" t="s">
        <v>1469</v>
      </c>
    </row>
    <row r="321">
      <c r="A321" s="256"/>
      <c r="B321" s="257"/>
      <c r="C321" s="258" t="s">
        <v>1118</v>
      </c>
      <c r="D321" s="235"/>
      <c r="E321" s="259"/>
      <c r="F321" s="260"/>
      <c r="G321" s="260"/>
      <c r="H321" s="260"/>
      <c r="I321" s="260"/>
      <c r="J321" s="260"/>
      <c r="K321" s="261"/>
      <c r="L321" s="262"/>
      <c r="M321" s="262"/>
      <c r="N321" s="262"/>
      <c r="O321" s="262"/>
      <c r="P321" s="262"/>
      <c r="Q321" s="263"/>
    </row>
    <row r="322">
      <c r="A322" s="280" t="s">
        <v>1500</v>
      </c>
      <c r="B322" s="270" t="s">
        <v>121</v>
      </c>
      <c r="C322" s="265" t="s">
        <v>1120</v>
      </c>
      <c r="D322" s="266">
        <v>33.23075</v>
      </c>
      <c r="E322" s="267" t="s">
        <v>1073</v>
      </c>
      <c r="F322" s="246">
        <v>0.0</v>
      </c>
      <c r="G322" s="246">
        <v>0.0</v>
      </c>
      <c r="H322" s="246">
        <v>0.0</v>
      </c>
      <c r="I322" s="246">
        <v>0.0</v>
      </c>
      <c r="J322" s="247">
        <v>0.0</v>
      </c>
      <c r="K322" s="268"/>
      <c r="L322" s="269"/>
      <c r="M322" s="250"/>
      <c r="N322" s="251"/>
      <c r="O322" s="250">
        <v>0.0</v>
      </c>
      <c r="P322" s="252">
        <v>0.0</v>
      </c>
      <c r="Q322" s="253" t="s">
        <v>1501</v>
      </c>
    </row>
    <row r="323">
      <c r="A323" s="256"/>
      <c r="B323" s="257"/>
      <c r="C323" s="258" t="s">
        <v>1122</v>
      </c>
      <c r="D323" s="235"/>
      <c r="E323" s="259"/>
      <c r="F323" s="260"/>
      <c r="G323" s="260"/>
      <c r="H323" s="260"/>
      <c r="I323" s="260"/>
      <c r="J323" s="260"/>
      <c r="K323" s="261"/>
      <c r="L323" s="262"/>
      <c r="M323" s="262"/>
      <c r="N323" s="262"/>
      <c r="O323" s="262"/>
      <c r="P323" s="262"/>
      <c r="Q323" s="263"/>
    </row>
    <row r="324">
      <c r="A324" s="280" t="s">
        <v>1502</v>
      </c>
      <c r="B324" s="270" t="s">
        <v>112</v>
      </c>
      <c r="C324" s="265" t="s">
        <v>1124</v>
      </c>
      <c r="D324" s="266">
        <v>10.6</v>
      </c>
      <c r="E324" s="267" t="s">
        <v>1073</v>
      </c>
      <c r="F324" s="246">
        <v>0.0</v>
      </c>
      <c r="G324" s="246">
        <v>0.0</v>
      </c>
      <c r="H324" s="246">
        <v>0.0</v>
      </c>
      <c r="I324" s="246">
        <v>0.0</v>
      </c>
      <c r="J324" s="247">
        <v>0.0</v>
      </c>
      <c r="K324" s="268"/>
      <c r="L324" s="269"/>
      <c r="M324" s="250"/>
      <c r="N324" s="251"/>
      <c r="O324" s="250">
        <v>0.0</v>
      </c>
      <c r="P324" s="252">
        <v>0.0</v>
      </c>
      <c r="Q324" s="253" t="s">
        <v>1475</v>
      </c>
    </row>
    <row r="325">
      <c r="A325" s="256"/>
      <c r="B325" s="257"/>
      <c r="C325" s="258" t="s">
        <v>1126</v>
      </c>
      <c r="D325" s="235"/>
      <c r="E325" s="259"/>
      <c r="F325" s="260"/>
      <c r="G325" s="260"/>
      <c r="H325" s="260"/>
      <c r="I325" s="260"/>
      <c r="J325" s="260"/>
      <c r="K325" s="261"/>
      <c r="L325" s="262"/>
      <c r="M325" s="262"/>
      <c r="N325" s="262"/>
      <c r="O325" s="262"/>
      <c r="P325" s="262"/>
      <c r="Q325" s="263"/>
    </row>
    <row r="326">
      <c r="A326" s="280" t="s">
        <v>1503</v>
      </c>
      <c r="B326" s="264" t="s">
        <v>116</v>
      </c>
      <c r="C326" s="265" t="s">
        <v>1128</v>
      </c>
      <c r="D326" s="266">
        <v>10.6</v>
      </c>
      <c r="E326" s="267" t="s">
        <v>1073</v>
      </c>
      <c r="F326" s="246">
        <v>0.0</v>
      </c>
      <c r="G326" s="246">
        <v>0.0</v>
      </c>
      <c r="H326" s="246">
        <v>0.0</v>
      </c>
      <c r="I326" s="246">
        <v>0.0</v>
      </c>
      <c r="J326" s="247">
        <v>0.0</v>
      </c>
      <c r="K326" s="268"/>
      <c r="L326" s="269"/>
      <c r="M326" s="250"/>
      <c r="N326" s="251"/>
      <c r="O326" s="250">
        <v>0.0</v>
      </c>
      <c r="P326" s="252">
        <v>0.0</v>
      </c>
      <c r="Q326" s="253" t="s">
        <v>1477</v>
      </c>
    </row>
    <row r="327">
      <c r="A327" s="256"/>
      <c r="B327" s="257"/>
      <c r="C327" s="258" t="s">
        <v>1185</v>
      </c>
      <c r="D327" s="235"/>
      <c r="E327" s="259"/>
      <c r="F327" s="260"/>
      <c r="G327" s="260"/>
      <c r="H327" s="260"/>
      <c r="I327" s="260"/>
      <c r="J327" s="260"/>
      <c r="K327" s="261"/>
      <c r="L327" s="262"/>
      <c r="M327" s="262"/>
      <c r="N327" s="262"/>
      <c r="O327" s="262"/>
      <c r="P327" s="262"/>
      <c r="Q327" s="263"/>
    </row>
    <row r="328">
      <c r="A328" s="280" t="s">
        <v>1493</v>
      </c>
      <c r="B328" s="270" t="s">
        <v>143</v>
      </c>
      <c r="C328" s="265" t="s">
        <v>1266</v>
      </c>
      <c r="D328" s="266">
        <v>1.0</v>
      </c>
      <c r="E328" s="267" t="s">
        <v>1107</v>
      </c>
      <c r="F328" s="246">
        <v>0.0</v>
      </c>
      <c r="G328" s="246">
        <v>0.0</v>
      </c>
      <c r="H328" s="246">
        <v>0.0</v>
      </c>
      <c r="I328" s="246">
        <v>0.0</v>
      </c>
      <c r="J328" s="247">
        <v>0.0</v>
      </c>
      <c r="K328" s="268"/>
      <c r="L328" s="269"/>
      <c r="M328" s="250"/>
      <c r="N328" s="251"/>
      <c r="O328" s="250">
        <v>0.0</v>
      </c>
      <c r="P328" s="252">
        <v>0.0</v>
      </c>
      <c r="Q328" s="253" t="s">
        <v>1480</v>
      </c>
    </row>
    <row r="329">
      <c r="A329" s="256"/>
      <c r="B329" s="257"/>
      <c r="C329" s="258" t="s">
        <v>1504</v>
      </c>
      <c r="D329" s="235"/>
      <c r="E329" s="259"/>
      <c r="F329" s="260"/>
      <c r="G329" s="260"/>
      <c r="H329" s="260"/>
      <c r="I329" s="260"/>
      <c r="J329" s="260"/>
      <c r="K329" s="261"/>
      <c r="L329" s="262"/>
      <c r="M329" s="262"/>
      <c r="N329" s="262"/>
      <c r="O329" s="262"/>
      <c r="P329" s="262"/>
      <c r="Q329" s="263"/>
    </row>
    <row r="330">
      <c r="A330" s="280" t="s">
        <v>1505</v>
      </c>
      <c r="B330" s="264" t="s">
        <v>143</v>
      </c>
      <c r="C330" s="265" t="s">
        <v>1506</v>
      </c>
      <c r="D330" s="266">
        <v>2.0</v>
      </c>
      <c r="E330" s="267" t="s">
        <v>1107</v>
      </c>
      <c r="F330" s="246">
        <v>0.0</v>
      </c>
      <c r="G330" s="246">
        <v>0.0</v>
      </c>
      <c r="H330" s="246">
        <v>0.0</v>
      </c>
      <c r="I330" s="246">
        <v>0.0</v>
      </c>
      <c r="J330" s="247">
        <v>0.0</v>
      </c>
      <c r="K330" s="268"/>
      <c r="L330" s="269"/>
      <c r="M330" s="250"/>
      <c r="N330" s="251"/>
      <c r="O330" s="250">
        <v>0.0</v>
      </c>
      <c r="P330" s="252">
        <v>0.0</v>
      </c>
      <c r="Q330" s="253" t="s">
        <v>1507</v>
      </c>
    </row>
    <row r="331">
      <c r="A331" s="281"/>
      <c r="B331" s="282"/>
      <c r="C331" s="283" t="s">
        <v>1508</v>
      </c>
      <c r="D331" s="284"/>
      <c r="E331" s="285"/>
      <c r="F331" s="286"/>
      <c r="G331" s="286"/>
      <c r="H331" s="286"/>
      <c r="I331" s="287"/>
      <c r="J331" s="288">
        <v>0.0</v>
      </c>
      <c r="K331" s="287"/>
      <c r="L331" s="286"/>
      <c r="M331" s="287"/>
      <c r="N331" s="289"/>
      <c r="O331" s="287"/>
      <c r="P331" s="290">
        <v>0.0</v>
      </c>
      <c r="Q331" s="290"/>
    </row>
    <row r="332">
      <c r="A332" s="291"/>
      <c r="B332" s="292"/>
      <c r="C332" s="293" t="s">
        <v>1070</v>
      </c>
      <c r="D332" s="294"/>
      <c r="E332" s="295"/>
      <c r="F332" s="296"/>
      <c r="G332" s="296"/>
      <c r="H332" s="296"/>
      <c r="I332" s="296"/>
      <c r="J332" s="296"/>
      <c r="K332" s="297"/>
      <c r="L332" s="298"/>
      <c r="M332" s="298"/>
      <c r="N332" s="298"/>
      <c r="O332" s="298"/>
      <c r="P332" s="298"/>
      <c r="Q332" s="299"/>
    </row>
    <row r="333">
      <c r="A333" s="242" t="s">
        <v>1509</v>
      </c>
      <c r="B333" s="255">
        <v>46083.0</v>
      </c>
      <c r="C333" s="244" t="s">
        <v>1136</v>
      </c>
      <c r="D333" s="245">
        <v>9.92</v>
      </c>
      <c r="E333" s="242" t="s">
        <v>1073</v>
      </c>
      <c r="F333" s="246">
        <v>0.0</v>
      </c>
      <c r="G333" s="246">
        <v>0.0</v>
      </c>
      <c r="H333" s="246">
        <v>0.0</v>
      </c>
      <c r="I333" s="246">
        <v>0.0</v>
      </c>
      <c r="J333" s="247">
        <v>0.0</v>
      </c>
      <c r="K333" s="300"/>
      <c r="L333" s="301"/>
      <c r="M333" s="302"/>
      <c r="N333" s="303"/>
      <c r="O333" s="250">
        <v>0.0</v>
      </c>
      <c r="P333" s="252">
        <v>0.0</v>
      </c>
      <c r="Q333" s="253" t="s">
        <v>1510</v>
      </c>
    </row>
    <row r="334">
      <c r="A334" s="275" t="s">
        <v>1511</v>
      </c>
      <c r="B334" s="280"/>
      <c r="C334" s="304" t="s">
        <v>1512</v>
      </c>
      <c r="D334" s="305"/>
      <c r="E334" s="275" t="s">
        <v>1073</v>
      </c>
      <c r="F334" s="246">
        <v>0.0</v>
      </c>
      <c r="G334" s="246">
        <v>0.0</v>
      </c>
      <c r="H334" s="246">
        <v>0.0</v>
      </c>
      <c r="I334" s="246">
        <v>0.0</v>
      </c>
      <c r="J334" s="247">
        <v>0.0</v>
      </c>
      <c r="K334" s="300"/>
      <c r="L334" s="301"/>
      <c r="M334" s="302"/>
      <c r="N334" s="303"/>
      <c r="O334" s="250">
        <v>0.0</v>
      </c>
      <c r="P334" s="252">
        <v>0.0</v>
      </c>
      <c r="Q334" s="253"/>
    </row>
    <row r="335">
      <c r="A335" s="291"/>
      <c r="B335" s="292"/>
      <c r="C335" s="293" t="s">
        <v>1082</v>
      </c>
      <c r="D335" s="294"/>
      <c r="E335" s="295"/>
      <c r="F335" s="296"/>
      <c r="G335" s="296"/>
      <c r="H335" s="296"/>
      <c r="I335" s="296"/>
      <c r="J335" s="296"/>
      <c r="K335" s="297"/>
      <c r="L335" s="298"/>
      <c r="M335" s="298"/>
      <c r="N335" s="298"/>
      <c r="O335" s="298"/>
      <c r="P335" s="298"/>
      <c r="Q335" s="299"/>
    </row>
    <row r="336">
      <c r="A336" s="242" t="s">
        <v>1513</v>
      </c>
      <c r="B336" s="306" t="s">
        <v>142</v>
      </c>
      <c r="C336" s="307" t="s">
        <v>1087</v>
      </c>
      <c r="D336" s="266">
        <v>1.95</v>
      </c>
      <c r="E336" s="271" t="s">
        <v>1073</v>
      </c>
      <c r="F336" s="308">
        <v>0.0</v>
      </c>
      <c r="G336" s="308">
        <v>0.0</v>
      </c>
      <c r="H336" s="308">
        <v>0.0</v>
      </c>
      <c r="I336" s="308">
        <v>0.0</v>
      </c>
      <c r="J336" s="309">
        <v>0.0</v>
      </c>
      <c r="K336" s="310"/>
      <c r="L336" s="311"/>
      <c r="M336" s="312"/>
      <c r="N336" s="313"/>
      <c r="O336" s="314">
        <v>0.0</v>
      </c>
      <c r="P336" s="315">
        <v>0.0</v>
      </c>
      <c r="Q336" s="316" t="s">
        <v>1514</v>
      </c>
    </row>
    <row r="337">
      <c r="A337" s="242" t="s">
        <v>1515</v>
      </c>
      <c r="B337" s="317">
        <v>46209.0</v>
      </c>
      <c r="C337" s="307" t="s">
        <v>1093</v>
      </c>
      <c r="D337" s="266">
        <v>13.861</v>
      </c>
      <c r="E337" s="267" t="s">
        <v>1073</v>
      </c>
      <c r="F337" s="308">
        <v>0.0</v>
      </c>
      <c r="G337" s="308">
        <v>0.0</v>
      </c>
      <c r="H337" s="308">
        <v>0.0</v>
      </c>
      <c r="I337" s="308">
        <v>0.0</v>
      </c>
      <c r="J337" s="309">
        <v>0.0</v>
      </c>
      <c r="K337" s="310"/>
      <c r="L337" s="311"/>
      <c r="M337" s="312"/>
      <c r="N337" s="313"/>
      <c r="O337" s="314">
        <v>0.0</v>
      </c>
      <c r="P337" s="315">
        <v>0.0</v>
      </c>
      <c r="Q337" s="316" t="s">
        <v>1516</v>
      </c>
    </row>
    <row r="338">
      <c r="A338" s="242" t="s">
        <v>1517</v>
      </c>
      <c r="B338" s="318" t="s">
        <v>111</v>
      </c>
      <c r="C338" s="307" t="s">
        <v>1096</v>
      </c>
      <c r="D338" s="266">
        <v>27.722</v>
      </c>
      <c r="E338" s="267" t="s">
        <v>1073</v>
      </c>
      <c r="F338" s="308">
        <v>0.0</v>
      </c>
      <c r="G338" s="308">
        <v>0.0</v>
      </c>
      <c r="H338" s="308">
        <v>0.0</v>
      </c>
      <c r="I338" s="308">
        <v>0.0</v>
      </c>
      <c r="J338" s="309">
        <v>0.0</v>
      </c>
      <c r="K338" s="310"/>
      <c r="L338" s="311"/>
      <c r="M338" s="312"/>
      <c r="N338" s="313"/>
      <c r="O338" s="314">
        <v>0.0</v>
      </c>
      <c r="P338" s="315">
        <v>0.0</v>
      </c>
      <c r="Q338" s="316" t="s">
        <v>1518</v>
      </c>
    </row>
    <row r="339">
      <c r="A339" s="242" t="s">
        <v>1519</v>
      </c>
      <c r="B339" s="317">
        <v>46361.0</v>
      </c>
      <c r="C339" s="307" t="s">
        <v>1099</v>
      </c>
      <c r="D339" s="266">
        <v>16.29</v>
      </c>
      <c r="E339" s="267" t="s">
        <v>1073</v>
      </c>
      <c r="F339" s="308">
        <v>0.0</v>
      </c>
      <c r="G339" s="308">
        <v>0.0</v>
      </c>
      <c r="H339" s="308">
        <v>0.0</v>
      </c>
      <c r="I339" s="308">
        <v>0.0</v>
      </c>
      <c r="J339" s="309">
        <v>0.0</v>
      </c>
      <c r="K339" s="310"/>
      <c r="L339" s="311"/>
      <c r="M339" s="312"/>
      <c r="N339" s="313"/>
      <c r="O339" s="314">
        <v>0.0</v>
      </c>
      <c r="P339" s="315">
        <v>0.0</v>
      </c>
      <c r="Q339" s="316" t="s">
        <v>1520</v>
      </c>
    </row>
    <row r="340">
      <c r="A340" s="242" t="s">
        <v>1521</v>
      </c>
      <c r="B340" s="319">
        <v>46024.0</v>
      </c>
      <c r="C340" s="307" t="s">
        <v>1102</v>
      </c>
      <c r="D340" s="266">
        <v>20.04</v>
      </c>
      <c r="E340" s="267" t="s">
        <v>1073</v>
      </c>
      <c r="F340" s="308">
        <v>0.0</v>
      </c>
      <c r="G340" s="308">
        <v>0.0</v>
      </c>
      <c r="H340" s="308">
        <v>0.0</v>
      </c>
      <c r="I340" s="308">
        <v>0.0</v>
      </c>
      <c r="J340" s="309">
        <v>0.0</v>
      </c>
      <c r="K340" s="310"/>
      <c r="L340" s="311"/>
      <c r="M340" s="312"/>
      <c r="N340" s="313"/>
      <c r="O340" s="314">
        <v>0.0</v>
      </c>
      <c r="P340" s="315">
        <v>0.0</v>
      </c>
      <c r="Q340" s="316" t="s">
        <v>1522</v>
      </c>
    </row>
    <row r="341">
      <c r="A341" s="291"/>
      <c r="B341" s="292"/>
      <c r="C341" s="293" t="s">
        <v>1160</v>
      </c>
      <c r="D341" s="294"/>
      <c r="E341" s="295"/>
      <c r="F341" s="296"/>
      <c r="G341" s="296"/>
      <c r="H341" s="296"/>
      <c r="I341" s="296"/>
      <c r="J341" s="296"/>
      <c r="K341" s="297"/>
      <c r="L341" s="298"/>
      <c r="M341" s="298"/>
      <c r="N341" s="298"/>
      <c r="O341" s="298"/>
      <c r="P341" s="298"/>
      <c r="Q341" s="299"/>
    </row>
    <row r="342">
      <c r="A342" s="305" t="s">
        <v>1523</v>
      </c>
      <c r="B342" s="306" t="s">
        <v>129</v>
      </c>
      <c r="C342" s="320" t="s">
        <v>1322</v>
      </c>
      <c r="D342" s="321">
        <v>1.0</v>
      </c>
      <c r="E342" s="278" t="s">
        <v>1116</v>
      </c>
      <c r="F342" s="308">
        <v>0.0</v>
      </c>
      <c r="G342" s="308">
        <v>0.0</v>
      </c>
      <c r="H342" s="308">
        <v>0.0</v>
      </c>
      <c r="I342" s="308">
        <v>0.0</v>
      </c>
      <c r="J342" s="309">
        <v>0.0</v>
      </c>
      <c r="K342" s="310"/>
      <c r="L342" s="311"/>
      <c r="M342" s="312"/>
      <c r="N342" s="313"/>
      <c r="O342" s="314">
        <v>0.0</v>
      </c>
      <c r="P342" s="315">
        <v>0.0</v>
      </c>
      <c r="Q342" s="316" t="s">
        <v>1524</v>
      </c>
    </row>
    <row r="343">
      <c r="A343" s="305" t="s">
        <v>1525</v>
      </c>
      <c r="B343" s="318" t="s">
        <v>104</v>
      </c>
      <c r="C343" s="320" t="s">
        <v>1325</v>
      </c>
      <c r="D343" s="321">
        <v>1.0</v>
      </c>
      <c r="E343" s="278" t="s">
        <v>1116</v>
      </c>
      <c r="F343" s="308">
        <v>0.0</v>
      </c>
      <c r="G343" s="308">
        <v>0.0</v>
      </c>
      <c r="H343" s="308">
        <v>0.0</v>
      </c>
      <c r="I343" s="308">
        <v>0.0</v>
      </c>
      <c r="J343" s="309">
        <v>0.0</v>
      </c>
      <c r="K343" s="310"/>
      <c r="L343" s="311"/>
      <c r="M343" s="312"/>
      <c r="N343" s="313"/>
      <c r="O343" s="314">
        <v>0.0</v>
      </c>
      <c r="P343" s="315">
        <v>0.0</v>
      </c>
      <c r="Q343" s="316" t="s">
        <v>1526</v>
      </c>
    </row>
    <row r="344">
      <c r="A344" s="305" t="s">
        <v>1527</v>
      </c>
      <c r="B344" s="306" t="s">
        <v>129</v>
      </c>
      <c r="C344" s="320" t="s">
        <v>1351</v>
      </c>
      <c r="D344" s="321">
        <v>1.0</v>
      </c>
      <c r="E344" s="278" t="s">
        <v>1116</v>
      </c>
      <c r="F344" s="308">
        <v>0.0</v>
      </c>
      <c r="G344" s="308">
        <v>0.0</v>
      </c>
      <c r="H344" s="308">
        <v>0.0</v>
      </c>
      <c r="I344" s="308">
        <v>0.0</v>
      </c>
      <c r="J344" s="309">
        <v>0.0</v>
      </c>
      <c r="K344" s="310"/>
      <c r="L344" s="311"/>
      <c r="M344" s="312"/>
      <c r="N344" s="313"/>
      <c r="O344" s="314">
        <v>0.0</v>
      </c>
      <c r="P344" s="315">
        <v>0.0</v>
      </c>
      <c r="Q344" s="316" t="s">
        <v>1528</v>
      </c>
    </row>
    <row r="345">
      <c r="A345" s="291"/>
      <c r="B345" s="292"/>
      <c r="C345" s="293" t="s">
        <v>1250</v>
      </c>
      <c r="D345" s="294"/>
      <c r="E345" s="295"/>
      <c r="F345" s="296"/>
      <c r="G345" s="296"/>
      <c r="H345" s="296"/>
      <c r="I345" s="296"/>
      <c r="J345" s="296"/>
      <c r="K345" s="297"/>
      <c r="L345" s="298"/>
      <c r="M345" s="298"/>
      <c r="N345" s="298"/>
      <c r="O345" s="298"/>
      <c r="P345" s="298"/>
      <c r="Q345" s="299"/>
    </row>
    <row r="346">
      <c r="A346" s="280" t="s">
        <v>1529</v>
      </c>
      <c r="B346" s="319">
        <v>46270.0</v>
      </c>
      <c r="C346" s="307" t="s">
        <v>1252</v>
      </c>
      <c r="D346" s="266">
        <v>1.0</v>
      </c>
      <c r="E346" s="271" t="s">
        <v>1107</v>
      </c>
      <c r="F346" s="308">
        <v>0.0</v>
      </c>
      <c r="G346" s="308">
        <v>0.0</v>
      </c>
      <c r="H346" s="308">
        <v>0.0</v>
      </c>
      <c r="I346" s="308">
        <v>0.0</v>
      </c>
      <c r="J346" s="309">
        <v>0.0</v>
      </c>
      <c r="K346" s="310"/>
      <c r="L346" s="311"/>
      <c r="M346" s="312"/>
      <c r="N346" s="313"/>
      <c r="O346" s="314">
        <v>0.0</v>
      </c>
      <c r="P346" s="315">
        <v>0.0</v>
      </c>
      <c r="Q346" s="316" t="s">
        <v>1530</v>
      </c>
    </row>
    <row r="347">
      <c r="A347" s="291"/>
      <c r="B347" s="292"/>
      <c r="C347" s="293" t="s">
        <v>1168</v>
      </c>
      <c r="D347" s="294"/>
      <c r="E347" s="295"/>
      <c r="F347" s="296"/>
      <c r="G347" s="296"/>
      <c r="H347" s="296"/>
      <c r="I347" s="296"/>
      <c r="J347" s="296"/>
      <c r="K347" s="297"/>
      <c r="L347" s="298"/>
      <c r="M347" s="298"/>
      <c r="N347" s="298"/>
      <c r="O347" s="298"/>
      <c r="P347" s="298"/>
      <c r="Q347" s="299"/>
    </row>
    <row r="348">
      <c r="A348" s="280" t="s">
        <v>1531</v>
      </c>
      <c r="B348" s="306" t="s">
        <v>140</v>
      </c>
      <c r="C348" s="307" t="s">
        <v>1499</v>
      </c>
      <c r="D348" s="266">
        <v>1.0</v>
      </c>
      <c r="E348" s="271" t="s">
        <v>1107</v>
      </c>
      <c r="F348" s="308">
        <v>0.0</v>
      </c>
      <c r="G348" s="308">
        <v>0.0</v>
      </c>
      <c r="H348" s="308">
        <v>0.0</v>
      </c>
      <c r="I348" s="308">
        <v>0.0</v>
      </c>
      <c r="J348" s="309">
        <v>0.0</v>
      </c>
      <c r="K348" s="310"/>
      <c r="L348" s="311"/>
      <c r="M348" s="312"/>
      <c r="N348" s="313"/>
      <c r="O348" s="314">
        <v>0.0</v>
      </c>
      <c r="P348" s="315">
        <v>0.0</v>
      </c>
      <c r="Q348" s="316" t="s">
        <v>1532</v>
      </c>
    </row>
    <row r="349">
      <c r="A349" s="291"/>
      <c r="B349" s="292"/>
      <c r="C349" s="293" t="s">
        <v>1118</v>
      </c>
      <c r="D349" s="294"/>
      <c r="E349" s="295"/>
      <c r="F349" s="296"/>
      <c r="G349" s="296"/>
      <c r="H349" s="296"/>
      <c r="I349" s="296"/>
      <c r="J349" s="296"/>
      <c r="K349" s="297"/>
      <c r="L349" s="298"/>
      <c r="M349" s="298"/>
      <c r="N349" s="298"/>
      <c r="O349" s="298"/>
      <c r="P349" s="298"/>
      <c r="Q349" s="299"/>
    </row>
    <row r="350">
      <c r="A350" s="242" t="s">
        <v>1533</v>
      </c>
      <c r="B350" s="306" t="s">
        <v>121</v>
      </c>
      <c r="C350" s="307" t="s">
        <v>1120</v>
      </c>
      <c r="D350" s="266">
        <v>42.21</v>
      </c>
      <c r="E350" s="267" t="s">
        <v>1073</v>
      </c>
      <c r="F350" s="308">
        <v>0.0</v>
      </c>
      <c r="G350" s="308">
        <v>0.0</v>
      </c>
      <c r="H350" s="308">
        <v>0.0</v>
      </c>
      <c r="I350" s="308">
        <v>0.0</v>
      </c>
      <c r="J350" s="309">
        <v>0.0</v>
      </c>
      <c r="K350" s="310"/>
      <c r="L350" s="311"/>
      <c r="M350" s="312"/>
      <c r="N350" s="313"/>
      <c r="O350" s="314">
        <v>0.0</v>
      </c>
      <c r="P350" s="315">
        <v>0.0</v>
      </c>
      <c r="Q350" s="316" t="s">
        <v>1534</v>
      </c>
    </row>
    <row r="351">
      <c r="A351" s="291"/>
      <c r="B351" s="292"/>
      <c r="C351" s="293" t="s">
        <v>1122</v>
      </c>
      <c r="D351" s="294"/>
      <c r="E351" s="295"/>
      <c r="F351" s="296"/>
      <c r="G351" s="296"/>
      <c r="H351" s="296"/>
      <c r="I351" s="296"/>
      <c r="J351" s="296"/>
      <c r="K351" s="297"/>
      <c r="L351" s="298"/>
      <c r="M351" s="298"/>
      <c r="N351" s="298"/>
      <c r="O351" s="298"/>
      <c r="P351" s="298"/>
      <c r="Q351" s="299"/>
    </row>
    <row r="352">
      <c r="A352" s="242" t="s">
        <v>1535</v>
      </c>
      <c r="B352" s="306" t="s">
        <v>112</v>
      </c>
      <c r="C352" s="307" t="s">
        <v>1124</v>
      </c>
      <c r="D352" s="266">
        <v>20.04</v>
      </c>
      <c r="E352" s="267" t="s">
        <v>1073</v>
      </c>
      <c r="F352" s="308">
        <v>0.0</v>
      </c>
      <c r="G352" s="308">
        <v>0.0</v>
      </c>
      <c r="H352" s="308">
        <v>0.0</v>
      </c>
      <c r="I352" s="308">
        <v>0.0</v>
      </c>
      <c r="J352" s="309">
        <v>0.0</v>
      </c>
      <c r="K352" s="310"/>
      <c r="L352" s="311"/>
      <c r="M352" s="312"/>
      <c r="N352" s="313"/>
      <c r="O352" s="314">
        <v>0.0</v>
      </c>
      <c r="P352" s="315">
        <v>0.0</v>
      </c>
      <c r="Q352" s="316" t="s">
        <v>1536</v>
      </c>
    </row>
    <row r="353">
      <c r="A353" s="291"/>
      <c r="B353" s="292"/>
      <c r="C353" s="293" t="s">
        <v>1126</v>
      </c>
      <c r="D353" s="294"/>
      <c r="E353" s="295"/>
      <c r="F353" s="296"/>
      <c r="G353" s="296"/>
      <c r="H353" s="296"/>
      <c r="I353" s="296"/>
      <c r="J353" s="296"/>
      <c r="K353" s="297"/>
      <c r="L353" s="298"/>
      <c r="M353" s="298"/>
      <c r="N353" s="298"/>
      <c r="O353" s="298"/>
      <c r="P353" s="298"/>
      <c r="Q353" s="299"/>
    </row>
    <row r="354">
      <c r="A354" s="322" t="s">
        <v>1537</v>
      </c>
      <c r="B354" s="318" t="s">
        <v>116</v>
      </c>
      <c r="C354" s="307" t="s">
        <v>1128</v>
      </c>
      <c r="D354" s="266">
        <v>20.04</v>
      </c>
      <c r="E354" s="267" t="s">
        <v>1073</v>
      </c>
      <c r="F354" s="308">
        <v>0.0</v>
      </c>
      <c r="G354" s="308">
        <v>0.0</v>
      </c>
      <c r="H354" s="308">
        <v>0.0</v>
      </c>
      <c r="I354" s="308">
        <v>0.0</v>
      </c>
      <c r="J354" s="309">
        <v>0.0</v>
      </c>
      <c r="K354" s="310"/>
      <c r="L354" s="311"/>
      <c r="M354" s="312"/>
      <c r="N354" s="313"/>
      <c r="O354" s="314">
        <v>0.0</v>
      </c>
      <c r="P354" s="315">
        <v>0.0</v>
      </c>
      <c r="Q354" s="316" t="s">
        <v>1538</v>
      </c>
    </row>
    <row r="355">
      <c r="A355" s="291"/>
      <c r="B355" s="292"/>
      <c r="C355" s="293" t="s">
        <v>1185</v>
      </c>
      <c r="D355" s="294"/>
      <c r="E355" s="295"/>
      <c r="F355" s="296"/>
      <c r="G355" s="296"/>
      <c r="H355" s="296"/>
      <c r="I355" s="296"/>
      <c r="J355" s="296"/>
      <c r="K355" s="297"/>
      <c r="L355" s="298"/>
      <c r="M355" s="298"/>
      <c r="N355" s="298"/>
      <c r="O355" s="298"/>
      <c r="P355" s="298"/>
      <c r="Q355" s="299"/>
    </row>
    <row r="356">
      <c r="A356" s="242" t="s">
        <v>1523</v>
      </c>
      <c r="B356" s="306" t="s">
        <v>143</v>
      </c>
      <c r="C356" s="307" t="s">
        <v>1266</v>
      </c>
      <c r="D356" s="266">
        <v>1.0</v>
      </c>
      <c r="E356" s="267" t="s">
        <v>1107</v>
      </c>
      <c r="F356" s="308">
        <v>0.0</v>
      </c>
      <c r="G356" s="308">
        <v>0.0</v>
      </c>
      <c r="H356" s="308">
        <v>0.0</v>
      </c>
      <c r="I356" s="308">
        <v>0.0</v>
      </c>
      <c r="J356" s="309">
        <v>0.0</v>
      </c>
      <c r="K356" s="310"/>
      <c r="L356" s="311"/>
      <c r="M356" s="312"/>
      <c r="N356" s="313"/>
      <c r="O356" s="314">
        <v>0.0</v>
      </c>
      <c r="P356" s="315">
        <v>0.0</v>
      </c>
      <c r="Q356" s="316" t="s">
        <v>1539</v>
      </c>
    </row>
    <row r="357">
      <c r="A357" s="242" t="s">
        <v>1525</v>
      </c>
      <c r="B357" s="306" t="s">
        <v>143</v>
      </c>
      <c r="C357" s="307" t="s">
        <v>1540</v>
      </c>
      <c r="D357" s="266">
        <v>1.0</v>
      </c>
      <c r="E357" s="267" t="s">
        <v>1107</v>
      </c>
      <c r="F357" s="308">
        <v>0.0</v>
      </c>
      <c r="G357" s="308">
        <v>0.0</v>
      </c>
      <c r="H357" s="308">
        <v>0.0</v>
      </c>
      <c r="I357" s="308">
        <v>0.0</v>
      </c>
      <c r="J357" s="309">
        <v>0.0</v>
      </c>
      <c r="K357" s="310"/>
      <c r="L357" s="311"/>
      <c r="M357" s="312"/>
      <c r="N357" s="313"/>
      <c r="O357" s="314">
        <v>0.0</v>
      </c>
      <c r="P357" s="315">
        <v>0.0</v>
      </c>
      <c r="Q357" s="316" t="s">
        <v>1541</v>
      </c>
    </row>
    <row r="358">
      <c r="A358" s="281"/>
      <c r="B358" s="282"/>
      <c r="C358" s="283" t="s">
        <v>1542</v>
      </c>
      <c r="D358" s="284"/>
      <c r="E358" s="285"/>
      <c r="F358" s="286"/>
      <c r="G358" s="286"/>
      <c r="H358" s="286"/>
      <c r="I358" s="287"/>
      <c r="J358" s="288">
        <v>0.0</v>
      </c>
      <c r="K358" s="287"/>
      <c r="L358" s="286"/>
      <c r="M358" s="287"/>
      <c r="N358" s="289"/>
      <c r="O358" s="287"/>
      <c r="P358" s="290">
        <v>0.0</v>
      </c>
      <c r="Q358" s="290"/>
    </row>
    <row r="359">
      <c r="A359" s="291"/>
      <c r="B359" s="292"/>
      <c r="C359" s="293" t="s">
        <v>1070</v>
      </c>
      <c r="D359" s="294"/>
      <c r="E359" s="295"/>
      <c r="F359" s="296"/>
      <c r="G359" s="296"/>
      <c r="H359" s="296"/>
      <c r="I359" s="296"/>
      <c r="J359" s="296"/>
      <c r="K359" s="297"/>
      <c r="L359" s="298"/>
      <c r="M359" s="298"/>
      <c r="N359" s="298"/>
      <c r="O359" s="298"/>
      <c r="P359" s="298"/>
      <c r="Q359" s="299"/>
    </row>
    <row r="360">
      <c r="A360" s="242" t="s">
        <v>1543</v>
      </c>
      <c r="B360" s="319">
        <v>46208.0</v>
      </c>
      <c r="C360" s="307" t="s">
        <v>1544</v>
      </c>
      <c r="D360" s="266">
        <v>1.0</v>
      </c>
      <c r="E360" s="267" t="s">
        <v>1107</v>
      </c>
      <c r="F360" s="308">
        <v>0.0</v>
      </c>
      <c r="G360" s="308">
        <v>0.0</v>
      </c>
      <c r="H360" s="308">
        <v>0.0</v>
      </c>
      <c r="I360" s="308">
        <v>0.0</v>
      </c>
      <c r="J360" s="309">
        <v>0.0</v>
      </c>
      <c r="K360" s="310"/>
      <c r="L360" s="311"/>
      <c r="M360" s="312"/>
      <c r="N360" s="313"/>
      <c r="O360" s="314">
        <v>0.0</v>
      </c>
      <c r="P360" s="315">
        <v>0.0</v>
      </c>
      <c r="Q360" s="316" t="s">
        <v>1545</v>
      </c>
    </row>
    <row r="361">
      <c r="A361" s="291"/>
      <c r="B361" s="292"/>
      <c r="C361" s="293" t="s">
        <v>1082</v>
      </c>
      <c r="D361" s="294"/>
      <c r="E361" s="295"/>
      <c r="F361" s="296"/>
      <c r="G361" s="296"/>
      <c r="H361" s="296"/>
      <c r="I361" s="296"/>
      <c r="J361" s="296"/>
      <c r="K361" s="297"/>
      <c r="L361" s="298"/>
      <c r="M361" s="298"/>
      <c r="N361" s="298"/>
      <c r="O361" s="298"/>
      <c r="P361" s="298"/>
      <c r="Q361" s="299"/>
    </row>
    <row r="362">
      <c r="A362" s="242" t="s">
        <v>1546</v>
      </c>
      <c r="B362" s="317">
        <v>46209.0</v>
      </c>
      <c r="C362" s="307" t="s">
        <v>1093</v>
      </c>
      <c r="D362" s="266">
        <v>9.0</v>
      </c>
      <c r="E362" s="267" t="s">
        <v>1073</v>
      </c>
      <c r="F362" s="308">
        <v>0.0</v>
      </c>
      <c r="G362" s="308">
        <v>0.0</v>
      </c>
      <c r="H362" s="308">
        <v>0.0</v>
      </c>
      <c r="I362" s="308">
        <v>0.0</v>
      </c>
      <c r="J362" s="309">
        <v>0.0</v>
      </c>
      <c r="K362" s="310"/>
      <c r="L362" s="311"/>
      <c r="M362" s="312"/>
      <c r="N362" s="313"/>
      <c r="O362" s="314">
        <v>0.0</v>
      </c>
      <c r="P362" s="315">
        <v>0.0</v>
      </c>
      <c r="Q362" s="316" t="s">
        <v>1547</v>
      </c>
    </row>
    <row r="363">
      <c r="A363" s="242" t="s">
        <v>1548</v>
      </c>
      <c r="B363" s="318" t="s">
        <v>111</v>
      </c>
      <c r="C363" s="307" t="s">
        <v>1096</v>
      </c>
      <c r="D363" s="266">
        <v>18.0</v>
      </c>
      <c r="E363" s="267" t="s">
        <v>1073</v>
      </c>
      <c r="F363" s="308">
        <v>0.0</v>
      </c>
      <c r="G363" s="308">
        <v>0.0</v>
      </c>
      <c r="H363" s="308">
        <v>0.0</v>
      </c>
      <c r="I363" s="308">
        <v>0.0</v>
      </c>
      <c r="J363" s="309">
        <v>0.0</v>
      </c>
      <c r="K363" s="310"/>
      <c r="L363" s="311"/>
      <c r="M363" s="312"/>
      <c r="N363" s="313"/>
      <c r="O363" s="314">
        <v>0.0</v>
      </c>
      <c r="P363" s="315">
        <v>0.0</v>
      </c>
      <c r="Q363" s="316" t="s">
        <v>1549</v>
      </c>
    </row>
    <row r="364">
      <c r="A364" s="242" t="s">
        <v>1550</v>
      </c>
      <c r="B364" s="317">
        <v>46361.0</v>
      </c>
      <c r="C364" s="307" t="s">
        <v>1099</v>
      </c>
      <c r="D364" s="266">
        <v>77.43225</v>
      </c>
      <c r="E364" s="267" t="s">
        <v>1073</v>
      </c>
      <c r="F364" s="308">
        <v>0.0</v>
      </c>
      <c r="G364" s="308">
        <v>0.0</v>
      </c>
      <c r="H364" s="308">
        <v>0.0</v>
      </c>
      <c r="I364" s="308">
        <v>0.0</v>
      </c>
      <c r="J364" s="309">
        <v>0.0</v>
      </c>
      <c r="K364" s="310"/>
      <c r="L364" s="311"/>
      <c r="M364" s="312"/>
      <c r="N364" s="313"/>
      <c r="O364" s="314">
        <v>0.0</v>
      </c>
      <c r="P364" s="315">
        <v>0.0</v>
      </c>
      <c r="Q364" s="316" t="s">
        <v>1551</v>
      </c>
    </row>
    <row r="365">
      <c r="A365" s="242" t="s">
        <v>1552</v>
      </c>
      <c r="B365" s="319">
        <v>46024.0</v>
      </c>
      <c r="C365" s="307" t="s">
        <v>1102</v>
      </c>
      <c r="D365" s="266">
        <v>54.38</v>
      </c>
      <c r="E365" s="267" t="s">
        <v>1073</v>
      </c>
      <c r="F365" s="308">
        <v>0.0</v>
      </c>
      <c r="G365" s="308">
        <v>0.0</v>
      </c>
      <c r="H365" s="308">
        <v>0.0</v>
      </c>
      <c r="I365" s="308">
        <v>0.0</v>
      </c>
      <c r="J365" s="309">
        <v>0.0</v>
      </c>
      <c r="K365" s="310"/>
      <c r="L365" s="311"/>
      <c r="M365" s="312"/>
      <c r="N365" s="313"/>
      <c r="O365" s="314">
        <v>0.0</v>
      </c>
      <c r="P365" s="315">
        <v>0.0</v>
      </c>
      <c r="Q365" s="316" t="s">
        <v>1553</v>
      </c>
    </row>
    <row r="366">
      <c r="A366" s="242" t="s">
        <v>1554</v>
      </c>
      <c r="B366" s="270" t="s">
        <v>142</v>
      </c>
      <c r="C366" s="265" t="s">
        <v>1301</v>
      </c>
      <c r="D366" s="266">
        <v>54.38</v>
      </c>
      <c r="E366" s="267" t="s">
        <v>1073</v>
      </c>
      <c r="F366" s="246">
        <v>0.0</v>
      </c>
      <c r="G366" s="246">
        <v>0.0</v>
      </c>
      <c r="H366" s="246">
        <v>0.0</v>
      </c>
      <c r="I366" s="246">
        <v>0.0</v>
      </c>
      <c r="J366" s="247">
        <v>0.0</v>
      </c>
      <c r="K366" s="268"/>
      <c r="L366" s="269"/>
      <c r="M366" s="250"/>
      <c r="N366" s="251"/>
      <c r="O366" s="250">
        <v>0.0</v>
      </c>
      <c r="P366" s="252">
        <v>0.0</v>
      </c>
      <c r="Q366" s="253" t="s">
        <v>1555</v>
      </c>
    </row>
    <row r="367">
      <c r="A367" s="242" t="s">
        <v>1556</v>
      </c>
      <c r="B367" s="272">
        <v>46300.0</v>
      </c>
      <c r="C367" s="265" t="s">
        <v>1557</v>
      </c>
      <c r="D367" s="266">
        <v>27.72</v>
      </c>
      <c r="E367" s="267" t="s">
        <v>1073</v>
      </c>
      <c r="F367" s="246">
        <v>0.0</v>
      </c>
      <c r="G367" s="246">
        <v>0.0</v>
      </c>
      <c r="H367" s="246">
        <v>0.0</v>
      </c>
      <c r="I367" s="246">
        <v>0.0</v>
      </c>
      <c r="J367" s="247">
        <v>0.0</v>
      </c>
      <c r="K367" s="268"/>
      <c r="L367" s="269"/>
      <c r="M367" s="250"/>
      <c r="N367" s="251"/>
      <c r="O367" s="250">
        <v>0.0</v>
      </c>
      <c r="P367" s="252">
        <v>0.0</v>
      </c>
      <c r="Q367" s="253" t="s">
        <v>1558</v>
      </c>
    </row>
    <row r="368">
      <c r="A368" s="291"/>
      <c r="B368" s="292"/>
      <c r="C368" s="293" t="s">
        <v>1160</v>
      </c>
      <c r="D368" s="294"/>
      <c r="E368" s="295"/>
      <c r="F368" s="296"/>
      <c r="G368" s="296"/>
      <c r="H368" s="296"/>
      <c r="I368" s="296"/>
      <c r="J368" s="296"/>
      <c r="K368" s="297"/>
      <c r="L368" s="298"/>
      <c r="M368" s="298"/>
      <c r="N368" s="298"/>
      <c r="O368" s="298"/>
      <c r="P368" s="298"/>
      <c r="Q368" s="299"/>
    </row>
    <row r="369">
      <c r="A369" s="305" t="s">
        <v>1559</v>
      </c>
      <c r="B369" s="306" t="s">
        <v>129</v>
      </c>
      <c r="C369" s="320" t="s">
        <v>1322</v>
      </c>
      <c r="D369" s="321">
        <v>1.0</v>
      </c>
      <c r="E369" s="278" t="s">
        <v>1116</v>
      </c>
      <c r="F369" s="308">
        <v>0.0</v>
      </c>
      <c r="G369" s="308">
        <v>0.0</v>
      </c>
      <c r="H369" s="308">
        <v>0.0</v>
      </c>
      <c r="I369" s="308">
        <v>0.0</v>
      </c>
      <c r="J369" s="309">
        <v>0.0</v>
      </c>
      <c r="K369" s="310"/>
      <c r="L369" s="311"/>
      <c r="M369" s="312"/>
      <c r="N369" s="313"/>
      <c r="O369" s="314">
        <v>0.0</v>
      </c>
      <c r="P369" s="315">
        <v>0.0</v>
      </c>
      <c r="Q369" s="316" t="s">
        <v>1560</v>
      </c>
    </row>
    <row r="370">
      <c r="A370" s="305" t="s">
        <v>1561</v>
      </c>
      <c r="B370" s="318" t="s">
        <v>104</v>
      </c>
      <c r="C370" s="320" t="s">
        <v>1325</v>
      </c>
      <c r="D370" s="321">
        <v>1.0</v>
      </c>
      <c r="E370" s="278" t="s">
        <v>1116</v>
      </c>
      <c r="F370" s="308">
        <v>0.0</v>
      </c>
      <c r="G370" s="308">
        <v>0.0</v>
      </c>
      <c r="H370" s="308">
        <v>0.0</v>
      </c>
      <c r="I370" s="308">
        <v>0.0</v>
      </c>
      <c r="J370" s="309">
        <v>0.0</v>
      </c>
      <c r="K370" s="310"/>
      <c r="L370" s="311"/>
      <c r="M370" s="312"/>
      <c r="N370" s="313"/>
      <c r="O370" s="314">
        <v>0.0</v>
      </c>
      <c r="P370" s="315">
        <v>0.0</v>
      </c>
      <c r="Q370" s="316" t="s">
        <v>1562</v>
      </c>
    </row>
    <row r="371">
      <c r="A371" s="305" t="s">
        <v>1563</v>
      </c>
      <c r="B371" s="306" t="s">
        <v>129</v>
      </c>
      <c r="C371" s="320" t="s">
        <v>1351</v>
      </c>
      <c r="D371" s="321">
        <v>1.0</v>
      </c>
      <c r="E371" s="278" t="s">
        <v>1116</v>
      </c>
      <c r="F371" s="308">
        <v>0.0</v>
      </c>
      <c r="G371" s="308">
        <v>0.0</v>
      </c>
      <c r="H371" s="308">
        <v>0.0</v>
      </c>
      <c r="I371" s="308">
        <v>0.0</v>
      </c>
      <c r="J371" s="309">
        <v>0.0</v>
      </c>
      <c r="K371" s="310"/>
      <c r="L371" s="311"/>
      <c r="M371" s="312"/>
      <c r="N371" s="313"/>
      <c r="O371" s="314">
        <v>0.0</v>
      </c>
      <c r="P371" s="315">
        <v>0.0</v>
      </c>
      <c r="Q371" s="316" t="s">
        <v>1564</v>
      </c>
    </row>
    <row r="372">
      <c r="A372" s="291"/>
      <c r="B372" s="292"/>
      <c r="C372" s="293" t="s">
        <v>1118</v>
      </c>
      <c r="D372" s="294"/>
      <c r="E372" s="295"/>
      <c r="F372" s="296"/>
      <c r="G372" s="296"/>
      <c r="H372" s="296"/>
      <c r="I372" s="296"/>
      <c r="J372" s="296"/>
      <c r="K372" s="297"/>
      <c r="L372" s="298"/>
      <c r="M372" s="298"/>
      <c r="N372" s="298"/>
      <c r="O372" s="298"/>
      <c r="P372" s="298"/>
      <c r="Q372" s="299"/>
    </row>
    <row r="373">
      <c r="A373" s="242" t="s">
        <v>1565</v>
      </c>
      <c r="B373" s="306" t="s">
        <v>121</v>
      </c>
      <c r="C373" s="307" t="s">
        <v>1257</v>
      </c>
      <c r="D373" s="266">
        <v>95.43</v>
      </c>
      <c r="E373" s="267" t="s">
        <v>1073</v>
      </c>
      <c r="F373" s="308">
        <v>0.0</v>
      </c>
      <c r="G373" s="308">
        <v>0.0</v>
      </c>
      <c r="H373" s="308">
        <v>0.0</v>
      </c>
      <c r="I373" s="308">
        <v>0.0</v>
      </c>
      <c r="J373" s="309">
        <v>0.0</v>
      </c>
      <c r="K373" s="310"/>
      <c r="L373" s="311"/>
      <c r="M373" s="312"/>
      <c r="N373" s="313"/>
      <c r="O373" s="314">
        <v>0.0</v>
      </c>
      <c r="P373" s="315">
        <v>0.0</v>
      </c>
      <c r="Q373" s="316" t="s">
        <v>1566</v>
      </c>
    </row>
    <row r="374">
      <c r="A374" s="291"/>
      <c r="B374" s="292"/>
      <c r="C374" s="293" t="s">
        <v>1126</v>
      </c>
      <c r="D374" s="294"/>
      <c r="E374" s="295"/>
      <c r="F374" s="296"/>
      <c r="G374" s="296"/>
      <c r="H374" s="296"/>
      <c r="I374" s="296"/>
      <c r="J374" s="296"/>
      <c r="K374" s="297"/>
      <c r="L374" s="298"/>
      <c r="M374" s="298"/>
      <c r="N374" s="298"/>
      <c r="O374" s="298"/>
      <c r="P374" s="298"/>
      <c r="Q374" s="299"/>
    </row>
    <row r="375">
      <c r="A375" s="242" t="s">
        <v>1567</v>
      </c>
      <c r="B375" s="264" t="s">
        <v>119</v>
      </c>
      <c r="C375" s="265" t="s">
        <v>1310</v>
      </c>
      <c r="D375" s="266">
        <v>34.7</v>
      </c>
      <c r="E375" s="267" t="s">
        <v>1073</v>
      </c>
      <c r="F375" s="246">
        <v>0.0</v>
      </c>
      <c r="G375" s="246">
        <v>0.0</v>
      </c>
      <c r="H375" s="246">
        <v>0.0</v>
      </c>
      <c r="I375" s="246">
        <v>0.0</v>
      </c>
      <c r="J375" s="247">
        <v>0.0</v>
      </c>
      <c r="K375" s="268"/>
      <c r="L375" s="269"/>
      <c r="M375" s="250"/>
      <c r="N375" s="251"/>
      <c r="O375" s="250">
        <v>0.0</v>
      </c>
      <c r="P375" s="252">
        <v>0.0</v>
      </c>
      <c r="Q375" s="253" t="s">
        <v>1568</v>
      </c>
    </row>
    <row r="376">
      <c r="A376" s="242" t="s">
        <v>1569</v>
      </c>
      <c r="B376" s="264" t="s">
        <v>116</v>
      </c>
      <c r="C376" s="265" t="s">
        <v>1264</v>
      </c>
      <c r="D376" s="266">
        <v>19.6</v>
      </c>
      <c r="E376" s="267" t="s">
        <v>1073</v>
      </c>
      <c r="F376" s="246">
        <v>0.0</v>
      </c>
      <c r="G376" s="246">
        <v>0.0</v>
      </c>
      <c r="H376" s="246">
        <v>0.0</v>
      </c>
      <c r="I376" s="246">
        <v>0.0</v>
      </c>
      <c r="J376" s="247">
        <v>0.0</v>
      </c>
      <c r="K376" s="268"/>
      <c r="L376" s="269"/>
      <c r="M376" s="250"/>
      <c r="N376" s="251"/>
      <c r="O376" s="250">
        <v>0.0</v>
      </c>
      <c r="P376" s="252">
        <v>0.0</v>
      </c>
      <c r="Q376" s="253" t="s">
        <v>1570</v>
      </c>
    </row>
    <row r="377">
      <c r="A377" s="291"/>
      <c r="B377" s="292"/>
      <c r="C377" s="293" t="s">
        <v>1185</v>
      </c>
      <c r="D377" s="294"/>
      <c r="E377" s="295"/>
      <c r="F377" s="296"/>
      <c r="G377" s="296"/>
      <c r="H377" s="296"/>
      <c r="I377" s="296"/>
      <c r="J377" s="296"/>
      <c r="K377" s="297"/>
      <c r="L377" s="298"/>
      <c r="M377" s="298"/>
      <c r="N377" s="298"/>
      <c r="O377" s="298"/>
      <c r="P377" s="298"/>
      <c r="Q377" s="299"/>
    </row>
    <row r="378">
      <c r="A378" s="242" t="s">
        <v>1559</v>
      </c>
      <c r="B378" s="270" t="s">
        <v>125</v>
      </c>
      <c r="C378" s="265" t="s">
        <v>1268</v>
      </c>
      <c r="D378" s="266">
        <v>1.0</v>
      </c>
      <c r="E378" s="267" t="s">
        <v>1107</v>
      </c>
      <c r="F378" s="246">
        <v>0.0</v>
      </c>
      <c r="G378" s="246">
        <v>0.0</v>
      </c>
      <c r="H378" s="246">
        <v>0.0</v>
      </c>
      <c r="I378" s="246">
        <v>0.0</v>
      </c>
      <c r="J378" s="247">
        <v>0.0</v>
      </c>
      <c r="K378" s="268"/>
      <c r="L378" s="269"/>
      <c r="M378" s="250"/>
      <c r="N378" s="251"/>
      <c r="O378" s="250">
        <v>0.0</v>
      </c>
      <c r="P378" s="252">
        <v>0.0</v>
      </c>
      <c r="Q378" s="253" t="s">
        <v>1571</v>
      </c>
    </row>
    <row r="379">
      <c r="A379" s="291"/>
      <c r="B379" s="292"/>
      <c r="C379" s="293" t="s">
        <v>1200</v>
      </c>
      <c r="D379" s="294"/>
      <c r="E379" s="295"/>
      <c r="F379" s="296"/>
      <c r="G379" s="296"/>
      <c r="H379" s="296"/>
      <c r="I379" s="296"/>
      <c r="J379" s="296"/>
      <c r="K379" s="297"/>
      <c r="L379" s="298"/>
      <c r="M379" s="298"/>
      <c r="N379" s="298"/>
      <c r="O379" s="298"/>
      <c r="P379" s="298"/>
      <c r="Q379" s="299"/>
    </row>
    <row r="380">
      <c r="A380" s="242" t="s">
        <v>1572</v>
      </c>
      <c r="B380" s="264" t="s">
        <v>139</v>
      </c>
      <c r="C380" s="265" t="s">
        <v>1573</v>
      </c>
      <c r="D380" s="266">
        <v>1.0</v>
      </c>
      <c r="E380" s="267" t="s">
        <v>1116</v>
      </c>
      <c r="F380" s="246">
        <v>0.0</v>
      </c>
      <c r="G380" s="246">
        <v>0.0</v>
      </c>
      <c r="H380" s="246">
        <v>0.0</v>
      </c>
      <c r="I380" s="246">
        <v>0.0</v>
      </c>
      <c r="J380" s="247">
        <v>0.0</v>
      </c>
      <c r="K380" s="268"/>
      <c r="L380" s="269"/>
      <c r="M380" s="250"/>
      <c r="N380" s="251"/>
      <c r="O380" s="250">
        <v>0.0</v>
      </c>
      <c r="P380" s="252">
        <v>0.0</v>
      </c>
      <c r="Q380" s="253" t="s">
        <v>1574</v>
      </c>
    </row>
    <row r="381">
      <c r="A381" s="281"/>
      <c r="B381" s="282"/>
      <c r="C381" s="283" t="s">
        <v>1575</v>
      </c>
      <c r="D381" s="284"/>
      <c r="E381" s="285"/>
      <c r="F381" s="286"/>
      <c r="G381" s="286"/>
      <c r="H381" s="286"/>
      <c r="I381" s="287"/>
      <c r="J381" s="288">
        <v>0.0</v>
      </c>
      <c r="K381" s="287"/>
      <c r="L381" s="286"/>
      <c r="M381" s="287"/>
      <c r="N381" s="289"/>
      <c r="O381" s="287"/>
      <c r="P381" s="290">
        <v>0.0</v>
      </c>
      <c r="Q381" s="290"/>
    </row>
    <row r="382">
      <c r="A382" s="291"/>
      <c r="B382" s="292"/>
      <c r="C382" s="293" t="s">
        <v>1070</v>
      </c>
      <c r="D382" s="294"/>
      <c r="E382" s="295"/>
      <c r="F382" s="296"/>
      <c r="G382" s="296"/>
      <c r="H382" s="296"/>
      <c r="I382" s="296"/>
      <c r="J382" s="296"/>
      <c r="K382" s="297"/>
      <c r="L382" s="298"/>
      <c r="M382" s="298"/>
      <c r="N382" s="298"/>
      <c r="O382" s="298"/>
      <c r="P382" s="298"/>
      <c r="Q382" s="299"/>
    </row>
    <row r="383">
      <c r="A383" s="242" t="s">
        <v>1576</v>
      </c>
      <c r="B383" s="319">
        <v>46239.0</v>
      </c>
      <c r="C383" s="307" t="s">
        <v>1577</v>
      </c>
      <c r="D383" s="266">
        <v>3.75</v>
      </c>
      <c r="E383" s="267" t="s">
        <v>1073</v>
      </c>
      <c r="F383" s="308">
        <v>0.0</v>
      </c>
      <c r="G383" s="308">
        <v>0.0</v>
      </c>
      <c r="H383" s="308">
        <v>0.0</v>
      </c>
      <c r="I383" s="308">
        <v>0.0</v>
      </c>
      <c r="J383" s="309">
        <v>0.0</v>
      </c>
      <c r="K383" s="310"/>
      <c r="L383" s="311"/>
      <c r="M383" s="312"/>
      <c r="N383" s="313"/>
      <c r="O383" s="314">
        <v>0.0</v>
      </c>
      <c r="P383" s="315">
        <v>0.0</v>
      </c>
      <c r="Q383" s="316" t="s">
        <v>1578</v>
      </c>
    </row>
    <row r="384">
      <c r="A384" s="242" t="s">
        <v>1579</v>
      </c>
      <c r="B384" s="319">
        <v>46114.0</v>
      </c>
      <c r="C384" s="307" t="s">
        <v>1580</v>
      </c>
      <c r="D384" s="266">
        <v>14.6625</v>
      </c>
      <c r="E384" s="267" t="s">
        <v>1073</v>
      </c>
      <c r="F384" s="308">
        <v>0.0</v>
      </c>
      <c r="G384" s="308">
        <v>0.0</v>
      </c>
      <c r="H384" s="308">
        <v>0.0</v>
      </c>
      <c r="I384" s="308">
        <v>0.0</v>
      </c>
      <c r="J384" s="309">
        <v>0.0</v>
      </c>
      <c r="K384" s="310"/>
      <c r="L384" s="311"/>
      <c r="M384" s="312"/>
      <c r="N384" s="313"/>
      <c r="O384" s="314">
        <v>0.0</v>
      </c>
      <c r="P384" s="315">
        <v>0.0</v>
      </c>
      <c r="Q384" s="316" t="s">
        <v>1581</v>
      </c>
    </row>
    <row r="385">
      <c r="A385" s="242" t="s">
        <v>1582</v>
      </c>
      <c r="B385" s="319">
        <v>46239.0</v>
      </c>
      <c r="C385" s="307" t="s">
        <v>1583</v>
      </c>
      <c r="D385" s="266">
        <v>4.36</v>
      </c>
      <c r="E385" s="267" t="s">
        <v>1073</v>
      </c>
      <c r="F385" s="308">
        <v>0.0</v>
      </c>
      <c r="G385" s="308">
        <v>0.0</v>
      </c>
      <c r="H385" s="308">
        <v>0.0</v>
      </c>
      <c r="I385" s="308">
        <v>0.0</v>
      </c>
      <c r="J385" s="309">
        <v>0.0</v>
      </c>
      <c r="K385" s="310"/>
      <c r="L385" s="311"/>
      <c r="M385" s="312"/>
      <c r="N385" s="313"/>
      <c r="O385" s="314">
        <v>0.0</v>
      </c>
      <c r="P385" s="315">
        <v>0.0</v>
      </c>
      <c r="Q385" s="316" t="s">
        <v>1584</v>
      </c>
    </row>
    <row r="386">
      <c r="A386" s="242" t="s">
        <v>1585</v>
      </c>
      <c r="B386" s="319">
        <v>46208.0</v>
      </c>
      <c r="C386" s="307" t="s">
        <v>1586</v>
      </c>
      <c r="D386" s="266">
        <v>1.0</v>
      </c>
      <c r="E386" s="267" t="s">
        <v>1107</v>
      </c>
      <c r="F386" s="308">
        <v>0.0</v>
      </c>
      <c r="G386" s="308">
        <v>0.0</v>
      </c>
      <c r="H386" s="308">
        <v>0.0</v>
      </c>
      <c r="I386" s="308">
        <v>0.0</v>
      </c>
      <c r="J386" s="309">
        <v>0.0</v>
      </c>
      <c r="K386" s="310"/>
      <c r="L386" s="311"/>
      <c r="M386" s="312"/>
      <c r="N386" s="313"/>
      <c r="O386" s="314">
        <v>0.0</v>
      </c>
      <c r="P386" s="315">
        <v>0.0</v>
      </c>
      <c r="Q386" s="316" t="s">
        <v>1587</v>
      </c>
    </row>
    <row r="387">
      <c r="A387" s="291"/>
      <c r="B387" s="292"/>
      <c r="C387" s="293" t="s">
        <v>1082</v>
      </c>
      <c r="D387" s="294"/>
      <c r="E387" s="295"/>
      <c r="F387" s="296"/>
      <c r="G387" s="296"/>
      <c r="H387" s="296"/>
      <c r="I387" s="296"/>
      <c r="J387" s="296"/>
      <c r="K387" s="297"/>
      <c r="L387" s="298"/>
      <c r="M387" s="298"/>
      <c r="N387" s="298"/>
      <c r="O387" s="298"/>
      <c r="P387" s="298"/>
      <c r="Q387" s="299"/>
    </row>
    <row r="388">
      <c r="A388" s="242" t="s">
        <v>1588</v>
      </c>
      <c r="B388" s="317">
        <v>46209.0</v>
      </c>
      <c r="C388" s="307" t="s">
        <v>1093</v>
      </c>
      <c r="D388" s="266">
        <v>27.032</v>
      </c>
      <c r="E388" s="267" t="s">
        <v>1073</v>
      </c>
      <c r="F388" s="308">
        <v>0.0</v>
      </c>
      <c r="G388" s="308">
        <v>0.0</v>
      </c>
      <c r="H388" s="308">
        <v>0.0</v>
      </c>
      <c r="I388" s="308">
        <v>0.0</v>
      </c>
      <c r="J388" s="309">
        <v>0.0</v>
      </c>
      <c r="K388" s="310"/>
      <c r="L388" s="311"/>
      <c r="M388" s="312"/>
      <c r="N388" s="313"/>
      <c r="O388" s="314">
        <v>0.0</v>
      </c>
      <c r="P388" s="315">
        <v>0.0</v>
      </c>
      <c r="Q388" s="316" t="s">
        <v>1589</v>
      </c>
    </row>
    <row r="389">
      <c r="A389" s="242" t="s">
        <v>1590</v>
      </c>
      <c r="B389" s="318" t="s">
        <v>111</v>
      </c>
      <c r="C389" s="307" t="s">
        <v>1096</v>
      </c>
      <c r="D389" s="266">
        <v>54.064</v>
      </c>
      <c r="E389" s="267" t="s">
        <v>1073</v>
      </c>
      <c r="F389" s="308">
        <v>0.0</v>
      </c>
      <c r="G389" s="308">
        <v>0.0</v>
      </c>
      <c r="H389" s="308">
        <v>0.0</v>
      </c>
      <c r="I389" s="308">
        <v>0.0</v>
      </c>
      <c r="J389" s="309">
        <v>0.0</v>
      </c>
      <c r="K389" s="310"/>
      <c r="L389" s="311"/>
      <c r="M389" s="312"/>
      <c r="N389" s="313"/>
      <c r="O389" s="314">
        <v>0.0</v>
      </c>
      <c r="P389" s="315">
        <v>0.0</v>
      </c>
      <c r="Q389" s="316" t="s">
        <v>1591</v>
      </c>
    </row>
    <row r="390">
      <c r="A390" s="242" t="s">
        <v>1592</v>
      </c>
      <c r="B390" s="317">
        <v>46361.0</v>
      </c>
      <c r="C390" s="307" t="s">
        <v>1099</v>
      </c>
      <c r="D390" s="266">
        <v>13.2092</v>
      </c>
      <c r="E390" s="267" t="s">
        <v>1073</v>
      </c>
      <c r="F390" s="308">
        <v>0.0</v>
      </c>
      <c r="G390" s="308">
        <v>0.0</v>
      </c>
      <c r="H390" s="308">
        <v>0.0</v>
      </c>
      <c r="I390" s="308">
        <v>0.0</v>
      </c>
      <c r="J390" s="309">
        <v>0.0</v>
      </c>
      <c r="K390" s="310"/>
      <c r="L390" s="311"/>
      <c r="M390" s="312"/>
      <c r="N390" s="313"/>
      <c r="O390" s="314">
        <v>0.0</v>
      </c>
      <c r="P390" s="315">
        <v>0.0</v>
      </c>
      <c r="Q390" s="316" t="s">
        <v>1593</v>
      </c>
    </row>
    <row r="391">
      <c r="A391" s="242" t="s">
        <v>1594</v>
      </c>
      <c r="B391" s="319">
        <v>46024.0</v>
      </c>
      <c r="C391" s="307" t="s">
        <v>1102</v>
      </c>
      <c r="D391" s="266">
        <v>151.88</v>
      </c>
      <c r="E391" s="267" t="s">
        <v>1073</v>
      </c>
      <c r="F391" s="308">
        <v>0.0</v>
      </c>
      <c r="G391" s="308">
        <v>0.0</v>
      </c>
      <c r="H391" s="308">
        <v>0.0</v>
      </c>
      <c r="I391" s="308">
        <v>0.0</v>
      </c>
      <c r="J391" s="309">
        <v>0.0</v>
      </c>
      <c r="K391" s="310"/>
      <c r="L391" s="311"/>
      <c r="M391" s="312"/>
      <c r="N391" s="313"/>
      <c r="O391" s="314">
        <v>0.0</v>
      </c>
      <c r="P391" s="315">
        <v>0.0</v>
      </c>
      <c r="Q391" s="316" t="s">
        <v>1595</v>
      </c>
    </row>
    <row r="392">
      <c r="A392" s="242" t="s">
        <v>1596</v>
      </c>
      <c r="B392" s="270" t="s">
        <v>142</v>
      </c>
      <c r="C392" s="265" t="s">
        <v>1301</v>
      </c>
      <c r="D392" s="266">
        <v>151.8</v>
      </c>
      <c r="E392" s="267" t="s">
        <v>1073</v>
      </c>
      <c r="F392" s="246">
        <v>0.0</v>
      </c>
      <c r="G392" s="246">
        <v>0.0</v>
      </c>
      <c r="H392" s="246">
        <v>0.0</v>
      </c>
      <c r="I392" s="246">
        <v>0.0</v>
      </c>
      <c r="J392" s="247">
        <v>0.0</v>
      </c>
      <c r="K392" s="268"/>
      <c r="L392" s="269"/>
      <c r="M392" s="250"/>
      <c r="N392" s="251"/>
      <c r="O392" s="250">
        <v>0.0</v>
      </c>
      <c r="P392" s="252">
        <v>0.0</v>
      </c>
      <c r="Q392" s="253" t="s">
        <v>1597</v>
      </c>
    </row>
    <row r="393">
      <c r="A393" s="242" t="s">
        <v>1598</v>
      </c>
      <c r="B393" s="273">
        <v>46056.0</v>
      </c>
      <c r="C393" s="265" t="s">
        <v>1599</v>
      </c>
      <c r="D393" s="266">
        <v>4.752</v>
      </c>
      <c r="E393" s="267" t="s">
        <v>1073</v>
      </c>
      <c r="F393" s="246">
        <v>0.0</v>
      </c>
      <c r="G393" s="246">
        <v>0.0</v>
      </c>
      <c r="H393" s="246">
        <v>0.0</v>
      </c>
      <c r="I393" s="246">
        <v>0.0</v>
      </c>
      <c r="J393" s="247">
        <v>0.0</v>
      </c>
      <c r="K393" s="268"/>
      <c r="L393" s="269"/>
      <c r="M393" s="250"/>
      <c r="N393" s="251"/>
      <c r="O393" s="250">
        <v>0.0</v>
      </c>
      <c r="P393" s="252">
        <v>0.0</v>
      </c>
      <c r="Q393" s="253" t="s">
        <v>1600</v>
      </c>
    </row>
    <row r="394">
      <c r="A394" s="291"/>
      <c r="B394" s="292"/>
      <c r="C394" s="293" t="s">
        <v>1200</v>
      </c>
      <c r="D394" s="294"/>
      <c r="E394" s="295"/>
      <c r="F394" s="296"/>
      <c r="G394" s="296"/>
      <c r="H394" s="296"/>
      <c r="I394" s="296"/>
      <c r="J394" s="296"/>
      <c r="K394" s="297"/>
      <c r="L394" s="298"/>
      <c r="M394" s="298"/>
      <c r="N394" s="298"/>
      <c r="O394" s="298"/>
      <c r="P394" s="298"/>
      <c r="Q394" s="299"/>
    </row>
    <row r="395">
      <c r="A395" s="242" t="s">
        <v>1601</v>
      </c>
      <c r="B395" s="318" t="s">
        <v>139</v>
      </c>
      <c r="C395" s="307" t="s">
        <v>1602</v>
      </c>
      <c r="D395" s="266">
        <v>1.0</v>
      </c>
      <c r="E395" s="267" t="s">
        <v>1116</v>
      </c>
      <c r="F395" s="308">
        <v>0.0</v>
      </c>
      <c r="G395" s="308">
        <v>0.0</v>
      </c>
      <c r="H395" s="308">
        <v>0.0</v>
      </c>
      <c r="I395" s="308">
        <v>0.0</v>
      </c>
      <c r="J395" s="309">
        <v>0.0</v>
      </c>
      <c r="K395" s="310"/>
      <c r="L395" s="311"/>
      <c r="M395" s="312"/>
      <c r="N395" s="313"/>
      <c r="O395" s="314">
        <v>0.0</v>
      </c>
      <c r="P395" s="315">
        <v>0.0</v>
      </c>
      <c r="Q395" s="316" t="s">
        <v>1603</v>
      </c>
    </row>
    <row r="396">
      <c r="A396" s="242" t="s">
        <v>1604</v>
      </c>
      <c r="B396" s="264" t="s">
        <v>139</v>
      </c>
      <c r="C396" s="265" t="s">
        <v>1573</v>
      </c>
      <c r="D396" s="266">
        <v>1.0</v>
      </c>
      <c r="E396" s="267" t="s">
        <v>1116</v>
      </c>
      <c r="F396" s="246">
        <v>0.0</v>
      </c>
      <c r="G396" s="246">
        <v>0.0</v>
      </c>
      <c r="H396" s="246">
        <v>0.0</v>
      </c>
      <c r="I396" s="246">
        <v>0.0</v>
      </c>
      <c r="J396" s="247">
        <v>0.0</v>
      </c>
      <c r="K396" s="268"/>
      <c r="L396" s="269"/>
      <c r="M396" s="250"/>
      <c r="N396" s="251"/>
      <c r="O396" s="250">
        <v>0.0</v>
      </c>
      <c r="P396" s="252">
        <v>0.0</v>
      </c>
      <c r="Q396" s="253" t="s">
        <v>1605</v>
      </c>
    </row>
    <row r="397">
      <c r="A397" s="291"/>
      <c r="B397" s="292"/>
      <c r="C397" s="293" t="s">
        <v>1160</v>
      </c>
      <c r="D397" s="294"/>
      <c r="E397" s="295"/>
      <c r="F397" s="296"/>
      <c r="G397" s="296"/>
      <c r="H397" s="296"/>
      <c r="I397" s="296"/>
      <c r="J397" s="296"/>
      <c r="K397" s="297"/>
      <c r="L397" s="298"/>
      <c r="M397" s="298"/>
      <c r="N397" s="298"/>
      <c r="O397" s="298"/>
      <c r="P397" s="298"/>
      <c r="Q397" s="299"/>
    </row>
    <row r="398">
      <c r="A398" s="323" t="s">
        <v>1606</v>
      </c>
      <c r="B398" s="318" t="s">
        <v>119</v>
      </c>
      <c r="C398" s="307" t="s">
        <v>1607</v>
      </c>
      <c r="D398" s="324">
        <v>9.0</v>
      </c>
      <c r="E398" s="271" t="s">
        <v>1107</v>
      </c>
      <c r="F398" s="308">
        <v>0.0</v>
      </c>
      <c r="G398" s="308">
        <v>0.0</v>
      </c>
      <c r="H398" s="308">
        <v>0.0</v>
      </c>
      <c r="I398" s="308">
        <v>0.0</v>
      </c>
      <c r="J398" s="309">
        <v>0.0</v>
      </c>
      <c r="K398" s="310"/>
      <c r="L398" s="311"/>
      <c r="M398" s="312"/>
      <c r="N398" s="313"/>
      <c r="O398" s="314">
        <v>0.0</v>
      </c>
      <c r="P398" s="315">
        <v>0.0</v>
      </c>
      <c r="Q398" s="316" t="s">
        <v>1608</v>
      </c>
    </row>
    <row r="399">
      <c r="A399" s="323" t="s">
        <v>1609</v>
      </c>
      <c r="B399" s="306" t="s">
        <v>137</v>
      </c>
      <c r="C399" s="307" t="s">
        <v>1610</v>
      </c>
      <c r="D399" s="324">
        <v>66.38</v>
      </c>
      <c r="E399" s="271" t="s">
        <v>1305</v>
      </c>
      <c r="F399" s="308">
        <v>0.0</v>
      </c>
      <c r="G399" s="308">
        <v>0.0</v>
      </c>
      <c r="H399" s="308">
        <v>0.0</v>
      </c>
      <c r="I399" s="308">
        <v>0.0</v>
      </c>
      <c r="J399" s="309">
        <v>0.0</v>
      </c>
      <c r="K399" s="310"/>
      <c r="L399" s="311"/>
      <c r="M399" s="312"/>
      <c r="N399" s="313"/>
      <c r="O399" s="314">
        <v>0.0</v>
      </c>
      <c r="P399" s="315">
        <v>0.0</v>
      </c>
      <c r="Q399" s="316" t="s">
        <v>1611</v>
      </c>
    </row>
    <row r="400">
      <c r="A400" s="323" t="s">
        <v>1612</v>
      </c>
      <c r="B400" s="306" t="s">
        <v>129</v>
      </c>
      <c r="C400" s="307" t="s">
        <v>1613</v>
      </c>
      <c r="D400" s="324">
        <v>1.0</v>
      </c>
      <c r="E400" s="271" t="s">
        <v>1107</v>
      </c>
      <c r="F400" s="308">
        <v>0.0</v>
      </c>
      <c r="G400" s="308">
        <v>0.0</v>
      </c>
      <c r="H400" s="308">
        <v>0.0</v>
      </c>
      <c r="I400" s="308">
        <v>0.0</v>
      </c>
      <c r="J400" s="309">
        <v>0.0</v>
      </c>
      <c r="K400" s="310"/>
      <c r="L400" s="311"/>
      <c r="M400" s="312"/>
      <c r="N400" s="313"/>
      <c r="O400" s="314">
        <v>0.0</v>
      </c>
      <c r="P400" s="315">
        <v>0.0</v>
      </c>
      <c r="Q400" s="316" t="s">
        <v>1614</v>
      </c>
    </row>
    <row r="401">
      <c r="A401" s="291"/>
      <c r="B401" s="292"/>
      <c r="C401" s="293" t="s">
        <v>1118</v>
      </c>
      <c r="D401" s="294"/>
      <c r="E401" s="295"/>
      <c r="F401" s="296"/>
      <c r="G401" s="296"/>
      <c r="H401" s="296"/>
      <c r="I401" s="296"/>
      <c r="J401" s="296"/>
      <c r="K401" s="297"/>
      <c r="L401" s="298"/>
      <c r="M401" s="298"/>
      <c r="N401" s="298"/>
      <c r="O401" s="298"/>
      <c r="P401" s="298"/>
      <c r="Q401" s="299"/>
    </row>
    <row r="402">
      <c r="A402" s="242" t="s">
        <v>1615</v>
      </c>
      <c r="B402" s="306" t="s">
        <v>121</v>
      </c>
      <c r="C402" s="307" t="s">
        <v>1257</v>
      </c>
      <c r="D402" s="266">
        <v>40.312</v>
      </c>
      <c r="E402" s="267" t="s">
        <v>1073</v>
      </c>
      <c r="F402" s="308">
        <v>0.0</v>
      </c>
      <c r="G402" s="308">
        <v>0.0</v>
      </c>
      <c r="H402" s="308">
        <v>0.0</v>
      </c>
      <c r="I402" s="308">
        <v>0.0</v>
      </c>
      <c r="J402" s="309">
        <v>0.0</v>
      </c>
      <c r="K402" s="310"/>
      <c r="L402" s="311"/>
      <c r="M402" s="312"/>
      <c r="N402" s="313"/>
      <c r="O402" s="314">
        <v>0.0</v>
      </c>
      <c r="P402" s="315">
        <v>0.0</v>
      </c>
      <c r="Q402" s="316" t="s">
        <v>1616</v>
      </c>
    </row>
    <row r="403">
      <c r="A403" s="291"/>
      <c r="B403" s="292"/>
      <c r="C403" s="293" t="s">
        <v>1126</v>
      </c>
      <c r="D403" s="294"/>
      <c r="E403" s="295"/>
      <c r="F403" s="296"/>
      <c r="G403" s="296"/>
      <c r="H403" s="296"/>
      <c r="I403" s="296"/>
      <c r="J403" s="296"/>
      <c r="K403" s="297"/>
      <c r="L403" s="298"/>
      <c r="M403" s="298"/>
      <c r="N403" s="298"/>
      <c r="O403" s="298"/>
      <c r="P403" s="298"/>
      <c r="Q403" s="299"/>
    </row>
    <row r="404">
      <c r="A404" s="242" t="s">
        <v>1617</v>
      </c>
      <c r="B404" s="264" t="s">
        <v>119</v>
      </c>
      <c r="C404" s="265" t="s">
        <v>1310</v>
      </c>
      <c r="D404" s="266">
        <v>88.47</v>
      </c>
      <c r="E404" s="267" t="s">
        <v>1073</v>
      </c>
      <c r="F404" s="246">
        <v>0.0</v>
      </c>
      <c r="G404" s="246">
        <v>0.0</v>
      </c>
      <c r="H404" s="246">
        <v>0.0</v>
      </c>
      <c r="I404" s="246">
        <v>0.0</v>
      </c>
      <c r="J404" s="247">
        <v>0.0</v>
      </c>
      <c r="K404" s="268"/>
      <c r="L404" s="269"/>
      <c r="M404" s="250"/>
      <c r="N404" s="251"/>
      <c r="O404" s="250">
        <v>0.0</v>
      </c>
      <c r="P404" s="252">
        <v>0.0</v>
      </c>
      <c r="Q404" s="253" t="s">
        <v>1618</v>
      </c>
    </row>
    <row r="405">
      <c r="A405" s="242" t="s">
        <v>1619</v>
      </c>
      <c r="B405" s="264" t="s">
        <v>116</v>
      </c>
      <c r="C405" s="265" t="s">
        <v>1264</v>
      </c>
      <c r="D405" s="266">
        <v>68.51</v>
      </c>
      <c r="E405" s="267" t="s">
        <v>1073</v>
      </c>
      <c r="F405" s="246">
        <v>0.0</v>
      </c>
      <c r="G405" s="246">
        <v>0.0</v>
      </c>
      <c r="H405" s="246">
        <v>0.0</v>
      </c>
      <c r="I405" s="246">
        <v>0.0</v>
      </c>
      <c r="J405" s="247">
        <v>0.0</v>
      </c>
      <c r="K405" s="268"/>
      <c r="L405" s="269"/>
      <c r="M405" s="250"/>
      <c r="N405" s="251"/>
      <c r="O405" s="250">
        <v>0.0</v>
      </c>
      <c r="P405" s="252">
        <v>0.0</v>
      </c>
      <c r="Q405" s="253" t="s">
        <v>1620</v>
      </c>
    </row>
    <row r="406">
      <c r="A406" s="281"/>
      <c r="B406" s="282"/>
      <c r="C406" s="283" t="s">
        <v>1621</v>
      </c>
      <c r="D406" s="284"/>
      <c r="E406" s="285"/>
      <c r="F406" s="286"/>
      <c r="G406" s="286"/>
      <c r="H406" s="286"/>
      <c r="I406" s="287"/>
      <c r="J406" s="325"/>
      <c r="K406" s="287"/>
      <c r="L406" s="286"/>
      <c r="M406" s="287"/>
      <c r="N406" s="289"/>
      <c r="O406" s="287"/>
      <c r="P406" s="326"/>
      <c r="Q406" s="326"/>
    </row>
    <row r="407">
      <c r="A407" s="242" t="s">
        <v>1622</v>
      </c>
      <c r="B407" s="318" t="s">
        <v>113</v>
      </c>
      <c r="C407" s="307" t="s">
        <v>1623</v>
      </c>
      <c r="D407" s="266">
        <v>1.0</v>
      </c>
      <c r="E407" s="267" t="s">
        <v>1116</v>
      </c>
      <c r="F407" s="308">
        <v>0.0</v>
      </c>
      <c r="G407" s="308">
        <v>0.0</v>
      </c>
      <c r="H407" s="308">
        <v>0.0</v>
      </c>
      <c r="I407" s="308">
        <v>0.0</v>
      </c>
      <c r="J407" s="309">
        <v>0.0</v>
      </c>
      <c r="K407" s="310"/>
      <c r="L407" s="311"/>
      <c r="M407" s="312"/>
      <c r="N407" s="313"/>
      <c r="O407" s="314">
        <v>0.0</v>
      </c>
      <c r="P407" s="315">
        <v>0.0</v>
      </c>
      <c r="Q407" s="316" t="s">
        <v>1624</v>
      </c>
    </row>
    <row r="408">
      <c r="A408" s="242" t="s">
        <v>1625</v>
      </c>
      <c r="B408" s="327"/>
      <c r="C408" s="307" t="s">
        <v>1626</v>
      </c>
      <c r="D408" s="266">
        <v>1.0</v>
      </c>
      <c r="E408" s="267" t="s">
        <v>1116</v>
      </c>
      <c r="F408" s="308">
        <v>0.0</v>
      </c>
      <c r="G408" s="308">
        <v>0.0</v>
      </c>
      <c r="H408" s="308">
        <v>0.0</v>
      </c>
      <c r="I408" s="308">
        <v>0.0</v>
      </c>
      <c r="J408" s="309">
        <v>0.0</v>
      </c>
      <c r="K408" s="310"/>
      <c r="L408" s="311"/>
      <c r="M408" s="312"/>
      <c r="N408" s="313"/>
      <c r="O408" s="314">
        <v>0.0</v>
      </c>
      <c r="P408" s="315">
        <v>0.0</v>
      </c>
      <c r="Q408" s="316" t="s">
        <v>1627</v>
      </c>
    </row>
    <row r="409">
      <c r="A409" s="242" t="s">
        <v>1628</v>
      </c>
      <c r="B409" s="318" t="s">
        <v>129</v>
      </c>
      <c r="C409" s="307" t="s">
        <v>1629</v>
      </c>
      <c r="D409" s="266">
        <v>1.0</v>
      </c>
      <c r="E409" s="267" t="s">
        <v>1116</v>
      </c>
      <c r="F409" s="308">
        <v>0.0</v>
      </c>
      <c r="G409" s="308">
        <v>0.0</v>
      </c>
      <c r="H409" s="308">
        <v>0.0</v>
      </c>
      <c r="I409" s="308">
        <v>0.0</v>
      </c>
      <c r="J409" s="309">
        <v>0.0</v>
      </c>
      <c r="K409" s="310"/>
      <c r="L409" s="311"/>
      <c r="M409" s="312"/>
      <c r="N409" s="313"/>
      <c r="O409" s="314">
        <v>0.0</v>
      </c>
      <c r="P409" s="315">
        <v>0.0</v>
      </c>
      <c r="Q409" s="316" t="s">
        <v>1630</v>
      </c>
    </row>
    <row r="410">
      <c r="A410" s="242" t="s">
        <v>1631</v>
      </c>
      <c r="B410" s="319">
        <v>46146.0</v>
      </c>
      <c r="C410" s="307" t="s">
        <v>1632</v>
      </c>
      <c r="D410" s="266">
        <v>1.0</v>
      </c>
      <c r="E410" s="267" t="s">
        <v>1116</v>
      </c>
      <c r="F410" s="308">
        <v>0.0</v>
      </c>
      <c r="G410" s="308">
        <v>0.0</v>
      </c>
      <c r="H410" s="308">
        <v>0.0</v>
      </c>
      <c r="I410" s="308">
        <v>0.0</v>
      </c>
      <c r="J410" s="309">
        <v>0.0</v>
      </c>
      <c r="K410" s="310"/>
      <c r="L410" s="311"/>
      <c r="M410" s="312"/>
      <c r="N410" s="313"/>
      <c r="O410" s="314">
        <v>0.0</v>
      </c>
      <c r="P410" s="315">
        <v>0.0</v>
      </c>
      <c r="Q410" s="316" t="s">
        <v>1633</v>
      </c>
    </row>
    <row r="411">
      <c r="A411" s="242" t="s">
        <v>1634</v>
      </c>
      <c r="B411" s="327"/>
      <c r="C411" s="307" t="s">
        <v>1635</v>
      </c>
      <c r="D411" s="266">
        <v>1.0</v>
      </c>
      <c r="E411" s="267" t="s">
        <v>1116</v>
      </c>
      <c r="F411" s="308">
        <v>0.0</v>
      </c>
      <c r="G411" s="308">
        <v>0.0</v>
      </c>
      <c r="H411" s="308">
        <v>0.0</v>
      </c>
      <c r="I411" s="308">
        <v>0.0</v>
      </c>
      <c r="J411" s="309">
        <v>0.0</v>
      </c>
      <c r="K411" s="310"/>
      <c r="L411" s="311"/>
      <c r="M411" s="312"/>
      <c r="N411" s="313"/>
      <c r="O411" s="314">
        <v>0.0</v>
      </c>
      <c r="P411" s="315">
        <v>0.0</v>
      </c>
      <c r="Q411" s="316" t="s">
        <v>1636</v>
      </c>
    </row>
    <row r="412">
      <c r="A412" s="242" t="s">
        <v>1637</v>
      </c>
      <c r="B412" s="318">
        <v>11.0</v>
      </c>
      <c r="C412" s="307" t="s">
        <v>1638</v>
      </c>
      <c r="D412" s="266">
        <v>1.0</v>
      </c>
      <c r="E412" s="267" t="s">
        <v>1116</v>
      </c>
      <c r="F412" s="308">
        <v>0.0</v>
      </c>
      <c r="G412" s="308">
        <v>0.0</v>
      </c>
      <c r="H412" s="308">
        <v>0.0</v>
      </c>
      <c r="I412" s="308">
        <v>0.0</v>
      </c>
      <c r="J412" s="309">
        <v>0.0</v>
      </c>
      <c r="K412" s="310"/>
      <c r="L412" s="311"/>
      <c r="M412" s="312"/>
      <c r="N412" s="313"/>
      <c r="O412" s="314">
        <v>0.0</v>
      </c>
      <c r="P412" s="315">
        <v>0.0</v>
      </c>
      <c r="Q412" s="316" t="s">
        <v>1639</v>
      </c>
    </row>
    <row r="413">
      <c r="A413" s="242" t="s">
        <v>1640</v>
      </c>
      <c r="B413" s="318">
        <v>11.0</v>
      </c>
      <c r="C413" s="307" t="s">
        <v>1641</v>
      </c>
      <c r="D413" s="266">
        <v>1.0</v>
      </c>
      <c r="E413" s="267" t="s">
        <v>1116</v>
      </c>
      <c r="F413" s="308">
        <v>0.0</v>
      </c>
      <c r="G413" s="308">
        <v>0.0</v>
      </c>
      <c r="H413" s="308">
        <v>0.0</v>
      </c>
      <c r="I413" s="308">
        <v>0.0</v>
      </c>
      <c r="J413" s="309">
        <v>0.0</v>
      </c>
      <c r="K413" s="310"/>
      <c r="L413" s="311"/>
      <c r="M413" s="312"/>
      <c r="N413" s="313"/>
      <c r="O413" s="314">
        <v>0.0</v>
      </c>
      <c r="P413" s="315">
        <v>0.0</v>
      </c>
      <c r="Q413" s="316" t="s">
        <v>1642</v>
      </c>
    </row>
    <row r="414">
      <c r="A414" s="242" t="s">
        <v>1643</v>
      </c>
      <c r="B414" s="318">
        <v>11.0</v>
      </c>
      <c r="C414" s="307" t="s">
        <v>1644</v>
      </c>
      <c r="D414" s="266">
        <v>1.0</v>
      </c>
      <c r="E414" s="267" t="s">
        <v>1116</v>
      </c>
      <c r="F414" s="308">
        <v>0.0</v>
      </c>
      <c r="G414" s="308">
        <v>0.0</v>
      </c>
      <c r="H414" s="308">
        <v>0.0</v>
      </c>
      <c r="I414" s="308">
        <v>0.0</v>
      </c>
      <c r="J414" s="309">
        <v>0.0</v>
      </c>
      <c r="K414" s="310"/>
      <c r="L414" s="311"/>
      <c r="M414" s="312"/>
      <c r="N414" s="313"/>
      <c r="O414" s="314">
        <v>0.0</v>
      </c>
      <c r="P414" s="315">
        <v>0.0</v>
      </c>
      <c r="Q414" s="316" t="s">
        <v>1645</v>
      </c>
    </row>
    <row r="415">
      <c r="A415" s="242" t="s">
        <v>1646</v>
      </c>
      <c r="B415" s="306">
        <v>12.0</v>
      </c>
      <c r="C415" s="307" t="s">
        <v>1647</v>
      </c>
      <c r="D415" s="266">
        <v>1.0</v>
      </c>
      <c r="E415" s="267" t="s">
        <v>1116</v>
      </c>
      <c r="F415" s="308">
        <v>0.0</v>
      </c>
      <c r="G415" s="308">
        <v>0.0</v>
      </c>
      <c r="H415" s="308">
        <v>0.0</v>
      </c>
      <c r="I415" s="308">
        <v>0.0</v>
      </c>
      <c r="J415" s="309">
        <v>0.0</v>
      </c>
      <c r="K415" s="310"/>
      <c r="L415" s="311"/>
      <c r="M415" s="312"/>
      <c r="N415" s="313"/>
      <c r="O415" s="314">
        <v>0.0</v>
      </c>
      <c r="P415" s="315">
        <v>0.0</v>
      </c>
      <c r="Q415" s="316" t="s">
        <v>1648</v>
      </c>
    </row>
    <row r="416">
      <c r="A416" s="328"/>
      <c r="B416" s="329"/>
      <c r="C416" s="330"/>
      <c r="D416" s="331"/>
      <c r="E416" s="332" t="s">
        <v>420</v>
      </c>
      <c r="F416" s="330"/>
      <c r="G416" s="330"/>
      <c r="H416" s="330"/>
      <c r="I416" s="330"/>
      <c r="J416" s="333"/>
      <c r="K416" s="330"/>
      <c r="L416" s="330"/>
      <c r="M416" s="330"/>
      <c r="N416" s="334"/>
      <c r="O416" s="335" t="s">
        <v>420</v>
      </c>
      <c r="P416" s="336"/>
      <c r="Q416" s="337"/>
    </row>
  </sheetData>
  <mergeCells count="15">
    <mergeCell ref="A7:A8"/>
    <mergeCell ref="B7:B8"/>
    <mergeCell ref="C7:C8"/>
    <mergeCell ref="D7:D8"/>
    <mergeCell ref="E7:E8"/>
    <mergeCell ref="G7:J7"/>
    <mergeCell ref="K7:K8"/>
    <mergeCell ref="L7:P7"/>
    <mergeCell ref="A1:A6"/>
    <mergeCell ref="C1:J2"/>
    <mergeCell ref="C3:J3"/>
    <mergeCell ref="C4:J4"/>
    <mergeCell ref="C5:J5"/>
    <mergeCell ref="C6:J6"/>
    <mergeCell ref="L6:P6"/>
  </mergeCells>
  <dataValidations>
    <dataValidation type="list" allowBlank="1" sqref="B9:B416">
      <formula1>AUX_ItensContrato!$A$1:$A$166</formula1>
    </dataValidation>
  </dataValidations>
  <printOptions/>
  <pageMargins bottom="0.75" footer="0.0" header="0.0" left="1.0" right="1.0" top="0.75"/>
  <pageSetup fitToHeight="0"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45.86"/>
    <col customWidth="1" min="3" max="3" width="10.86"/>
    <col customWidth="1" min="4" max="4" width="11.57"/>
    <col customWidth="1" min="5" max="5" width="17.29"/>
    <col customWidth="1" min="6" max="6" width="21.57"/>
  </cols>
  <sheetData>
    <row r="1">
      <c r="A1" s="338" t="s">
        <v>1649</v>
      </c>
    </row>
    <row r="2">
      <c r="A2" s="339" t="s">
        <v>1650</v>
      </c>
    </row>
    <row r="4">
      <c r="A4" s="340" t="s">
        <v>36</v>
      </c>
      <c r="B4" s="340" t="s">
        <v>1651</v>
      </c>
      <c r="C4" s="340" t="s">
        <v>33</v>
      </c>
      <c r="D4" s="340" t="s">
        <v>34</v>
      </c>
      <c r="E4" s="340" t="s">
        <v>1652</v>
      </c>
      <c r="F4" s="340" t="s">
        <v>219</v>
      </c>
    </row>
    <row r="5">
      <c r="A5" s="341" t="str">
        <f t="array" ref="A5:A1000">IF(Gestao!A8:A1000="","",Gestao!A8:A1000)</f>
        <v>1.1</v>
      </c>
      <c r="B5" s="341" t="str">
        <f t="array" ref="B5:B1000">IF(Gestao!A8:A1000="","",Gestao!B8:B1000)</f>
        <v>Gerenciamento técnico de obra - 2 Engenheiros (40h/mês) , assistente tecnico (40h/mês) , mestre de obra (160h/mês)</v>
      </c>
      <c r="C5" s="341">
        <f t="array" ref="C5:C1000">IF(A5:A1000="","",COUNTIF(Detalhamento!$A:$A,A5:A1000))</f>
        <v>1</v>
      </c>
      <c r="D5" s="342">
        <f t="array" ref="D5:D1000">IF(A5:A1000="","",IF(COUNTIF(Detalhamento!$A:$A,A5:A1000)=0,"",SUMIF(Detalhamento!$A:$A,A5:A1000,Detalhamento!$O:$O)/COUNTIF(Detalhamento!$A:$A,A5:A1000)))</f>
        <v>0</v>
      </c>
      <c r="E5" s="341">
        <f t="array" ref="E5:E1000">IF(A5:A1000="","",COUNTIF(Executiva!$B:$B,A5:A1000))</f>
        <v>0</v>
      </c>
      <c r="F5" s="341" t="str">
        <f t="array" ref="F5:F1000">IF(A5:A1000="","",IF(E5:E1000&gt;0,"🟢 Orçado","🔴 Sem orçamento"))</f>
        <v>🔴 Sem orçamento</v>
      </c>
    </row>
    <row r="6">
      <c r="A6" s="341" t="s">
        <v>231</v>
      </c>
      <c r="B6" s="341" t="s">
        <v>232</v>
      </c>
      <c r="C6" s="341">
        <v>1.0</v>
      </c>
      <c r="D6" s="342">
        <v>0.0</v>
      </c>
      <c r="E6" s="341">
        <v>0.0</v>
      </c>
      <c r="F6" s="341" t="s">
        <v>1653</v>
      </c>
    </row>
    <row r="7">
      <c r="A7" s="341" t="s">
        <v>42</v>
      </c>
      <c r="B7" s="341" t="s">
        <v>43</v>
      </c>
      <c r="C7" s="341">
        <v>1.0</v>
      </c>
      <c r="D7" s="342">
        <v>0.0</v>
      </c>
      <c r="E7" s="341">
        <v>0.0</v>
      </c>
      <c r="F7" s="341" t="s">
        <v>1653</v>
      </c>
    </row>
    <row r="8">
      <c r="A8" s="341" t="s">
        <v>46</v>
      </c>
      <c r="B8" s="341" t="s">
        <v>233</v>
      </c>
      <c r="C8" s="341">
        <v>1.0</v>
      </c>
      <c r="D8" s="342">
        <v>0.0</v>
      </c>
      <c r="E8" s="341">
        <v>0.0</v>
      </c>
      <c r="F8" s="341" t="s">
        <v>1653</v>
      </c>
    </row>
    <row r="9">
      <c r="A9" s="341" t="s">
        <v>49</v>
      </c>
      <c r="B9" s="341" t="s">
        <v>50</v>
      </c>
      <c r="C9" s="341">
        <v>1.0</v>
      </c>
      <c r="D9" s="342">
        <v>0.0</v>
      </c>
      <c r="E9" s="341">
        <v>0.0</v>
      </c>
      <c r="F9" s="341" t="s">
        <v>1653</v>
      </c>
    </row>
    <row r="10">
      <c r="A10" s="341" t="s">
        <v>52</v>
      </c>
      <c r="B10" s="341" t="s">
        <v>234</v>
      </c>
      <c r="C10" s="341">
        <v>7.0</v>
      </c>
      <c r="D10" s="342">
        <v>0.0</v>
      </c>
      <c r="E10" s="341">
        <v>15.0</v>
      </c>
      <c r="F10" s="341" t="s">
        <v>1654</v>
      </c>
    </row>
    <row r="11">
      <c r="A11" s="341" t="s">
        <v>55</v>
      </c>
      <c r="B11" s="341" t="s">
        <v>235</v>
      </c>
      <c r="C11" s="341">
        <v>8.0</v>
      </c>
      <c r="D11" s="342">
        <v>0.0</v>
      </c>
      <c r="E11" s="341">
        <v>1.0</v>
      </c>
      <c r="F11" s="341" t="s">
        <v>1654</v>
      </c>
    </row>
    <row r="12">
      <c r="A12" s="341" t="s">
        <v>58</v>
      </c>
      <c r="B12" s="341" t="s">
        <v>59</v>
      </c>
      <c r="C12" s="341">
        <v>5.0</v>
      </c>
      <c r="D12" s="342">
        <v>0.0</v>
      </c>
      <c r="E12" s="341">
        <v>7.0</v>
      </c>
      <c r="F12" s="341" t="s">
        <v>1654</v>
      </c>
    </row>
    <row r="13">
      <c r="A13" s="341" t="s">
        <v>61</v>
      </c>
      <c r="B13" s="341" t="s">
        <v>62</v>
      </c>
      <c r="C13" s="341">
        <v>5.0</v>
      </c>
      <c r="D13" s="342">
        <v>0.0</v>
      </c>
      <c r="E13" s="341">
        <v>1.0</v>
      </c>
      <c r="F13" s="341" t="s">
        <v>1654</v>
      </c>
    </row>
    <row r="14">
      <c r="A14" s="341" t="s">
        <v>64</v>
      </c>
      <c r="B14" s="341" t="s">
        <v>59</v>
      </c>
      <c r="C14" s="341">
        <v>5.0</v>
      </c>
      <c r="D14" s="342">
        <v>0.0</v>
      </c>
      <c r="E14" s="341">
        <v>0.0</v>
      </c>
      <c r="F14" s="341" t="s">
        <v>1653</v>
      </c>
    </row>
    <row r="15">
      <c r="A15" s="341" t="s">
        <v>66</v>
      </c>
      <c r="B15" s="341" t="s">
        <v>67</v>
      </c>
      <c r="C15" s="341">
        <v>3.0</v>
      </c>
      <c r="D15" s="342">
        <v>0.0</v>
      </c>
      <c r="E15" s="341">
        <v>0.0</v>
      </c>
      <c r="F15" s="341" t="s">
        <v>1653</v>
      </c>
    </row>
    <row r="16">
      <c r="A16" s="341" t="s">
        <v>69</v>
      </c>
      <c r="B16" s="341" t="s">
        <v>236</v>
      </c>
      <c r="C16" s="341">
        <v>7.0</v>
      </c>
      <c r="D16" s="342">
        <v>0.0</v>
      </c>
      <c r="E16" s="341">
        <v>0.0</v>
      </c>
      <c r="F16" s="341" t="s">
        <v>1653</v>
      </c>
    </row>
    <row r="17">
      <c r="A17" s="341" t="s">
        <v>72</v>
      </c>
      <c r="B17" s="341" t="s">
        <v>73</v>
      </c>
      <c r="C17" s="341">
        <v>5.0</v>
      </c>
      <c r="D17" s="342">
        <v>0.0</v>
      </c>
      <c r="E17" s="341">
        <v>0.0</v>
      </c>
      <c r="F17" s="341" t="s">
        <v>1653</v>
      </c>
    </row>
    <row r="18">
      <c r="A18" s="341" t="s">
        <v>75</v>
      </c>
      <c r="B18" s="341" t="s">
        <v>237</v>
      </c>
      <c r="C18" s="341">
        <v>6.0</v>
      </c>
      <c r="D18" s="342">
        <v>0.0</v>
      </c>
      <c r="E18" s="341">
        <v>1.0</v>
      </c>
      <c r="F18" s="341" t="s">
        <v>1654</v>
      </c>
    </row>
    <row r="19">
      <c r="A19" s="341" t="s">
        <v>78</v>
      </c>
      <c r="B19" s="341" t="s">
        <v>79</v>
      </c>
      <c r="C19" s="341">
        <v>5.0</v>
      </c>
      <c r="D19" s="342">
        <v>0.0</v>
      </c>
      <c r="E19" s="341">
        <v>0.0</v>
      </c>
      <c r="F19" s="341" t="s">
        <v>1653</v>
      </c>
    </row>
    <row r="20">
      <c r="A20" s="341" t="s">
        <v>81</v>
      </c>
      <c r="B20" s="341" t="s">
        <v>238</v>
      </c>
      <c r="C20" s="341">
        <v>4.0</v>
      </c>
      <c r="D20" s="342">
        <v>0.0</v>
      </c>
      <c r="E20" s="341">
        <v>0.0</v>
      </c>
      <c r="F20" s="341" t="s">
        <v>1653</v>
      </c>
    </row>
    <row r="21">
      <c r="A21" s="341" t="s">
        <v>83</v>
      </c>
      <c r="B21" s="341" t="s">
        <v>84</v>
      </c>
      <c r="C21" s="341">
        <v>6.0</v>
      </c>
      <c r="D21" s="342">
        <v>0.0</v>
      </c>
      <c r="E21" s="341">
        <v>0.0</v>
      </c>
      <c r="F21" s="341" t="s">
        <v>1653</v>
      </c>
    </row>
    <row r="22">
      <c r="A22" s="341" t="s">
        <v>239</v>
      </c>
      <c r="B22" s="341" t="s">
        <v>240</v>
      </c>
      <c r="C22" s="341">
        <v>5.0</v>
      </c>
      <c r="D22" s="342">
        <v>0.0</v>
      </c>
      <c r="E22" s="341">
        <v>0.0</v>
      </c>
      <c r="F22" s="341" t="s">
        <v>1653</v>
      </c>
    </row>
    <row r="23">
      <c r="A23" s="341" t="s">
        <v>241</v>
      </c>
      <c r="B23" s="341" t="s">
        <v>242</v>
      </c>
      <c r="C23" s="341">
        <v>1.0</v>
      </c>
      <c r="D23" s="342">
        <v>0.0</v>
      </c>
      <c r="E23" s="341">
        <v>0.0</v>
      </c>
      <c r="F23" s="341" t="s">
        <v>1653</v>
      </c>
    </row>
    <row r="24">
      <c r="A24" s="341" t="s">
        <v>243</v>
      </c>
      <c r="B24" s="341" t="s">
        <v>244</v>
      </c>
      <c r="C24" s="341">
        <v>1.0</v>
      </c>
      <c r="D24" s="342">
        <v>0.0</v>
      </c>
      <c r="E24" s="341">
        <v>0.0</v>
      </c>
      <c r="F24" s="341" t="s">
        <v>1653</v>
      </c>
    </row>
    <row r="25">
      <c r="A25" s="341" t="s">
        <v>245</v>
      </c>
      <c r="B25" s="341" t="s">
        <v>246</v>
      </c>
      <c r="C25" s="341">
        <v>1.0</v>
      </c>
      <c r="D25" s="342">
        <v>0.0</v>
      </c>
      <c r="E25" s="341">
        <v>0.0</v>
      </c>
      <c r="F25" s="341" t="s">
        <v>1653</v>
      </c>
    </row>
    <row r="26">
      <c r="A26" s="341" t="s">
        <v>247</v>
      </c>
      <c r="B26" s="341" t="s">
        <v>248</v>
      </c>
      <c r="C26" s="341">
        <v>1.0</v>
      </c>
      <c r="D26" s="342">
        <v>0.0</v>
      </c>
      <c r="E26" s="341">
        <v>0.0</v>
      </c>
      <c r="F26" s="341" t="s">
        <v>1653</v>
      </c>
    </row>
    <row r="27">
      <c r="A27" s="341" t="s">
        <v>249</v>
      </c>
      <c r="B27" s="341" t="s">
        <v>250</v>
      </c>
      <c r="C27" s="341">
        <v>1.0</v>
      </c>
      <c r="D27" s="342">
        <v>0.0</v>
      </c>
      <c r="E27" s="341">
        <v>1.0</v>
      </c>
      <c r="F27" s="341" t="s">
        <v>1654</v>
      </c>
    </row>
    <row r="28">
      <c r="A28" s="341" t="s">
        <v>251</v>
      </c>
      <c r="B28" s="341" t="s">
        <v>252</v>
      </c>
      <c r="C28" s="341">
        <v>1.0</v>
      </c>
      <c r="D28" s="342">
        <v>0.0</v>
      </c>
      <c r="E28" s="341">
        <v>0.0</v>
      </c>
      <c r="F28" s="341" t="s">
        <v>1653</v>
      </c>
    </row>
    <row r="29">
      <c r="A29" s="341" t="s">
        <v>253</v>
      </c>
      <c r="B29" s="341" t="s">
        <v>254</v>
      </c>
      <c r="C29" s="341">
        <v>1.0</v>
      </c>
      <c r="D29" s="342">
        <v>0.0</v>
      </c>
      <c r="E29" s="341">
        <v>0.0</v>
      </c>
      <c r="F29" s="341" t="s">
        <v>1653</v>
      </c>
    </row>
    <row r="30">
      <c r="A30" s="341" t="s">
        <v>255</v>
      </c>
      <c r="B30" s="341" t="s">
        <v>256</v>
      </c>
      <c r="C30" s="341">
        <v>1.0</v>
      </c>
      <c r="D30" s="342">
        <v>0.0</v>
      </c>
      <c r="E30" s="341">
        <v>0.0</v>
      </c>
      <c r="F30" s="341" t="s">
        <v>1653</v>
      </c>
    </row>
    <row r="31">
      <c r="A31" s="341" t="s">
        <v>257</v>
      </c>
      <c r="B31" s="341" t="s">
        <v>258</v>
      </c>
      <c r="C31" s="341">
        <v>1.0</v>
      </c>
      <c r="D31" s="342">
        <v>0.0</v>
      </c>
      <c r="E31" s="341">
        <v>0.0</v>
      </c>
      <c r="F31" s="341" t="s">
        <v>1653</v>
      </c>
    </row>
    <row r="32">
      <c r="A32" s="341" t="s">
        <v>259</v>
      </c>
      <c r="B32" s="341" t="s">
        <v>260</v>
      </c>
      <c r="C32" s="341">
        <v>1.0</v>
      </c>
      <c r="D32" s="342">
        <v>0.0</v>
      </c>
      <c r="E32" s="341">
        <v>0.0</v>
      </c>
      <c r="F32" s="341" t="s">
        <v>1653</v>
      </c>
    </row>
    <row r="33">
      <c r="A33" s="341" t="s">
        <v>261</v>
      </c>
      <c r="B33" s="341" t="s">
        <v>262</v>
      </c>
      <c r="C33" s="341">
        <v>1.0</v>
      </c>
      <c r="D33" s="342">
        <v>0.0</v>
      </c>
      <c r="E33" s="341">
        <v>0.0</v>
      </c>
      <c r="F33" s="341" t="s">
        <v>1653</v>
      </c>
    </row>
    <row r="34">
      <c r="A34" s="341" t="s">
        <v>263</v>
      </c>
      <c r="B34" s="341" t="s">
        <v>264</v>
      </c>
      <c r="C34" s="341">
        <v>1.0</v>
      </c>
      <c r="D34" s="342">
        <v>0.0</v>
      </c>
      <c r="E34" s="341">
        <v>0.0</v>
      </c>
      <c r="F34" s="341" t="s">
        <v>1653</v>
      </c>
    </row>
    <row r="35">
      <c r="A35" s="341" t="s">
        <v>104</v>
      </c>
      <c r="B35" s="341" t="s">
        <v>265</v>
      </c>
      <c r="C35" s="341">
        <v>1.0</v>
      </c>
      <c r="D35" s="342">
        <v>0.0</v>
      </c>
      <c r="E35" s="341">
        <v>14.0</v>
      </c>
      <c r="F35" s="341" t="s">
        <v>1654</v>
      </c>
    </row>
    <row r="36">
      <c r="A36" s="341" t="s">
        <v>105</v>
      </c>
      <c r="B36" s="341" t="s">
        <v>266</v>
      </c>
      <c r="C36" s="341">
        <v>1.0</v>
      </c>
      <c r="D36" s="342">
        <v>0.0</v>
      </c>
      <c r="E36" s="341">
        <v>0.0</v>
      </c>
      <c r="F36" s="341" t="s">
        <v>1653</v>
      </c>
    </row>
    <row r="37">
      <c r="A37" s="341" t="s">
        <v>106</v>
      </c>
      <c r="B37" s="341" t="s">
        <v>267</v>
      </c>
      <c r="C37" s="341">
        <v>1.0</v>
      </c>
      <c r="D37" s="342">
        <v>0.0</v>
      </c>
      <c r="E37" s="341">
        <v>0.0</v>
      </c>
      <c r="F37" s="341" t="s">
        <v>1653</v>
      </c>
    </row>
    <row r="38">
      <c r="A38" s="341" t="s">
        <v>107</v>
      </c>
      <c r="B38" s="341" t="s">
        <v>268</v>
      </c>
      <c r="C38" s="341">
        <v>1.0</v>
      </c>
      <c r="D38" s="342">
        <v>0.0</v>
      </c>
      <c r="E38" s="341">
        <v>0.0</v>
      </c>
      <c r="F38" s="341" t="s">
        <v>1653</v>
      </c>
    </row>
    <row r="39">
      <c r="A39" s="341" t="s">
        <v>108</v>
      </c>
      <c r="B39" s="341" t="s">
        <v>269</v>
      </c>
      <c r="C39" s="341">
        <v>1.0</v>
      </c>
      <c r="D39" s="342">
        <v>0.0</v>
      </c>
      <c r="E39" s="341">
        <v>0.0</v>
      </c>
      <c r="F39" s="341" t="s">
        <v>1653</v>
      </c>
    </row>
    <row r="40">
      <c r="A40" s="341" t="s">
        <v>270</v>
      </c>
      <c r="B40" s="341" t="s">
        <v>271</v>
      </c>
      <c r="C40" s="341">
        <v>7.0</v>
      </c>
      <c r="D40" s="342">
        <v>0.0</v>
      </c>
      <c r="E40" s="341">
        <v>3.0</v>
      </c>
      <c r="F40" s="341" t="s">
        <v>1654</v>
      </c>
    </row>
    <row r="41">
      <c r="A41" s="341" t="s">
        <v>272</v>
      </c>
      <c r="B41" s="341" t="s">
        <v>273</v>
      </c>
      <c r="C41" s="341">
        <v>13.0</v>
      </c>
      <c r="D41" s="342">
        <v>0.0</v>
      </c>
      <c r="E41" s="341">
        <v>1.0</v>
      </c>
      <c r="F41" s="341" t="s">
        <v>1654</v>
      </c>
    </row>
    <row r="42">
      <c r="A42" s="341" t="s">
        <v>272</v>
      </c>
      <c r="B42" s="341" t="s">
        <v>274</v>
      </c>
      <c r="C42" s="341">
        <v>13.0</v>
      </c>
      <c r="D42" s="342">
        <v>0.0</v>
      </c>
      <c r="E42" s="341">
        <v>1.0</v>
      </c>
      <c r="F42" s="341" t="s">
        <v>1654</v>
      </c>
    </row>
    <row r="43">
      <c r="A43" s="341" t="s">
        <v>275</v>
      </c>
      <c r="B43" s="341" t="s">
        <v>276</v>
      </c>
      <c r="C43" s="341">
        <v>6.0</v>
      </c>
      <c r="D43" s="342">
        <v>0.0</v>
      </c>
      <c r="E43" s="341">
        <v>0.0</v>
      </c>
      <c r="F43" s="341" t="s">
        <v>1653</v>
      </c>
    </row>
    <row r="44">
      <c r="A44" s="341" t="s">
        <v>277</v>
      </c>
      <c r="B44" s="341" t="s">
        <v>278</v>
      </c>
      <c r="C44" s="341">
        <v>7.0</v>
      </c>
      <c r="D44" s="342">
        <v>0.0</v>
      </c>
      <c r="E44" s="341">
        <v>0.0</v>
      </c>
      <c r="F44" s="341" t="s">
        <v>1653</v>
      </c>
    </row>
    <row r="45">
      <c r="A45" s="341" t="s">
        <v>279</v>
      </c>
      <c r="B45" s="341" t="s">
        <v>280</v>
      </c>
      <c r="C45" s="341">
        <v>6.0</v>
      </c>
      <c r="D45" s="342">
        <v>0.0</v>
      </c>
      <c r="E45" s="341">
        <v>0.0</v>
      </c>
      <c r="F45" s="341" t="s">
        <v>1653</v>
      </c>
    </row>
    <row r="46">
      <c r="A46" s="341" t="s">
        <v>281</v>
      </c>
      <c r="B46" s="341" t="s">
        <v>282</v>
      </c>
      <c r="C46" s="341">
        <v>4.0</v>
      </c>
      <c r="D46" s="342">
        <v>0.0</v>
      </c>
      <c r="E46" s="341">
        <v>1.0</v>
      </c>
      <c r="F46" s="341" t="s">
        <v>1654</v>
      </c>
    </row>
    <row r="47">
      <c r="A47" s="341" t="s">
        <v>283</v>
      </c>
      <c r="B47" s="341" t="s">
        <v>234</v>
      </c>
      <c r="C47" s="341">
        <v>7.0</v>
      </c>
      <c r="D47" s="342">
        <v>0.0</v>
      </c>
      <c r="E47" s="341">
        <v>0.0</v>
      </c>
      <c r="F47" s="341" t="s">
        <v>1653</v>
      </c>
    </row>
    <row r="48">
      <c r="A48" s="341" t="s">
        <v>284</v>
      </c>
      <c r="B48" s="341" t="s">
        <v>285</v>
      </c>
      <c r="C48" s="341">
        <v>8.0</v>
      </c>
      <c r="D48" s="342">
        <v>0.0</v>
      </c>
      <c r="E48" s="341">
        <v>0.0</v>
      </c>
      <c r="F48" s="341" t="s">
        <v>1653</v>
      </c>
    </row>
    <row r="49">
      <c r="A49" s="341" t="s">
        <v>286</v>
      </c>
      <c r="B49" s="341" t="s">
        <v>62</v>
      </c>
      <c r="C49" s="341">
        <v>5.0</v>
      </c>
      <c r="D49" s="342">
        <v>0.0</v>
      </c>
      <c r="E49" s="341">
        <v>0.0</v>
      </c>
      <c r="F49" s="341" t="s">
        <v>1653</v>
      </c>
    </row>
    <row r="50">
      <c r="A50" s="341" t="s">
        <v>287</v>
      </c>
      <c r="B50" s="341" t="s">
        <v>59</v>
      </c>
      <c r="C50" s="341">
        <v>5.0</v>
      </c>
      <c r="D50" s="342">
        <v>0.0</v>
      </c>
      <c r="E50" s="341">
        <v>0.0</v>
      </c>
      <c r="F50" s="341" t="s">
        <v>1653</v>
      </c>
    </row>
    <row r="51">
      <c r="A51" s="341" t="s">
        <v>288</v>
      </c>
      <c r="B51" s="341" t="s">
        <v>67</v>
      </c>
      <c r="C51" s="341">
        <v>5.0</v>
      </c>
      <c r="D51" s="342">
        <v>0.0</v>
      </c>
      <c r="E51" s="341">
        <v>0.0</v>
      </c>
      <c r="F51" s="341" t="s">
        <v>1653</v>
      </c>
    </row>
    <row r="52">
      <c r="A52" s="341" t="s">
        <v>289</v>
      </c>
      <c r="B52" s="341" t="s">
        <v>290</v>
      </c>
      <c r="C52" s="341">
        <v>7.0</v>
      </c>
      <c r="D52" s="342">
        <v>0.0</v>
      </c>
      <c r="E52" s="341">
        <v>0.0</v>
      </c>
      <c r="F52" s="341" t="s">
        <v>1653</v>
      </c>
    </row>
    <row r="53">
      <c r="A53" s="341" t="s">
        <v>291</v>
      </c>
      <c r="B53" s="341" t="s">
        <v>292</v>
      </c>
      <c r="C53" s="341">
        <v>6.0</v>
      </c>
      <c r="D53" s="342">
        <v>0.0</v>
      </c>
      <c r="E53" s="341">
        <v>2.0</v>
      </c>
      <c r="F53" s="341" t="s">
        <v>1654</v>
      </c>
    </row>
    <row r="54">
      <c r="A54" s="341" t="s">
        <v>293</v>
      </c>
      <c r="B54" s="341" t="s">
        <v>294</v>
      </c>
      <c r="C54" s="341">
        <v>7.0</v>
      </c>
      <c r="D54" s="342">
        <v>0.0</v>
      </c>
      <c r="E54" s="341">
        <v>2.0</v>
      </c>
      <c r="F54" s="341" t="s">
        <v>1654</v>
      </c>
    </row>
    <row r="55">
      <c r="A55" s="341" t="s">
        <v>295</v>
      </c>
      <c r="B55" s="341" t="s">
        <v>296</v>
      </c>
      <c r="C55" s="341">
        <v>5.0</v>
      </c>
      <c r="D55" s="342">
        <v>0.0</v>
      </c>
      <c r="E55" s="341">
        <v>4.0</v>
      </c>
      <c r="F55" s="341" t="s">
        <v>1654</v>
      </c>
    </row>
    <row r="56">
      <c r="A56" s="341" t="s">
        <v>297</v>
      </c>
      <c r="B56" s="341" t="s">
        <v>298</v>
      </c>
      <c r="C56" s="341">
        <v>8.0</v>
      </c>
      <c r="D56" s="342">
        <v>0.0</v>
      </c>
      <c r="E56" s="341">
        <v>1.0</v>
      </c>
      <c r="F56" s="341" t="s">
        <v>1654</v>
      </c>
    </row>
    <row r="57">
      <c r="A57" s="341" t="s">
        <v>299</v>
      </c>
      <c r="B57" s="341" t="s">
        <v>300</v>
      </c>
      <c r="C57" s="341">
        <v>5.0</v>
      </c>
      <c r="D57" s="342">
        <v>0.0</v>
      </c>
      <c r="E57" s="341">
        <v>0.0</v>
      </c>
      <c r="F57" s="341" t="s">
        <v>1653</v>
      </c>
    </row>
    <row r="58">
      <c r="A58" s="341" t="s">
        <v>301</v>
      </c>
      <c r="B58" s="341" t="s">
        <v>302</v>
      </c>
      <c r="C58" s="341">
        <v>10.0</v>
      </c>
      <c r="D58" s="342">
        <v>0.0</v>
      </c>
      <c r="E58" s="341">
        <v>11.0</v>
      </c>
      <c r="F58" s="341" t="s">
        <v>1654</v>
      </c>
    </row>
    <row r="59">
      <c r="A59" s="341" t="s">
        <v>109</v>
      </c>
      <c r="B59" s="341" t="s">
        <v>303</v>
      </c>
      <c r="C59" s="341">
        <v>7.0</v>
      </c>
      <c r="D59" s="342">
        <v>0.0</v>
      </c>
      <c r="E59" s="341">
        <v>5.0</v>
      </c>
      <c r="F59" s="341" t="s">
        <v>1654</v>
      </c>
    </row>
    <row r="60">
      <c r="A60" s="341" t="s">
        <v>110</v>
      </c>
      <c r="B60" s="341" t="s">
        <v>304</v>
      </c>
      <c r="C60" s="341">
        <v>12.0</v>
      </c>
      <c r="D60" s="342">
        <v>0.0</v>
      </c>
      <c r="E60" s="341">
        <v>1.0</v>
      </c>
      <c r="F60" s="341" t="s">
        <v>1654</v>
      </c>
    </row>
    <row r="61">
      <c r="A61" s="341" t="s">
        <v>111</v>
      </c>
      <c r="B61" s="341" t="s">
        <v>305</v>
      </c>
      <c r="C61" s="341">
        <v>9.0</v>
      </c>
      <c r="D61" s="342">
        <v>0.0</v>
      </c>
      <c r="E61" s="341">
        <v>15.0</v>
      </c>
      <c r="F61" s="341" t="s">
        <v>1654</v>
      </c>
    </row>
    <row r="62">
      <c r="A62" s="341" t="s">
        <v>112</v>
      </c>
      <c r="B62" s="341" t="s">
        <v>306</v>
      </c>
      <c r="C62" s="341">
        <v>10.0</v>
      </c>
      <c r="D62" s="342">
        <v>0.0</v>
      </c>
      <c r="E62" s="341">
        <v>13.0</v>
      </c>
      <c r="F62" s="341" t="s">
        <v>1654</v>
      </c>
    </row>
    <row r="63">
      <c r="A63" s="341" t="s">
        <v>113</v>
      </c>
      <c r="B63" s="341" t="s">
        <v>307</v>
      </c>
      <c r="C63" s="341">
        <v>9.0</v>
      </c>
      <c r="D63" s="342">
        <v>0.0</v>
      </c>
      <c r="E63" s="341">
        <v>1.0</v>
      </c>
      <c r="F63" s="341" t="s">
        <v>1654</v>
      </c>
    </row>
    <row r="64">
      <c r="A64" s="341" t="s">
        <v>114</v>
      </c>
      <c r="B64" s="341" t="s">
        <v>308</v>
      </c>
      <c r="C64" s="341">
        <v>2.0</v>
      </c>
      <c r="D64" s="342">
        <v>0.0</v>
      </c>
      <c r="E64" s="341">
        <v>0.0</v>
      </c>
      <c r="F64" s="341" t="s">
        <v>1653</v>
      </c>
    </row>
    <row r="65">
      <c r="A65" s="341" t="s">
        <v>115</v>
      </c>
      <c r="B65" s="341" t="s">
        <v>309</v>
      </c>
      <c r="C65" s="341">
        <v>7.0</v>
      </c>
      <c r="D65" s="342">
        <v>0.0</v>
      </c>
      <c r="E65" s="341">
        <v>0.0</v>
      </c>
      <c r="F65" s="341" t="s">
        <v>1653</v>
      </c>
    </row>
    <row r="66">
      <c r="A66" s="341" t="s">
        <v>116</v>
      </c>
      <c r="B66" s="341" t="s">
        <v>310</v>
      </c>
      <c r="C66" s="341">
        <v>8.0</v>
      </c>
      <c r="D66" s="342">
        <v>0.0</v>
      </c>
      <c r="E66" s="341">
        <v>17.0</v>
      </c>
      <c r="F66" s="341" t="s">
        <v>1654</v>
      </c>
    </row>
    <row r="67">
      <c r="A67" s="341" t="s">
        <v>117</v>
      </c>
      <c r="B67" s="341" t="s">
        <v>311</v>
      </c>
      <c r="C67" s="341">
        <v>8.0</v>
      </c>
      <c r="D67" s="342">
        <v>0.0</v>
      </c>
      <c r="E67" s="341">
        <v>0.0</v>
      </c>
      <c r="F67" s="341" t="s">
        <v>1653</v>
      </c>
    </row>
    <row r="68">
      <c r="A68" s="341" t="s">
        <v>118</v>
      </c>
      <c r="B68" s="341" t="s">
        <v>312</v>
      </c>
      <c r="C68" s="341">
        <v>8.0</v>
      </c>
      <c r="D68" s="342">
        <v>0.0</v>
      </c>
      <c r="E68" s="341">
        <v>0.0</v>
      </c>
      <c r="F68" s="341" t="s">
        <v>1653</v>
      </c>
    </row>
    <row r="69">
      <c r="A69" s="341" t="s">
        <v>119</v>
      </c>
      <c r="B69" s="341" t="s">
        <v>313</v>
      </c>
      <c r="C69" s="341">
        <v>9.0</v>
      </c>
      <c r="D69" s="342">
        <v>0.0</v>
      </c>
      <c r="E69" s="341">
        <v>4.0</v>
      </c>
      <c r="F69" s="341" t="s">
        <v>1654</v>
      </c>
    </row>
    <row r="70">
      <c r="A70" s="341" t="s">
        <v>120</v>
      </c>
      <c r="B70" s="341" t="s">
        <v>314</v>
      </c>
      <c r="C70" s="341">
        <v>8.0</v>
      </c>
      <c r="D70" s="342">
        <v>0.0</v>
      </c>
      <c r="E70" s="341">
        <v>0.0</v>
      </c>
      <c r="F70" s="341" t="s">
        <v>1653</v>
      </c>
    </row>
    <row r="71">
      <c r="A71" s="341" t="s">
        <v>121</v>
      </c>
      <c r="B71" s="341" t="s">
        <v>315</v>
      </c>
      <c r="C71" s="341">
        <v>4.0</v>
      </c>
      <c r="D71" s="342">
        <v>0.0</v>
      </c>
      <c r="E71" s="341">
        <v>11.0</v>
      </c>
      <c r="F71" s="341" t="s">
        <v>1654</v>
      </c>
    </row>
    <row r="72">
      <c r="A72" s="341" t="s">
        <v>122</v>
      </c>
      <c r="B72" s="341" t="s">
        <v>316</v>
      </c>
      <c r="C72" s="341">
        <v>8.0</v>
      </c>
      <c r="D72" s="342">
        <v>0.0</v>
      </c>
      <c r="E72" s="341">
        <v>0.0</v>
      </c>
      <c r="F72" s="341" t="s">
        <v>1653</v>
      </c>
    </row>
    <row r="73">
      <c r="A73" s="341" t="s">
        <v>123</v>
      </c>
      <c r="B73" s="341" t="s">
        <v>317</v>
      </c>
      <c r="C73" s="341">
        <v>4.0</v>
      </c>
      <c r="D73" s="342">
        <v>0.0</v>
      </c>
      <c r="E73" s="341">
        <v>0.0</v>
      </c>
      <c r="F73" s="341" t="s">
        <v>1653</v>
      </c>
    </row>
    <row r="74">
      <c r="A74" s="341" t="s">
        <v>124</v>
      </c>
      <c r="B74" s="341" t="s">
        <v>318</v>
      </c>
      <c r="C74" s="341">
        <v>6.0</v>
      </c>
      <c r="D74" s="342">
        <v>0.0</v>
      </c>
      <c r="E74" s="341">
        <v>4.0</v>
      </c>
      <c r="F74" s="341" t="s">
        <v>1654</v>
      </c>
    </row>
    <row r="75">
      <c r="A75" s="341" t="s">
        <v>125</v>
      </c>
      <c r="B75" s="341" t="s">
        <v>319</v>
      </c>
      <c r="C75" s="341">
        <v>5.0</v>
      </c>
      <c r="D75" s="342">
        <v>0.0</v>
      </c>
      <c r="E75" s="341">
        <v>3.0</v>
      </c>
      <c r="F75" s="341" t="s">
        <v>1654</v>
      </c>
    </row>
    <row r="76">
      <c r="A76" s="341" t="s">
        <v>126</v>
      </c>
      <c r="B76" s="341" t="s">
        <v>320</v>
      </c>
      <c r="C76" s="341">
        <v>6.0</v>
      </c>
      <c r="D76" s="342">
        <v>0.0</v>
      </c>
      <c r="E76" s="341">
        <v>0.0</v>
      </c>
      <c r="F76" s="341" t="s">
        <v>1653</v>
      </c>
    </row>
    <row r="77">
      <c r="A77" s="341" t="s">
        <v>127</v>
      </c>
      <c r="B77" s="341" t="s">
        <v>321</v>
      </c>
      <c r="C77" s="341">
        <v>5.0</v>
      </c>
      <c r="D77" s="342">
        <v>0.0</v>
      </c>
      <c r="E77" s="341">
        <v>0.0</v>
      </c>
      <c r="F77" s="341" t="s">
        <v>1653</v>
      </c>
    </row>
    <row r="78">
      <c r="A78" s="341" t="s">
        <v>128</v>
      </c>
      <c r="B78" s="341" t="s">
        <v>322</v>
      </c>
      <c r="C78" s="341">
        <v>7.0</v>
      </c>
      <c r="D78" s="342">
        <v>0.0</v>
      </c>
      <c r="E78" s="341">
        <v>1.0</v>
      </c>
      <c r="F78" s="341" t="s">
        <v>1654</v>
      </c>
    </row>
    <row r="79">
      <c r="A79" s="341" t="s">
        <v>129</v>
      </c>
      <c r="B79" s="341" t="s">
        <v>323</v>
      </c>
      <c r="C79" s="341">
        <v>5.0</v>
      </c>
      <c r="D79" s="342">
        <v>0.0</v>
      </c>
      <c r="E79" s="341">
        <v>28.0</v>
      </c>
      <c r="F79" s="341" t="s">
        <v>1654</v>
      </c>
    </row>
    <row r="80">
      <c r="A80" s="341" t="s">
        <v>130</v>
      </c>
      <c r="B80" s="341" t="s">
        <v>324</v>
      </c>
      <c r="C80" s="341">
        <v>2.0</v>
      </c>
      <c r="D80" s="342">
        <v>0.0</v>
      </c>
      <c r="E80" s="341">
        <v>6.0</v>
      </c>
      <c r="F80" s="341" t="s">
        <v>1654</v>
      </c>
    </row>
    <row r="81">
      <c r="A81" s="341" t="s">
        <v>131</v>
      </c>
      <c r="B81" s="341" t="s">
        <v>325</v>
      </c>
      <c r="C81" s="341">
        <v>2.0</v>
      </c>
      <c r="D81" s="342">
        <v>0.0</v>
      </c>
      <c r="E81" s="341">
        <v>0.0</v>
      </c>
      <c r="F81" s="341" t="s">
        <v>1653</v>
      </c>
    </row>
    <row r="82">
      <c r="A82" s="341" t="s">
        <v>132</v>
      </c>
      <c r="B82" s="341" t="s">
        <v>326</v>
      </c>
      <c r="C82" s="341">
        <v>6.0</v>
      </c>
      <c r="D82" s="342">
        <v>0.0</v>
      </c>
      <c r="E82" s="341">
        <v>0.0</v>
      </c>
      <c r="F82" s="341" t="s">
        <v>1653</v>
      </c>
    </row>
    <row r="83">
      <c r="A83" s="341" t="s">
        <v>133</v>
      </c>
      <c r="B83" s="341" t="s">
        <v>327</v>
      </c>
      <c r="C83" s="341">
        <v>5.0</v>
      </c>
      <c r="D83" s="342">
        <v>0.0</v>
      </c>
      <c r="E83" s="341">
        <v>6.0</v>
      </c>
      <c r="F83" s="341" t="s">
        <v>1654</v>
      </c>
    </row>
    <row r="84">
      <c r="A84" s="341" t="s">
        <v>134</v>
      </c>
      <c r="B84" s="341" t="s">
        <v>328</v>
      </c>
      <c r="C84" s="341">
        <v>5.0</v>
      </c>
      <c r="D84" s="342">
        <v>0.0</v>
      </c>
      <c r="E84" s="341">
        <v>2.0</v>
      </c>
      <c r="F84" s="341" t="s">
        <v>1654</v>
      </c>
    </row>
    <row r="85">
      <c r="A85" s="341" t="s">
        <v>135</v>
      </c>
      <c r="B85" s="341" t="s">
        <v>329</v>
      </c>
      <c r="C85" s="341">
        <v>5.0</v>
      </c>
      <c r="D85" s="342">
        <v>0.0</v>
      </c>
      <c r="E85" s="341">
        <v>0.0</v>
      </c>
      <c r="F85" s="341" t="s">
        <v>1653</v>
      </c>
    </row>
    <row r="86">
      <c r="A86" s="341" t="s">
        <v>136</v>
      </c>
      <c r="B86" s="341" t="s">
        <v>330</v>
      </c>
      <c r="C86" s="341">
        <v>5.0</v>
      </c>
      <c r="D86" s="342">
        <v>0.0</v>
      </c>
      <c r="E86" s="341">
        <v>2.0</v>
      </c>
      <c r="F86" s="341" t="s">
        <v>1654</v>
      </c>
    </row>
    <row r="87">
      <c r="A87" s="341" t="s">
        <v>137</v>
      </c>
      <c r="B87" s="341" t="s">
        <v>331</v>
      </c>
      <c r="C87" s="341">
        <v>5.0</v>
      </c>
      <c r="D87" s="342">
        <v>0.0</v>
      </c>
      <c r="E87" s="341">
        <v>2.0</v>
      </c>
      <c r="F87" s="341" t="s">
        <v>1654</v>
      </c>
    </row>
    <row r="88">
      <c r="A88" s="341" t="s">
        <v>138</v>
      </c>
      <c r="B88" s="341" t="s">
        <v>332</v>
      </c>
      <c r="C88" s="341">
        <v>5.0</v>
      </c>
      <c r="D88" s="342">
        <v>0.0</v>
      </c>
      <c r="E88" s="341">
        <v>0.0</v>
      </c>
      <c r="F88" s="341" t="s">
        <v>1653</v>
      </c>
    </row>
    <row r="89">
      <c r="A89" s="341" t="s">
        <v>139</v>
      </c>
      <c r="B89" s="341" t="s">
        <v>333</v>
      </c>
      <c r="C89" s="341">
        <v>5.0</v>
      </c>
      <c r="D89" s="342">
        <v>0.0</v>
      </c>
      <c r="E89" s="341">
        <v>4.0</v>
      </c>
      <c r="F89" s="341" t="s">
        <v>1654</v>
      </c>
    </row>
    <row r="90">
      <c r="A90" s="341" t="s">
        <v>140</v>
      </c>
      <c r="B90" s="341" t="s">
        <v>334</v>
      </c>
      <c r="C90" s="341">
        <v>8.0</v>
      </c>
      <c r="D90" s="342">
        <v>0.0</v>
      </c>
      <c r="E90" s="341">
        <v>4.0</v>
      </c>
      <c r="F90" s="341" t="s">
        <v>1654</v>
      </c>
    </row>
    <row r="91">
      <c r="A91" s="341" t="s">
        <v>141</v>
      </c>
      <c r="B91" s="341" t="s">
        <v>335</v>
      </c>
      <c r="C91" s="341">
        <v>7.0</v>
      </c>
      <c r="D91" s="342">
        <v>0.0</v>
      </c>
      <c r="E91" s="341">
        <v>0.0</v>
      </c>
      <c r="F91" s="341" t="s">
        <v>1653</v>
      </c>
    </row>
    <row r="92">
      <c r="A92" s="341" t="s">
        <v>142</v>
      </c>
      <c r="B92" s="341" t="s">
        <v>336</v>
      </c>
      <c r="C92" s="341">
        <v>8.0</v>
      </c>
      <c r="D92" s="342">
        <v>0.0</v>
      </c>
      <c r="E92" s="341">
        <v>23.0</v>
      </c>
      <c r="F92" s="341" t="s">
        <v>1654</v>
      </c>
    </row>
    <row r="93">
      <c r="A93" s="341" t="s">
        <v>143</v>
      </c>
      <c r="B93" s="341" t="s">
        <v>337</v>
      </c>
      <c r="C93" s="341">
        <v>6.0</v>
      </c>
      <c r="D93" s="342">
        <v>0.0</v>
      </c>
      <c r="E93" s="341">
        <v>13.0</v>
      </c>
      <c r="F93" s="341" t="s">
        <v>1654</v>
      </c>
    </row>
    <row r="94">
      <c r="A94" s="341" t="s">
        <v>144</v>
      </c>
      <c r="B94" s="341" t="s">
        <v>338</v>
      </c>
      <c r="C94" s="341">
        <v>6.0</v>
      </c>
      <c r="D94" s="342">
        <v>0.0</v>
      </c>
      <c r="E94" s="341">
        <v>1.0</v>
      </c>
      <c r="F94" s="341" t="s">
        <v>1654</v>
      </c>
    </row>
    <row r="95">
      <c r="A95" s="341" t="s">
        <v>145</v>
      </c>
      <c r="B95" s="341" t="s">
        <v>339</v>
      </c>
      <c r="C95" s="341">
        <v>5.0</v>
      </c>
      <c r="D95" s="342">
        <v>0.0</v>
      </c>
      <c r="E95" s="341">
        <v>0.0</v>
      </c>
      <c r="F95" s="341" t="s">
        <v>1653</v>
      </c>
    </row>
    <row r="96">
      <c r="A96" s="341" t="s">
        <v>340</v>
      </c>
      <c r="B96" s="341" t="s">
        <v>234</v>
      </c>
      <c r="C96" s="341">
        <v>7.0</v>
      </c>
      <c r="D96" s="342">
        <v>0.0</v>
      </c>
      <c r="E96" s="341">
        <v>0.0</v>
      </c>
      <c r="F96" s="341" t="s">
        <v>1653</v>
      </c>
    </row>
    <row r="97">
      <c r="A97" s="341" t="s">
        <v>341</v>
      </c>
      <c r="B97" s="341" t="s">
        <v>285</v>
      </c>
      <c r="C97" s="341">
        <v>8.0</v>
      </c>
      <c r="D97" s="342">
        <v>0.0</v>
      </c>
      <c r="E97" s="341">
        <v>0.0</v>
      </c>
      <c r="F97" s="341" t="s">
        <v>1653</v>
      </c>
    </row>
    <row r="98">
      <c r="A98" s="341" t="s">
        <v>342</v>
      </c>
      <c r="B98" s="341" t="s">
        <v>62</v>
      </c>
      <c r="C98" s="341">
        <v>5.0</v>
      </c>
      <c r="D98" s="342">
        <v>0.0</v>
      </c>
      <c r="E98" s="341">
        <v>0.0</v>
      </c>
      <c r="F98" s="341" t="s">
        <v>1653</v>
      </c>
    </row>
    <row r="99">
      <c r="A99" s="341" t="s">
        <v>343</v>
      </c>
      <c r="B99" s="341" t="s">
        <v>59</v>
      </c>
      <c r="C99" s="341">
        <v>5.0</v>
      </c>
      <c r="D99" s="342">
        <v>0.0</v>
      </c>
      <c r="E99" s="341">
        <v>0.0</v>
      </c>
      <c r="F99" s="341" t="s">
        <v>1653</v>
      </c>
    </row>
    <row r="100">
      <c r="A100" s="341" t="s">
        <v>344</v>
      </c>
      <c r="B100" s="341" t="s">
        <v>67</v>
      </c>
      <c r="C100" s="341">
        <v>5.0</v>
      </c>
      <c r="D100" s="342">
        <v>0.0</v>
      </c>
      <c r="E100" s="341">
        <v>0.0</v>
      </c>
      <c r="F100" s="341" t="s">
        <v>1653</v>
      </c>
    </row>
    <row r="101">
      <c r="A101" s="341" t="s">
        <v>345</v>
      </c>
      <c r="B101" s="341" t="s">
        <v>292</v>
      </c>
      <c r="C101" s="341">
        <v>6.0</v>
      </c>
      <c r="D101" s="342">
        <v>0.0</v>
      </c>
      <c r="E101" s="341">
        <v>3.0</v>
      </c>
      <c r="F101" s="341" t="s">
        <v>1654</v>
      </c>
    </row>
    <row r="102">
      <c r="A102" s="341" t="s">
        <v>346</v>
      </c>
      <c r="B102" s="341" t="s">
        <v>305</v>
      </c>
      <c r="C102" s="341">
        <v>9.0</v>
      </c>
      <c r="D102" s="342">
        <v>0.0</v>
      </c>
      <c r="E102" s="341">
        <v>14.0</v>
      </c>
      <c r="F102" s="341" t="s">
        <v>1654</v>
      </c>
    </row>
    <row r="103">
      <c r="A103" s="341" t="s">
        <v>347</v>
      </c>
      <c r="B103" s="341" t="s">
        <v>306</v>
      </c>
      <c r="C103" s="341">
        <v>10.0</v>
      </c>
      <c r="D103" s="342">
        <v>0.0</v>
      </c>
      <c r="E103" s="341">
        <v>0.0</v>
      </c>
      <c r="F103" s="341" t="s">
        <v>1653</v>
      </c>
    </row>
    <row r="104">
      <c r="A104" s="341" t="s">
        <v>348</v>
      </c>
      <c r="B104" s="341" t="s">
        <v>307</v>
      </c>
      <c r="C104" s="341">
        <v>9.0</v>
      </c>
      <c r="D104" s="342">
        <v>0.0</v>
      </c>
      <c r="E104" s="341">
        <v>0.0</v>
      </c>
      <c r="F104" s="341" t="s">
        <v>1653</v>
      </c>
    </row>
    <row r="105">
      <c r="A105" s="341" t="s">
        <v>349</v>
      </c>
      <c r="B105" s="341" t="s">
        <v>308</v>
      </c>
      <c r="C105" s="341">
        <v>2.0</v>
      </c>
      <c r="D105" s="342">
        <v>0.0</v>
      </c>
      <c r="E105" s="341">
        <v>0.0</v>
      </c>
      <c r="F105" s="341" t="s">
        <v>1653</v>
      </c>
    </row>
    <row r="106">
      <c r="A106" s="341" t="s">
        <v>350</v>
      </c>
      <c r="B106" s="341" t="s">
        <v>309</v>
      </c>
      <c r="C106" s="341">
        <v>7.0</v>
      </c>
      <c r="D106" s="342">
        <v>0.0</v>
      </c>
      <c r="E106" s="341">
        <v>0.0</v>
      </c>
      <c r="F106" s="341" t="s">
        <v>1653</v>
      </c>
    </row>
    <row r="107">
      <c r="A107" s="341" t="s">
        <v>351</v>
      </c>
      <c r="B107" s="341" t="s">
        <v>310</v>
      </c>
      <c r="C107" s="341">
        <v>8.0</v>
      </c>
      <c r="D107" s="342">
        <v>0.0</v>
      </c>
      <c r="E107" s="341">
        <v>0.0</v>
      </c>
      <c r="F107" s="341" t="s">
        <v>1653</v>
      </c>
    </row>
    <row r="108">
      <c r="A108" s="341" t="s">
        <v>146</v>
      </c>
      <c r="B108" s="341" t="s">
        <v>352</v>
      </c>
      <c r="C108" s="341">
        <v>8.0</v>
      </c>
      <c r="D108" s="342">
        <v>0.0</v>
      </c>
      <c r="E108" s="341">
        <v>0.0</v>
      </c>
      <c r="F108" s="341" t="s">
        <v>1653</v>
      </c>
    </row>
    <row r="109">
      <c r="A109" s="341" t="s">
        <v>147</v>
      </c>
      <c r="B109" s="341" t="s">
        <v>312</v>
      </c>
      <c r="C109" s="341">
        <v>8.0</v>
      </c>
      <c r="D109" s="342">
        <v>0.0</v>
      </c>
      <c r="E109" s="341">
        <v>0.0</v>
      </c>
      <c r="F109" s="341" t="s">
        <v>1653</v>
      </c>
    </row>
    <row r="110">
      <c r="A110" s="341" t="s">
        <v>148</v>
      </c>
      <c r="B110" s="341" t="s">
        <v>313</v>
      </c>
      <c r="C110" s="341">
        <v>9.0</v>
      </c>
      <c r="D110" s="342">
        <v>0.0</v>
      </c>
      <c r="E110" s="341">
        <v>0.0</v>
      </c>
      <c r="F110" s="341" t="s">
        <v>1653</v>
      </c>
    </row>
    <row r="111">
      <c r="A111" s="341" t="s">
        <v>149</v>
      </c>
      <c r="B111" s="341" t="s">
        <v>314</v>
      </c>
      <c r="C111" s="341">
        <v>8.0</v>
      </c>
      <c r="D111" s="342">
        <v>0.0</v>
      </c>
      <c r="E111" s="341">
        <v>0.0</v>
      </c>
      <c r="F111" s="341" t="s">
        <v>1653</v>
      </c>
    </row>
    <row r="112">
      <c r="A112" s="341" t="s">
        <v>150</v>
      </c>
      <c r="B112" s="341" t="s">
        <v>315</v>
      </c>
      <c r="C112" s="341">
        <v>4.0</v>
      </c>
      <c r="D112" s="342">
        <v>0.0</v>
      </c>
      <c r="E112" s="341">
        <v>0.0</v>
      </c>
      <c r="F112" s="341" t="s">
        <v>1653</v>
      </c>
    </row>
    <row r="113">
      <c r="A113" s="341" t="s">
        <v>151</v>
      </c>
      <c r="B113" s="341" t="s">
        <v>316</v>
      </c>
      <c r="C113" s="341">
        <v>8.0</v>
      </c>
      <c r="D113" s="342">
        <v>0.0</v>
      </c>
      <c r="E113" s="341">
        <v>0.0</v>
      </c>
      <c r="F113" s="341" t="s">
        <v>1653</v>
      </c>
    </row>
    <row r="114">
      <c r="A114" s="341" t="s">
        <v>152</v>
      </c>
      <c r="B114" s="341" t="s">
        <v>317</v>
      </c>
      <c r="C114" s="341">
        <v>4.0</v>
      </c>
      <c r="D114" s="342">
        <v>0.0</v>
      </c>
      <c r="E114" s="341">
        <v>0.0</v>
      </c>
      <c r="F114" s="341" t="s">
        <v>1653</v>
      </c>
    </row>
    <row r="115">
      <c r="A115" s="341" t="s">
        <v>153</v>
      </c>
      <c r="B115" s="341" t="s">
        <v>318</v>
      </c>
      <c r="C115" s="341">
        <v>6.0</v>
      </c>
      <c r="D115" s="342">
        <v>0.0</v>
      </c>
      <c r="E115" s="341">
        <v>0.0</v>
      </c>
      <c r="F115" s="341" t="s">
        <v>1653</v>
      </c>
    </row>
    <row r="116">
      <c r="A116" s="341" t="s">
        <v>154</v>
      </c>
      <c r="B116" s="341" t="s">
        <v>319</v>
      </c>
      <c r="C116" s="341">
        <v>5.0</v>
      </c>
      <c r="D116" s="342">
        <v>0.0</v>
      </c>
      <c r="E116" s="341">
        <v>0.0</v>
      </c>
      <c r="F116" s="341" t="s">
        <v>1653</v>
      </c>
    </row>
    <row r="117">
      <c r="A117" s="341" t="s">
        <v>155</v>
      </c>
      <c r="B117" s="341" t="s">
        <v>322</v>
      </c>
      <c r="C117" s="341">
        <v>7.0</v>
      </c>
      <c r="D117" s="342">
        <v>0.0</v>
      </c>
      <c r="E117" s="341">
        <v>0.0</v>
      </c>
      <c r="F117" s="341" t="s">
        <v>1653</v>
      </c>
    </row>
    <row r="118">
      <c r="A118" s="341" t="s">
        <v>156</v>
      </c>
      <c r="B118" s="341" t="s">
        <v>323</v>
      </c>
      <c r="C118" s="341">
        <v>5.0</v>
      </c>
      <c r="D118" s="342">
        <v>0.0</v>
      </c>
      <c r="E118" s="341">
        <v>0.0</v>
      </c>
      <c r="F118" s="341" t="s">
        <v>1653</v>
      </c>
    </row>
    <row r="119">
      <c r="A119" s="341" t="s">
        <v>157</v>
      </c>
      <c r="B119" s="341" t="s">
        <v>324</v>
      </c>
      <c r="C119" s="341">
        <v>2.0</v>
      </c>
      <c r="D119" s="342">
        <v>0.0</v>
      </c>
      <c r="E119" s="341">
        <v>0.0</v>
      </c>
      <c r="F119" s="341" t="s">
        <v>1653</v>
      </c>
    </row>
    <row r="120">
      <c r="A120" s="341" t="s">
        <v>158</v>
      </c>
      <c r="B120" s="341" t="s">
        <v>325</v>
      </c>
      <c r="C120" s="341">
        <v>2.0</v>
      </c>
      <c r="D120" s="342">
        <v>0.0</v>
      </c>
      <c r="E120" s="341">
        <v>0.0</v>
      </c>
      <c r="F120" s="341" t="s">
        <v>1653</v>
      </c>
    </row>
    <row r="121">
      <c r="A121" s="341" t="s">
        <v>159</v>
      </c>
      <c r="B121" s="341" t="s">
        <v>326</v>
      </c>
      <c r="C121" s="341">
        <v>6.0</v>
      </c>
      <c r="D121" s="342">
        <v>0.0</v>
      </c>
      <c r="E121" s="341">
        <v>0.0</v>
      </c>
      <c r="F121" s="341" t="s">
        <v>1653</v>
      </c>
    </row>
    <row r="122">
      <c r="A122" s="341" t="s">
        <v>160</v>
      </c>
      <c r="B122" s="341" t="s">
        <v>327</v>
      </c>
      <c r="C122" s="341">
        <v>5.0</v>
      </c>
      <c r="D122" s="342">
        <v>0.0</v>
      </c>
      <c r="E122" s="341">
        <v>0.0</v>
      </c>
      <c r="F122" s="341" t="s">
        <v>1653</v>
      </c>
    </row>
    <row r="123">
      <c r="A123" s="341" t="s">
        <v>161</v>
      </c>
      <c r="B123" s="341" t="s">
        <v>328</v>
      </c>
      <c r="C123" s="341">
        <v>5.0</v>
      </c>
      <c r="D123" s="342">
        <v>0.0</v>
      </c>
      <c r="E123" s="341">
        <v>0.0</v>
      </c>
      <c r="F123" s="341" t="s">
        <v>1653</v>
      </c>
    </row>
    <row r="124">
      <c r="A124" s="341" t="s">
        <v>162</v>
      </c>
      <c r="B124" s="341" t="s">
        <v>329</v>
      </c>
      <c r="C124" s="341">
        <v>5.0</v>
      </c>
      <c r="D124" s="342">
        <v>0.0</v>
      </c>
      <c r="E124" s="341">
        <v>0.0</v>
      </c>
      <c r="F124" s="341" t="s">
        <v>1653</v>
      </c>
    </row>
    <row r="125">
      <c r="A125" s="341" t="s">
        <v>163</v>
      </c>
      <c r="B125" s="341" t="s">
        <v>330</v>
      </c>
      <c r="C125" s="341">
        <v>5.0</v>
      </c>
      <c r="D125" s="342">
        <v>0.0</v>
      </c>
      <c r="E125" s="341">
        <v>0.0</v>
      </c>
      <c r="F125" s="341" t="s">
        <v>1653</v>
      </c>
    </row>
    <row r="126">
      <c r="A126" s="341" t="s">
        <v>164</v>
      </c>
      <c r="B126" s="341" t="s">
        <v>353</v>
      </c>
      <c r="C126" s="341">
        <v>5.0</v>
      </c>
      <c r="D126" s="342">
        <v>0.0</v>
      </c>
      <c r="E126" s="341">
        <v>0.0</v>
      </c>
      <c r="F126" s="341" t="s">
        <v>1653</v>
      </c>
    </row>
    <row r="127">
      <c r="A127" s="341" t="s">
        <v>165</v>
      </c>
      <c r="B127" s="341" t="s">
        <v>333</v>
      </c>
      <c r="C127" s="341">
        <v>5.0</v>
      </c>
      <c r="D127" s="342">
        <v>0.0</v>
      </c>
      <c r="E127" s="341">
        <v>0.0</v>
      </c>
      <c r="F127" s="341" t="s">
        <v>1653</v>
      </c>
    </row>
    <row r="128">
      <c r="A128" s="341" t="s">
        <v>166</v>
      </c>
      <c r="B128" s="341" t="s">
        <v>334</v>
      </c>
      <c r="C128" s="341">
        <v>8.0</v>
      </c>
      <c r="D128" s="342">
        <v>0.0</v>
      </c>
      <c r="E128" s="341">
        <v>0.0</v>
      </c>
      <c r="F128" s="341" t="s">
        <v>1653</v>
      </c>
    </row>
    <row r="129">
      <c r="A129" s="341" t="s">
        <v>167</v>
      </c>
      <c r="B129" s="341" t="s">
        <v>354</v>
      </c>
      <c r="C129" s="341">
        <v>8.0</v>
      </c>
      <c r="D129" s="342">
        <v>0.0</v>
      </c>
      <c r="E129" s="341">
        <v>0.0</v>
      </c>
      <c r="F129" s="341" t="s">
        <v>1653</v>
      </c>
    </row>
    <row r="130">
      <c r="A130" s="341" t="s">
        <v>168</v>
      </c>
      <c r="B130" s="341" t="s">
        <v>338</v>
      </c>
      <c r="C130" s="341">
        <v>6.0</v>
      </c>
      <c r="D130" s="342">
        <v>0.0</v>
      </c>
      <c r="E130" s="341">
        <v>0.0</v>
      </c>
      <c r="F130" s="341" t="s">
        <v>1653</v>
      </c>
    </row>
    <row r="131">
      <c r="A131" s="341" t="s">
        <v>169</v>
      </c>
      <c r="B131" s="341" t="s">
        <v>355</v>
      </c>
      <c r="C131" s="341">
        <v>5.0</v>
      </c>
      <c r="D131" s="342">
        <v>0.0</v>
      </c>
      <c r="E131" s="341">
        <v>0.0</v>
      </c>
      <c r="F131" s="341" t="s">
        <v>1653</v>
      </c>
    </row>
    <row r="132">
      <c r="A132" s="341" t="s">
        <v>170</v>
      </c>
      <c r="B132" s="341" t="s">
        <v>356</v>
      </c>
      <c r="C132" s="341">
        <v>6.0</v>
      </c>
      <c r="D132" s="342">
        <v>0.0</v>
      </c>
      <c r="E132" s="341">
        <v>0.0</v>
      </c>
      <c r="F132" s="341" t="s">
        <v>1653</v>
      </c>
    </row>
    <row r="133">
      <c r="A133" s="341" t="s">
        <v>357</v>
      </c>
      <c r="B133" s="341" t="s">
        <v>285</v>
      </c>
      <c r="C133" s="341">
        <v>8.0</v>
      </c>
      <c r="D133" s="342">
        <v>0.0</v>
      </c>
      <c r="E133" s="341">
        <v>0.0</v>
      </c>
      <c r="F133" s="341" t="s">
        <v>1653</v>
      </c>
    </row>
    <row r="134">
      <c r="A134" s="341" t="s">
        <v>358</v>
      </c>
      <c r="B134" s="341" t="s">
        <v>59</v>
      </c>
      <c r="C134" s="341">
        <v>5.0</v>
      </c>
      <c r="D134" s="342">
        <v>0.0</v>
      </c>
      <c r="E134" s="341">
        <v>0.0</v>
      </c>
      <c r="F134" s="341" t="s">
        <v>1653</v>
      </c>
    </row>
    <row r="135">
      <c r="A135" s="341" t="s">
        <v>359</v>
      </c>
      <c r="B135" s="341" t="s">
        <v>62</v>
      </c>
      <c r="C135" s="341">
        <v>5.0</v>
      </c>
      <c r="D135" s="342">
        <v>0.0</v>
      </c>
      <c r="E135" s="341">
        <v>0.0</v>
      </c>
      <c r="F135" s="341" t="s">
        <v>1653</v>
      </c>
    </row>
    <row r="136">
      <c r="A136" s="341" t="s">
        <v>360</v>
      </c>
      <c r="B136" s="341" t="s">
        <v>59</v>
      </c>
      <c r="C136" s="341">
        <v>5.0</v>
      </c>
      <c r="D136" s="342">
        <v>0.0</v>
      </c>
      <c r="E136" s="341">
        <v>0.0</v>
      </c>
      <c r="F136" s="341" t="s">
        <v>1653</v>
      </c>
    </row>
    <row r="137">
      <c r="A137" s="341" t="s">
        <v>361</v>
      </c>
      <c r="B137" s="341" t="s">
        <v>67</v>
      </c>
      <c r="C137" s="341">
        <v>5.0</v>
      </c>
      <c r="D137" s="342">
        <v>0.0</v>
      </c>
      <c r="E137" s="341">
        <v>0.0</v>
      </c>
      <c r="F137" s="341" t="s">
        <v>1653</v>
      </c>
    </row>
    <row r="138">
      <c r="A138" s="341" t="s">
        <v>362</v>
      </c>
      <c r="B138" s="341" t="s">
        <v>292</v>
      </c>
      <c r="C138" s="341">
        <v>4.0</v>
      </c>
      <c r="D138" s="342">
        <v>0.0</v>
      </c>
      <c r="E138" s="341">
        <v>0.0</v>
      </c>
      <c r="F138" s="341" t="s">
        <v>1653</v>
      </c>
    </row>
    <row r="139">
      <c r="A139" s="341" t="s">
        <v>363</v>
      </c>
      <c r="B139" s="341" t="s">
        <v>309</v>
      </c>
      <c r="C139" s="341">
        <v>7.0</v>
      </c>
      <c r="D139" s="342">
        <v>0.0</v>
      </c>
      <c r="E139" s="341">
        <v>0.0</v>
      </c>
      <c r="F139" s="341" t="s">
        <v>1653</v>
      </c>
    </row>
    <row r="140">
      <c r="A140" s="341" t="s">
        <v>364</v>
      </c>
      <c r="B140" s="341" t="s">
        <v>313</v>
      </c>
      <c r="C140" s="341">
        <v>9.0</v>
      </c>
      <c r="D140" s="342">
        <v>0.0</v>
      </c>
      <c r="E140" s="341">
        <v>0.0</v>
      </c>
      <c r="F140" s="341" t="s">
        <v>1653</v>
      </c>
    </row>
    <row r="141">
      <c r="A141" s="341" t="s">
        <v>365</v>
      </c>
      <c r="B141" s="341" t="s">
        <v>366</v>
      </c>
      <c r="C141" s="341">
        <v>5.0</v>
      </c>
      <c r="D141" s="342">
        <v>0.0</v>
      </c>
      <c r="E141" s="341">
        <v>0.0</v>
      </c>
      <c r="F141" s="341" t="s">
        <v>1653</v>
      </c>
    </row>
    <row r="142">
      <c r="A142" s="341" t="s">
        <v>367</v>
      </c>
      <c r="B142" s="341" t="s">
        <v>353</v>
      </c>
      <c r="C142" s="341">
        <v>5.0</v>
      </c>
      <c r="D142" s="342">
        <v>0.0</v>
      </c>
      <c r="E142" s="341">
        <v>0.0</v>
      </c>
      <c r="F142" s="341" t="s">
        <v>1653</v>
      </c>
    </row>
    <row r="143">
      <c r="A143" s="341" t="s">
        <v>368</v>
      </c>
      <c r="B143" s="341" t="s">
        <v>355</v>
      </c>
      <c r="C143" s="341">
        <v>5.0</v>
      </c>
      <c r="D143" s="342">
        <v>0.0</v>
      </c>
      <c r="E143" s="341">
        <v>0.0</v>
      </c>
      <c r="F143" s="341" t="s">
        <v>1653</v>
      </c>
    </row>
    <row r="144">
      <c r="A144" s="341" t="s">
        <v>369</v>
      </c>
      <c r="B144" s="341" t="s">
        <v>356</v>
      </c>
      <c r="C144" s="341">
        <v>6.0</v>
      </c>
      <c r="D144" s="342">
        <v>0.0</v>
      </c>
      <c r="E144" s="341">
        <v>0.0</v>
      </c>
      <c r="F144" s="341" t="s">
        <v>1653</v>
      </c>
    </row>
    <row r="145">
      <c r="A145" s="341" t="s">
        <v>370</v>
      </c>
      <c r="B145" s="341" t="s">
        <v>292</v>
      </c>
      <c r="C145" s="341">
        <v>5.0</v>
      </c>
      <c r="D145" s="342">
        <v>0.0</v>
      </c>
      <c r="E145" s="341">
        <v>0.0</v>
      </c>
      <c r="F145" s="341" t="s">
        <v>1653</v>
      </c>
    </row>
    <row r="146">
      <c r="A146" s="341" t="s">
        <v>371</v>
      </c>
      <c r="B146" s="341" t="s">
        <v>302</v>
      </c>
      <c r="C146" s="341">
        <v>6.0</v>
      </c>
      <c r="D146" s="342">
        <v>0.0</v>
      </c>
      <c r="E146" s="341">
        <v>0.0</v>
      </c>
      <c r="F146" s="341" t="s">
        <v>1653</v>
      </c>
    </row>
    <row r="147">
      <c r="A147" s="341" t="s">
        <v>372</v>
      </c>
      <c r="B147" s="341" t="s">
        <v>304</v>
      </c>
      <c r="C147" s="341">
        <v>12.0</v>
      </c>
      <c r="D147" s="342">
        <v>0.0</v>
      </c>
      <c r="E147" s="341">
        <v>0.0</v>
      </c>
      <c r="F147" s="341" t="s">
        <v>1653</v>
      </c>
    </row>
    <row r="148">
      <c r="A148" s="341" t="s">
        <v>373</v>
      </c>
      <c r="B148" s="341" t="s">
        <v>306</v>
      </c>
      <c r="C148" s="341">
        <v>10.0</v>
      </c>
      <c r="D148" s="342">
        <v>0.0</v>
      </c>
      <c r="E148" s="341">
        <v>0.0</v>
      </c>
      <c r="F148" s="341" t="s">
        <v>1653</v>
      </c>
    </row>
    <row r="149">
      <c r="A149" s="341" t="s">
        <v>374</v>
      </c>
      <c r="B149" s="341" t="s">
        <v>309</v>
      </c>
      <c r="C149" s="341">
        <v>8.0</v>
      </c>
      <c r="D149" s="342">
        <v>0.0</v>
      </c>
      <c r="E149" s="341">
        <v>0.0</v>
      </c>
      <c r="F149" s="341" t="s">
        <v>1653</v>
      </c>
    </row>
    <row r="150">
      <c r="A150" s="341" t="s">
        <v>375</v>
      </c>
      <c r="B150" s="341" t="s">
        <v>310</v>
      </c>
      <c r="C150" s="341">
        <v>8.0</v>
      </c>
      <c r="D150" s="342">
        <v>0.0</v>
      </c>
      <c r="E150" s="341">
        <v>0.0</v>
      </c>
      <c r="F150" s="341" t="s">
        <v>1653</v>
      </c>
    </row>
    <row r="151">
      <c r="A151" s="341" t="s">
        <v>376</v>
      </c>
      <c r="B151" s="341" t="s">
        <v>314</v>
      </c>
      <c r="C151" s="341">
        <v>8.0</v>
      </c>
      <c r="D151" s="342">
        <v>0.0</v>
      </c>
      <c r="E151" s="341">
        <v>0.0</v>
      </c>
      <c r="F151" s="341" t="s">
        <v>1653</v>
      </c>
    </row>
    <row r="152">
      <c r="A152" s="341" t="s">
        <v>377</v>
      </c>
      <c r="B152" s="341" t="s">
        <v>315</v>
      </c>
      <c r="C152" s="341">
        <v>4.0</v>
      </c>
      <c r="D152" s="342">
        <v>0.0</v>
      </c>
      <c r="E152" s="341">
        <v>0.0</v>
      </c>
      <c r="F152" s="341" t="s">
        <v>1653</v>
      </c>
    </row>
    <row r="153">
      <c r="A153" s="341" t="s">
        <v>378</v>
      </c>
      <c r="B153" s="341" t="s">
        <v>330</v>
      </c>
      <c r="C153" s="341">
        <v>5.0</v>
      </c>
      <c r="D153" s="342">
        <v>0.0</v>
      </c>
      <c r="E153" s="341">
        <v>0.0</v>
      </c>
      <c r="F153" s="341" t="s">
        <v>1653</v>
      </c>
    </row>
    <row r="154">
      <c r="A154" s="341" t="s">
        <v>379</v>
      </c>
      <c r="B154" s="341" t="s">
        <v>318</v>
      </c>
      <c r="C154" s="341">
        <v>6.0</v>
      </c>
      <c r="D154" s="342">
        <v>0.0</v>
      </c>
      <c r="E154" s="341">
        <v>0.0</v>
      </c>
      <c r="F154" s="341" t="s">
        <v>1653</v>
      </c>
    </row>
    <row r="155">
      <c r="A155" s="341" t="s">
        <v>380</v>
      </c>
      <c r="B155" s="341" t="s">
        <v>381</v>
      </c>
      <c r="C155" s="341">
        <v>5.0</v>
      </c>
      <c r="D155" s="342">
        <v>0.0</v>
      </c>
      <c r="E155" s="341">
        <v>0.0</v>
      </c>
      <c r="F155" s="341" t="s">
        <v>1653</v>
      </c>
    </row>
    <row r="156">
      <c r="A156" s="341" t="s">
        <v>382</v>
      </c>
      <c r="B156" s="341" t="s">
        <v>383</v>
      </c>
      <c r="C156" s="341">
        <v>5.0</v>
      </c>
      <c r="D156" s="342">
        <v>0.0</v>
      </c>
      <c r="E156" s="341">
        <v>0.0</v>
      </c>
      <c r="F156" s="341" t="s">
        <v>1653</v>
      </c>
    </row>
    <row r="157">
      <c r="A157" s="341" t="s">
        <v>384</v>
      </c>
      <c r="B157" s="341" t="s">
        <v>385</v>
      </c>
      <c r="C157" s="341">
        <v>4.0</v>
      </c>
      <c r="D157" s="342">
        <v>0.0</v>
      </c>
      <c r="E157" s="341">
        <v>2.0</v>
      </c>
      <c r="F157" s="341" t="s">
        <v>1654</v>
      </c>
    </row>
    <row r="158">
      <c r="A158" s="341" t="s">
        <v>386</v>
      </c>
      <c r="B158" s="341" t="s">
        <v>387</v>
      </c>
      <c r="C158" s="341">
        <v>5.0</v>
      </c>
      <c r="D158" s="342">
        <v>0.0</v>
      </c>
      <c r="E158" s="341">
        <v>0.0</v>
      </c>
      <c r="F158" s="341" t="s">
        <v>1653</v>
      </c>
    </row>
    <row r="159">
      <c r="A159" s="341" t="s">
        <v>388</v>
      </c>
      <c r="B159" s="341" t="s">
        <v>389</v>
      </c>
      <c r="C159" s="341">
        <v>5.0</v>
      </c>
      <c r="D159" s="342">
        <v>0.0</v>
      </c>
      <c r="E159" s="341">
        <v>0.0</v>
      </c>
      <c r="F159" s="341" t="s">
        <v>1653</v>
      </c>
    </row>
    <row r="160">
      <c r="A160" s="341" t="s">
        <v>390</v>
      </c>
      <c r="B160" s="341" t="s">
        <v>391</v>
      </c>
      <c r="C160" s="341">
        <v>9.0</v>
      </c>
      <c r="D160" s="342">
        <v>0.0</v>
      </c>
      <c r="E160" s="341">
        <v>0.0</v>
      </c>
      <c r="F160" s="341" t="s">
        <v>1653</v>
      </c>
    </row>
    <row r="161">
      <c r="A161" s="341" t="s">
        <v>392</v>
      </c>
      <c r="B161" s="341" t="s">
        <v>393</v>
      </c>
      <c r="C161" s="341">
        <v>7.0</v>
      </c>
      <c r="D161" s="342">
        <v>0.0</v>
      </c>
      <c r="E161" s="341">
        <v>0.0</v>
      </c>
      <c r="F161" s="341" t="s">
        <v>1653</v>
      </c>
    </row>
    <row r="162">
      <c r="A162" s="341" t="s">
        <v>394</v>
      </c>
      <c r="B162" s="341" t="s">
        <v>337</v>
      </c>
      <c r="C162" s="341">
        <v>6.0</v>
      </c>
      <c r="D162" s="342">
        <v>0.0</v>
      </c>
      <c r="E162" s="341">
        <v>0.0</v>
      </c>
      <c r="F162" s="341" t="s">
        <v>1653</v>
      </c>
    </row>
    <row r="163">
      <c r="A163" s="341" t="s">
        <v>395</v>
      </c>
      <c r="B163" s="341" t="s">
        <v>396</v>
      </c>
      <c r="C163" s="341">
        <v>6.0</v>
      </c>
      <c r="D163" s="342">
        <v>0.0</v>
      </c>
      <c r="E163" s="341">
        <v>0.0</v>
      </c>
      <c r="F163" s="341" t="s">
        <v>1653</v>
      </c>
    </row>
    <row r="164">
      <c r="A164" s="341" t="s">
        <v>397</v>
      </c>
      <c r="B164" s="341" t="s">
        <v>314</v>
      </c>
      <c r="C164" s="341">
        <v>8.0</v>
      </c>
      <c r="D164" s="342">
        <v>0.0</v>
      </c>
      <c r="E164" s="341">
        <v>0.0</v>
      </c>
      <c r="F164" s="341" t="s">
        <v>1653</v>
      </c>
    </row>
    <row r="165">
      <c r="A165" s="341" t="s">
        <v>398</v>
      </c>
      <c r="B165" s="341" t="s">
        <v>315</v>
      </c>
      <c r="C165" s="341">
        <v>4.0</v>
      </c>
      <c r="D165" s="342">
        <v>0.0</v>
      </c>
      <c r="E165" s="341">
        <v>0.0</v>
      </c>
      <c r="F165" s="341" t="s">
        <v>1653</v>
      </c>
    </row>
    <row r="166">
      <c r="A166" s="341" t="s">
        <v>399</v>
      </c>
      <c r="B166" s="341" t="s">
        <v>400</v>
      </c>
      <c r="C166" s="341">
        <v>3.0</v>
      </c>
      <c r="D166" s="342">
        <v>0.0</v>
      </c>
      <c r="E166" s="341">
        <v>0.0</v>
      </c>
      <c r="F166" s="341" t="s">
        <v>1653</v>
      </c>
    </row>
    <row r="167">
      <c r="A167" s="341" t="s">
        <v>401</v>
      </c>
      <c r="B167" s="341" t="s">
        <v>314</v>
      </c>
      <c r="C167" s="341">
        <v>8.0</v>
      </c>
      <c r="D167" s="342">
        <v>0.0</v>
      </c>
      <c r="E167" s="341">
        <v>0.0</v>
      </c>
      <c r="F167" s="341" t="s">
        <v>1653</v>
      </c>
    </row>
    <row r="168">
      <c r="A168" s="341" t="s">
        <v>402</v>
      </c>
      <c r="B168" s="341" t="s">
        <v>315</v>
      </c>
      <c r="C168" s="341">
        <v>4.0</v>
      </c>
      <c r="D168" s="342">
        <v>0.0</v>
      </c>
      <c r="E168" s="341">
        <v>0.0</v>
      </c>
      <c r="F168" s="341" t="s">
        <v>1653</v>
      </c>
    </row>
    <row r="169">
      <c r="A169" s="341" t="s">
        <v>44</v>
      </c>
      <c r="B169" s="341" t="s">
        <v>44</v>
      </c>
      <c r="C169" s="341" t="s">
        <v>44</v>
      </c>
      <c r="D169" s="342" t="s">
        <v>44</v>
      </c>
      <c r="E169" s="341" t="s">
        <v>44</v>
      </c>
      <c r="F169" s="341" t="s">
        <v>44</v>
      </c>
    </row>
    <row r="170">
      <c r="A170" s="341" t="s">
        <v>44</v>
      </c>
      <c r="B170" s="341" t="s">
        <v>44</v>
      </c>
      <c r="C170" s="341" t="s">
        <v>44</v>
      </c>
      <c r="D170" s="342" t="s">
        <v>44</v>
      </c>
      <c r="E170" s="341" t="s">
        <v>44</v>
      </c>
      <c r="F170" s="341" t="s">
        <v>44</v>
      </c>
    </row>
    <row r="171">
      <c r="A171" s="341" t="s">
        <v>44</v>
      </c>
      <c r="B171" s="341" t="s">
        <v>44</v>
      </c>
      <c r="C171" s="341" t="s">
        <v>44</v>
      </c>
      <c r="D171" s="342" t="s">
        <v>44</v>
      </c>
      <c r="E171" s="341" t="s">
        <v>44</v>
      </c>
      <c r="F171" s="341" t="s">
        <v>44</v>
      </c>
    </row>
    <row r="172">
      <c r="A172" s="341" t="s">
        <v>44</v>
      </c>
      <c r="B172" s="341" t="s">
        <v>44</v>
      </c>
      <c r="C172" s="341" t="s">
        <v>44</v>
      </c>
      <c r="D172" s="342" t="s">
        <v>44</v>
      </c>
      <c r="E172" s="341" t="s">
        <v>44</v>
      </c>
      <c r="F172" s="341" t="s">
        <v>44</v>
      </c>
    </row>
    <row r="173">
      <c r="A173" s="341" t="s">
        <v>44</v>
      </c>
      <c r="B173" s="341" t="s">
        <v>44</v>
      </c>
      <c r="C173" s="341" t="s">
        <v>44</v>
      </c>
      <c r="D173" s="342" t="s">
        <v>44</v>
      </c>
      <c r="E173" s="341" t="s">
        <v>44</v>
      </c>
      <c r="F173" s="341" t="s">
        <v>44</v>
      </c>
    </row>
    <row r="174">
      <c r="A174" s="341" t="s">
        <v>44</v>
      </c>
      <c r="B174" s="341" t="s">
        <v>44</v>
      </c>
      <c r="C174" s="341" t="s">
        <v>44</v>
      </c>
      <c r="D174" s="342" t="s">
        <v>44</v>
      </c>
      <c r="E174" s="341" t="s">
        <v>44</v>
      </c>
      <c r="F174" s="341" t="s">
        <v>44</v>
      </c>
    </row>
    <row r="175">
      <c r="A175" s="341" t="s">
        <v>44</v>
      </c>
      <c r="B175" s="341" t="s">
        <v>44</v>
      </c>
      <c r="C175" s="341" t="s">
        <v>44</v>
      </c>
      <c r="D175" s="342" t="s">
        <v>44</v>
      </c>
      <c r="E175" s="341" t="s">
        <v>44</v>
      </c>
      <c r="F175" s="341" t="s">
        <v>44</v>
      </c>
    </row>
    <row r="176">
      <c r="A176" s="341" t="s">
        <v>44</v>
      </c>
      <c r="B176" s="341" t="s">
        <v>44</v>
      </c>
      <c r="C176" s="341" t="s">
        <v>44</v>
      </c>
      <c r="D176" s="342" t="s">
        <v>44</v>
      </c>
      <c r="E176" s="341" t="s">
        <v>44</v>
      </c>
      <c r="F176" s="341" t="s">
        <v>44</v>
      </c>
    </row>
    <row r="177">
      <c r="A177" s="341" t="s">
        <v>44</v>
      </c>
      <c r="B177" s="341" t="s">
        <v>44</v>
      </c>
      <c r="C177" s="341" t="s">
        <v>44</v>
      </c>
      <c r="D177" s="342" t="s">
        <v>44</v>
      </c>
      <c r="E177" s="341" t="s">
        <v>44</v>
      </c>
      <c r="F177" s="341" t="s">
        <v>44</v>
      </c>
    </row>
    <row r="178">
      <c r="A178" s="341" t="s">
        <v>44</v>
      </c>
      <c r="B178" s="341" t="s">
        <v>44</v>
      </c>
      <c r="C178" s="341" t="s">
        <v>44</v>
      </c>
      <c r="D178" s="342" t="s">
        <v>44</v>
      </c>
      <c r="E178" s="341" t="s">
        <v>44</v>
      </c>
      <c r="F178" s="341" t="s">
        <v>44</v>
      </c>
    </row>
    <row r="179">
      <c r="A179" s="341" t="s">
        <v>44</v>
      </c>
      <c r="B179" s="341" t="s">
        <v>44</v>
      </c>
      <c r="C179" s="341" t="s">
        <v>44</v>
      </c>
      <c r="D179" s="342" t="s">
        <v>44</v>
      </c>
      <c r="E179" s="341" t="s">
        <v>44</v>
      </c>
      <c r="F179" s="341" t="s">
        <v>44</v>
      </c>
    </row>
    <row r="180">
      <c r="A180" s="341" t="s">
        <v>44</v>
      </c>
      <c r="B180" s="341" t="s">
        <v>44</v>
      </c>
      <c r="C180" s="341" t="s">
        <v>44</v>
      </c>
      <c r="D180" s="342" t="s">
        <v>44</v>
      </c>
      <c r="E180" s="341" t="s">
        <v>44</v>
      </c>
      <c r="F180" s="341" t="s">
        <v>44</v>
      </c>
    </row>
    <row r="181">
      <c r="A181" s="341" t="s">
        <v>44</v>
      </c>
      <c r="B181" s="341" t="s">
        <v>44</v>
      </c>
      <c r="C181" s="341" t="s">
        <v>44</v>
      </c>
      <c r="D181" s="342" t="s">
        <v>44</v>
      </c>
      <c r="E181" s="341" t="s">
        <v>44</v>
      </c>
      <c r="F181" s="341" t="s">
        <v>44</v>
      </c>
    </row>
    <row r="182">
      <c r="A182" s="341" t="s">
        <v>44</v>
      </c>
      <c r="B182" s="341" t="s">
        <v>44</v>
      </c>
      <c r="C182" s="341" t="s">
        <v>44</v>
      </c>
      <c r="D182" s="342" t="s">
        <v>44</v>
      </c>
      <c r="E182" s="341" t="s">
        <v>44</v>
      </c>
      <c r="F182" s="341" t="s">
        <v>44</v>
      </c>
    </row>
    <row r="183">
      <c r="A183" s="341" t="s">
        <v>44</v>
      </c>
      <c r="B183" s="341" t="s">
        <v>44</v>
      </c>
      <c r="C183" s="341" t="s">
        <v>44</v>
      </c>
      <c r="D183" s="342" t="s">
        <v>44</v>
      </c>
      <c r="E183" s="341" t="s">
        <v>44</v>
      </c>
      <c r="F183" s="341" t="s">
        <v>44</v>
      </c>
    </row>
    <row r="184">
      <c r="A184" s="341" t="s">
        <v>44</v>
      </c>
      <c r="B184" s="341" t="s">
        <v>44</v>
      </c>
      <c r="C184" s="341" t="s">
        <v>44</v>
      </c>
      <c r="D184" s="342" t="s">
        <v>44</v>
      </c>
      <c r="E184" s="341" t="s">
        <v>44</v>
      </c>
      <c r="F184" s="341" t="s">
        <v>44</v>
      </c>
    </row>
    <row r="185">
      <c r="A185" s="341" t="s">
        <v>44</v>
      </c>
      <c r="B185" s="341" t="s">
        <v>44</v>
      </c>
      <c r="C185" s="341" t="s">
        <v>44</v>
      </c>
      <c r="D185" s="342" t="s">
        <v>44</v>
      </c>
      <c r="E185" s="341" t="s">
        <v>44</v>
      </c>
      <c r="F185" s="341" t="s">
        <v>44</v>
      </c>
    </row>
    <row r="186">
      <c r="A186" s="341" t="s">
        <v>44</v>
      </c>
      <c r="B186" s="341" t="s">
        <v>44</v>
      </c>
      <c r="C186" s="341" t="s">
        <v>44</v>
      </c>
      <c r="D186" s="342" t="s">
        <v>44</v>
      </c>
      <c r="E186" s="341" t="s">
        <v>44</v>
      </c>
      <c r="F186" s="341" t="s">
        <v>44</v>
      </c>
    </row>
    <row r="187">
      <c r="A187" s="341" t="s">
        <v>44</v>
      </c>
      <c r="B187" s="341" t="s">
        <v>44</v>
      </c>
      <c r="C187" s="341" t="s">
        <v>44</v>
      </c>
      <c r="D187" s="342" t="s">
        <v>44</v>
      </c>
      <c r="E187" s="341" t="s">
        <v>44</v>
      </c>
      <c r="F187" s="341" t="s">
        <v>44</v>
      </c>
    </row>
    <row r="188">
      <c r="A188" s="341" t="s">
        <v>44</v>
      </c>
      <c r="B188" s="341" t="s">
        <v>44</v>
      </c>
      <c r="C188" s="341" t="s">
        <v>44</v>
      </c>
      <c r="D188" s="342" t="s">
        <v>44</v>
      </c>
      <c r="E188" s="341" t="s">
        <v>44</v>
      </c>
      <c r="F188" s="341" t="s">
        <v>44</v>
      </c>
    </row>
    <row r="189">
      <c r="A189" s="341" t="s">
        <v>44</v>
      </c>
      <c r="B189" s="341" t="s">
        <v>44</v>
      </c>
      <c r="C189" s="341" t="s">
        <v>44</v>
      </c>
      <c r="D189" s="342" t="s">
        <v>44</v>
      </c>
      <c r="E189" s="341" t="s">
        <v>44</v>
      </c>
      <c r="F189" s="341" t="s">
        <v>44</v>
      </c>
    </row>
    <row r="190">
      <c r="A190" s="341" t="s">
        <v>44</v>
      </c>
      <c r="B190" s="341" t="s">
        <v>44</v>
      </c>
      <c r="C190" s="341" t="s">
        <v>44</v>
      </c>
      <c r="D190" s="342" t="s">
        <v>44</v>
      </c>
      <c r="E190" s="341" t="s">
        <v>44</v>
      </c>
      <c r="F190" s="341" t="s">
        <v>44</v>
      </c>
    </row>
    <row r="191">
      <c r="A191" s="341" t="s">
        <v>44</v>
      </c>
      <c r="B191" s="341" t="s">
        <v>44</v>
      </c>
      <c r="C191" s="341" t="s">
        <v>44</v>
      </c>
      <c r="D191" s="342" t="s">
        <v>44</v>
      </c>
      <c r="E191" s="341" t="s">
        <v>44</v>
      </c>
      <c r="F191" s="341" t="s">
        <v>44</v>
      </c>
    </row>
    <row r="192">
      <c r="A192" s="341" t="s">
        <v>44</v>
      </c>
      <c r="B192" s="341" t="s">
        <v>44</v>
      </c>
      <c r="C192" s="341" t="s">
        <v>44</v>
      </c>
      <c r="D192" s="342" t="s">
        <v>44</v>
      </c>
      <c r="E192" s="341" t="s">
        <v>44</v>
      </c>
      <c r="F192" s="341" t="s">
        <v>44</v>
      </c>
    </row>
    <row r="193">
      <c r="A193" s="341" t="s">
        <v>44</v>
      </c>
      <c r="B193" s="341" t="s">
        <v>44</v>
      </c>
      <c r="C193" s="341" t="s">
        <v>44</v>
      </c>
      <c r="D193" s="342" t="s">
        <v>44</v>
      </c>
      <c r="E193" s="341" t="s">
        <v>44</v>
      </c>
      <c r="F193" s="341" t="s">
        <v>44</v>
      </c>
    </row>
    <row r="194">
      <c r="A194" s="341" t="s">
        <v>44</v>
      </c>
      <c r="B194" s="341" t="s">
        <v>44</v>
      </c>
      <c r="C194" s="341" t="s">
        <v>44</v>
      </c>
      <c r="D194" s="342" t="s">
        <v>44</v>
      </c>
      <c r="E194" s="341" t="s">
        <v>44</v>
      </c>
      <c r="F194" s="341" t="s">
        <v>44</v>
      </c>
    </row>
    <row r="195">
      <c r="A195" s="341" t="s">
        <v>44</v>
      </c>
      <c r="B195" s="341" t="s">
        <v>44</v>
      </c>
      <c r="C195" s="341" t="s">
        <v>44</v>
      </c>
      <c r="D195" s="342" t="s">
        <v>44</v>
      </c>
      <c r="E195" s="341" t="s">
        <v>44</v>
      </c>
      <c r="F195" s="341" t="s">
        <v>44</v>
      </c>
    </row>
    <row r="196">
      <c r="A196" s="341" t="s">
        <v>44</v>
      </c>
      <c r="B196" s="341" t="s">
        <v>44</v>
      </c>
      <c r="C196" s="341" t="s">
        <v>44</v>
      </c>
      <c r="D196" s="342" t="s">
        <v>44</v>
      </c>
      <c r="E196" s="341" t="s">
        <v>44</v>
      </c>
      <c r="F196" s="341" t="s">
        <v>44</v>
      </c>
    </row>
    <row r="197">
      <c r="A197" s="341" t="s">
        <v>44</v>
      </c>
      <c r="B197" s="341" t="s">
        <v>44</v>
      </c>
      <c r="C197" s="341" t="s">
        <v>44</v>
      </c>
      <c r="D197" s="342" t="s">
        <v>44</v>
      </c>
      <c r="E197" s="341" t="s">
        <v>44</v>
      </c>
      <c r="F197" s="341" t="s">
        <v>44</v>
      </c>
    </row>
    <row r="198">
      <c r="A198" s="341" t="s">
        <v>44</v>
      </c>
      <c r="B198" s="341" t="s">
        <v>44</v>
      </c>
      <c r="C198" s="341" t="s">
        <v>44</v>
      </c>
      <c r="D198" s="342" t="s">
        <v>44</v>
      </c>
      <c r="E198" s="341" t="s">
        <v>44</v>
      </c>
      <c r="F198" s="341" t="s">
        <v>44</v>
      </c>
    </row>
    <row r="199">
      <c r="A199" s="341" t="s">
        <v>44</v>
      </c>
      <c r="B199" s="341" t="s">
        <v>44</v>
      </c>
      <c r="C199" s="341" t="s">
        <v>44</v>
      </c>
      <c r="D199" s="342" t="s">
        <v>44</v>
      </c>
      <c r="E199" s="341" t="s">
        <v>44</v>
      </c>
      <c r="F199" s="341" t="s">
        <v>44</v>
      </c>
    </row>
    <row r="200">
      <c r="A200" s="341" t="s">
        <v>44</v>
      </c>
      <c r="B200" s="341" t="s">
        <v>44</v>
      </c>
      <c r="C200" s="341" t="s">
        <v>44</v>
      </c>
      <c r="D200" s="342" t="s">
        <v>44</v>
      </c>
      <c r="E200" s="341" t="s">
        <v>44</v>
      </c>
      <c r="F200" s="341" t="s">
        <v>44</v>
      </c>
    </row>
    <row r="201">
      <c r="A201" s="341" t="s">
        <v>403</v>
      </c>
      <c r="B201" s="341"/>
      <c r="C201" s="341">
        <v>0.0</v>
      </c>
      <c r="D201" s="342" t="s">
        <v>44</v>
      </c>
      <c r="E201" s="341">
        <v>0.0</v>
      </c>
      <c r="F201" s="341" t="s">
        <v>1653</v>
      </c>
    </row>
    <row r="202">
      <c r="A202" s="341" t="s">
        <v>404</v>
      </c>
      <c r="B202" s="341" t="s">
        <v>405</v>
      </c>
      <c r="C202" s="341">
        <v>0.0</v>
      </c>
      <c r="D202" s="342" t="s">
        <v>44</v>
      </c>
      <c r="E202" s="341">
        <v>1.0</v>
      </c>
      <c r="F202" s="341" t="s">
        <v>1654</v>
      </c>
    </row>
    <row r="203">
      <c r="A203" s="341" t="s">
        <v>412</v>
      </c>
      <c r="B203" s="341" t="s">
        <v>413</v>
      </c>
      <c r="C203" s="341">
        <v>11.0</v>
      </c>
      <c r="D203" s="342">
        <v>0.0</v>
      </c>
      <c r="E203" s="341">
        <v>0.0</v>
      </c>
      <c r="F203" s="341" t="s">
        <v>1653</v>
      </c>
    </row>
    <row r="204">
      <c r="A204" s="341" t="s">
        <v>44</v>
      </c>
      <c r="B204" s="341" t="s">
        <v>44</v>
      </c>
      <c r="C204" s="341" t="s">
        <v>44</v>
      </c>
      <c r="D204" s="342" t="s">
        <v>44</v>
      </c>
      <c r="E204" s="341" t="s">
        <v>44</v>
      </c>
      <c r="F204" s="341" t="s">
        <v>44</v>
      </c>
    </row>
    <row r="205">
      <c r="A205" s="341" t="s">
        <v>44</v>
      </c>
      <c r="B205" s="341" t="s">
        <v>44</v>
      </c>
      <c r="C205" s="341" t="s">
        <v>44</v>
      </c>
      <c r="D205" s="342" t="s">
        <v>44</v>
      </c>
      <c r="E205" s="341" t="s">
        <v>44</v>
      </c>
      <c r="F205" s="341" t="s">
        <v>44</v>
      </c>
    </row>
    <row r="206">
      <c r="A206" s="341" t="s">
        <v>44</v>
      </c>
      <c r="B206" s="341" t="s">
        <v>44</v>
      </c>
      <c r="C206" s="341" t="s">
        <v>44</v>
      </c>
      <c r="D206" s="342" t="s">
        <v>44</v>
      </c>
      <c r="E206" s="341" t="s">
        <v>44</v>
      </c>
      <c r="F206" s="341" t="s">
        <v>44</v>
      </c>
    </row>
    <row r="207">
      <c r="A207" s="341" t="s">
        <v>415</v>
      </c>
      <c r="B207" s="341"/>
      <c r="C207" s="341">
        <v>0.0</v>
      </c>
      <c r="D207" s="342" t="s">
        <v>44</v>
      </c>
      <c r="E207" s="341">
        <v>0.0</v>
      </c>
      <c r="F207" s="341" t="s">
        <v>1653</v>
      </c>
    </row>
    <row r="208">
      <c r="A208" s="341" t="s">
        <v>44</v>
      </c>
      <c r="B208" s="341" t="s">
        <v>44</v>
      </c>
      <c r="C208" s="341" t="s">
        <v>44</v>
      </c>
      <c r="D208" s="342" t="s">
        <v>44</v>
      </c>
      <c r="E208" s="341" t="s">
        <v>44</v>
      </c>
      <c r="F208" s="341" t="s">
        <v>44</v>
      </c>
    </row>
    <row r="209">
      <c r="A209" s="341" t="s">
        <v>44</v>
      </c>
      <c r="B209" s="341" t="s">
        <v>44</v>
      </c>
      <c r="C209" s="341" t="s">
        <v>44</v>
      </c>
      <c r="D209" s="342" t="s">
        <v>44</v>
      </c>
      <c r="E209" s="341" t="s">
        <v>44</v>
      </c>
      <c r="F209" s="341" t="s">
        <v>44</v>
      </c>
    </row>
    <row r="210">
      <c r="A210" s="341" t="s">
        <v>44</v>
      </c>
      <c r="B210" s="341" t="s">
        <v>44</v>
      </c>
      <c r="C210" s="341" t="s">
        <v>44</v>
      </c>
      <c r="D210" s="342" t="s">
        <v>44</v>
      </c>
      <c r="E210" s="341" t="s">
        <v>44</v>
      </c>
      <c r="F210" s="341" t="s">
        <v>44</v>
      </c>
    </row>
    <row r="211">
      <c r="A211" s="341" t="s">
        <v>44</v>
      </c>
      <c r="B211" s="341" t="s">
        <v>44</v>
      </c>
      <c r="C211" s="341" t="s">
        <v>44</v>
      </c>
      <c r="D211" s="342" t="s">
        <v>44</v>
      </c>
      <c r="E211" s="341" t="s">
        <v>44</v>
      </c>
      <c r="F211" s="341" t="s">
        <v>44</v>
      </c>
    </row>
    <row r="212">
      <c r="A212" s="341" t="s">
        <v>44</v>
      </c>
      <c r="B212" s="341" t="s">
        <v>44</v>
      </c>
      <c r="C212" s="341" t="s">
        <v>44</v>
      </c>
      <c r="D212" s="342" t="s">
        <v>44</v>
      </c>
      <c r="E212" s="341" t="s">
        <v>44</v>
      </c>
      <c r="F212" s="341" t="s">
        <v>44</v>
      </c>
    </row>
    <row r="213">
      <c r="A213" s="341" t="s">
        <v>44</v>
      </c>
      <c r="B213" s="341" t="s">
        <v>44</v>
      </c>
      <c r="C213" s="341" t="s">
        <v>44</v>
      </c>
      <c r="D213" s="342" t="s">
        <v>44</v>
      </c>
      <c r="E213" s="341" t="s">
        <v>44</v>
      </c>
      <c r="F213" s="341" t="s">
        <v>44</v>
      </c>
    </row>
    <row r="214">
      <c r="A214" s="341" t="s">
        <v>44</v>
      </c>
      <c r="B214" s="341" t="s">
        <v>44</v>
      </c>
      <c r="C214" s="341" t="s">
        <v>44</v>
      </c>
      <c r="D214" s="342" t="s">
        <v>44</v>
      </c>
      <c r="E214" s="341" t="s">
        <v>44</v>
      </c>
      <c r="F214" s="341" t="s">
        <v>44</v>
      </c>
    </row>
    <row r="215">
      <c r="A215" s="341" t="s">
        <v>44</v>
      </c>
      <c r="B215" s="341" t="s">
        <v>44</v>
      </c>
      <c r="C215" s="341" t="s">
        <v>44</v>
      </c>
      <c r="D215" s="342" t="s">
        <v>44</v>
      </c>
      <c r="E215" s="341" t="s">
        <v>44</v>
      </c>
      <c r="F215" s="341" t="s">
        <v>44</v>
      </c>
    </row>
    <row r="216">
      <c r="A216" s="341" t="s">
        <v>44</v>
      </c>
      <c r="B216" s="341" t="s">
        <v>44</v>
      </c>
      <c r="C216" s="341" t="s">
        <v>44</v>
      </c>
      <c r="D216" s="342" t="s">
        <v>44</v>
      </c>
      <c r="E216" s="341" t="s">
        <v>44</v>
      </c>
      <c r="F216" s="341" t="s">
        <v>44</v>
      </c>
    </row>
    <row r="217">
      <c r="A217" s="341" t="s">
        <v>44</v>
      </c>
      <c r="B217" s="341" t="s">
        <v>44</v>
      </c>
      <c r="C217" s="341" t="s">
        <v>44</v>
      </c>
      <c r="D217" s="342" t="s">
        <v>44</v>
      </c>
      <c r="E217" s="341" t="s">
        <v>44</v>
      </c>
      <c r="F217" s="341" t="s">
        <v>44</v>
      </c>
    </row>
    <row r="218">
      <c r="A218" s="341" t="s">
        <v>44</v>
      </c>
      <c r="B218" s="341" t="s">
        <v>44</v>
      </c>
      <c r="C218" s="341" t="s">
        <v>44</v>
      </c>
      <c r="D218" s="342" t="s">
        <v>44</v>
      </c>
      <c r="E218" s="341" t="s">
        <v>44</v>
      </c>
      <c r="F218" s="341" t="s">
        <v>44</v>
      </c>
    </row>
    <row r="219">
      <c r="A219" s="341" t="s">
        <v>44</v>
      </c>
      <c r="B219" s="341" t="s">
        <v>44</v>
      </c>
      <c r="C219" s="341" t="s">
        <v>44</v>
      </c>
      <c r="D219" s="342" t="s">
        <v>44</v>
      </c>
      <c r="E219" s="341" t="s">
        <v>44</v>
      </c>
      <c r="F219" s="341" t="s">
        <v>44</v>
      </c>
    </row>
    <row r="220">
      <c r="A220" s="341" t="s">
        <v>44</v>
      </c>
      <c r="B220" s="341" t="s">
        <v>44</v>
      </c>
      <c r="C220" s="341" t="s">
        <v>44</v>
      </c>
      <c r="D220" s="342" t="s">
        <v>44</v>
      </c>
      <c r="E220" s="341" t="s">
        <v>44</v>
      </c>
      <c r="F220" s="341" t="s">
        <v>44</v>
      </c>
    </row>
    <row r="221">
      <c r="A221" s="341" t="s">
        <v>44</v>
      </c>
      <c r="B221" s="341" t="s">
        <v>44</v>
      </c>
      <c r="C221" s="341" t="s">
        <v>44</v>
      </c>
      <c r="D221" s="342" t="s">
        <v>44</v>
      </c>
      <c r="E221" s="341" t="s">
        <v>44</v>
      </c>
      <c r="F221" s="341" t="s">
        <v>44</v>
      </c>
    </row>
    <row r="222">
      <c r="A222" s="341" t="s">
        <v>44</v>
      </c>
      <c r="B222" s="341" t="s">
        <v>44</v>
      </c>
      <c r="C222" s="341" t="s">
        <v>44</v>
      </c>
      <c r="D222" s="342" t="s">
        <v>44</v>
      </c>
      <c r="E222" s="341" t="s">
        <v>44</v>
      </c>
      <c r="F222" s="341" t="s">
        <v>44</v>
      </c>
    </row>
    <row r="223">
      <c r="A223" s="341" t="s">
        <v>44</v>
      </c>
      <c r="B223" s="341" t="s">
        <v>44</v>
      </c>
      <c r="C223" s="341" t="s">
        <v>44</v>
      </c>
      <c r="D223" s="342" t="s">
        <v>44</v>
      </c>
      <c r="E223" s="341" t="s">
        <v>44</v>
      </c>
      <c r="F223" s="341" t="s">
        <v>44</v>
      </c>
    </row>
    <row r="224">
      <c r="A224" s="341" t="s">
        <v>44</v>
      </c>
      <c r="B224" s="341" t="s">
        <v>44</v>
      </c>
      <c r="C224" s="341" t="s">
        <v>44</v>
      </c>
      <c r="D224" s="342" t="s">
        <v>44</v>
      </c>
      <c r="E224" s="341" t="s">
        <v>44</v>
      </c>
      <c r="F224" s="341" t="s">
        <v>44</v>
      </c>
    </row>
    <row r="225">
      <c r="A225" s="341" t="s">
        <v>44</v>
      </c>
      <c r="B225" s="341" t="s">
        <v>44</v>
      </c>
      <c r="C225" s="341" t="s">
        <v>44</v>
      </c>
      <c r="D225" s="342" t="s">
        <v>44</v>
      </c>
      <c r="E225" s="341" t="s">
        <v>44</v>
      </c>
      <c r="F225" s="341" t="s">
        <v>44</v>
      </c>
    </row>
    <row r="226">
      <c r="A226" s="341" t="s">
        <v>44</v>
      </c>
      <c r="B226" s="341" t="s">
        <v>44</v>
      </c>
      <c r="C226" s="341" t="s">
        <v>44</v>
      </c>
      <c r="D226" s="342" t="s">
        <v>44</v>
      </c>
      <c r="E226" s="341" t="s">
        <v>44</v>
      </c>
      <c r="F226" s="341" t="s">
        <v>44</v>
      </c>
    </row>
    <row r="227">
      <c r="A227" s="341" t="s">
        <v>44</v>
      </c>
      <c r="B227" s="341" t="s">
        <v>44</v>
      </c>
      <c r="C227" s="341" t="s">
        <v>44</v>
      </c>
      <c r="D227" s="342" t="s">
        <v>44</v>
      </c>
      <c r="E227" s="341" t="s">
        <v>44</v>
      </c>
      <c r="F227" s="341" t="s">
        <v>44</v>
      </c>
    </row>
    <row r="228">
      <c r="A228" s="341" t="s">
        <v>44</v>
      </c>
      <c r="B228" s="341" t="s">
        <v>44</v>
      </c>
      <c r="C228" s="341" t="s">
        <v>44</v>
      </c>
      <c r="D228" s="342" t="s">
        <v>44</v>
      </c>
      <c r="E228" s="341" t="s">
        <v>44</v>
      </c>
      <c r="F228" s="341" t="s">
        <v>44</v>
      </c>
    </row>
    <row r="229">
      <c r="A229" s="341" t="s">
        <v>44</v>
      </c>
      <c r="B229" s="341" t="s">
        <v>44</v>
      </c>
      <c r="C229" s="341" t="s">
        <v>44</v>
      </c>
      <c r="D229" s="342" t="s">
        <v>44</v>
      </c>
      <c r="E229" s="341" t="s">
        <v>44</v>
      </c>
      <c r="F229" s="341" t="s">
        <v>44</v>
      </c>
    </row>
    <row r="230">
      <c r="A230" s="341" t="s">
        <v>44</v>
      </c>
      <c r="B230" s="341" t="s">
        <v>44</v>
      </c>
      <c r="C230" s="341" t="s">
        <v>44</v>
      </c>
      <c r="D230" s="342" t="s">
        <v>44</v>
      </c>
      <c r="E230" s="341" t="s">
        <v>44</v>
      </c>
      <c r="F230" s="341" t="s">
        <v>44</v>
      </c>
    </row>
    <row r="231">
      <c r="A231" s="341" t="s">
        <v>44</v>
      </c>
      <c r="B231" s="341" t="s">
        <v>44</v>
      </c>
      <c r="C231" s="341" t="s">
        <v>44</v>
      </c>
      <c r="D231" s="342" t="s">
        <v>44</v>
      </c>
      <c r="E231" s="341" t="s">
        <v>44</v>
      </c>
      <c r="F231" s="341" t="s">
        <v>44</v>
      </c>
    </row>
    <row r="232">
      <c r="A232" s="341" t="s">
        <v>44</v>
      </c>
      <c r="B232" s="341" t="s">
        <v>44</v>
      </c>
      <c r="C232" s="341" t="s">
        <v>44</v>
      </c>
      <c r="D232" s="342" t="s">
        <v>44</v>
      </c>
      <c r="E232" s="341" t="s">
        <v>44</v>
      </c>
      <c r="F232" s="341" t="s">
        <v>44</v>
      </c>
    </row>
    <row r="233">
      <c r="A233" s="341" t="s">
        <v>44</v>
      </c>
      <c r="B233" s="341" t="s">
        <v>44</v>
      </c>
      <c r="C233" s="341" t="s">
        <v>44</v>
      </c>
      <c r="D233" s="342" t="s">
        <v>44</v>
      </c>
      <c r="E233" s="341" t="s">
        <v>44</v>
      </c>
      <c r="F233" s="341" t="s">
        <v>44</v>
      </c>
    </row>
    <row r="234">
      <c r="A234" s="341" t="s">
        <v>44</v>
      </c>
      <c r="B234" s="341" t="s">
        <v>44</v>
      </c>
      <c r="C234" s="341" t="s">
        <v>44</v>
      </c>
      <c r="D234" s="342" t="s">
        <v>44</v>
      </c>
      <c r="E234" s="341" t="s">
        <v>44</v>
      </c>
      <c r="F234" s="341" t="s">
        <v>44</v>
      </c>
    </row>
    <row r="235">
      <c r="A235" s="341" t="s">
        <v>44</v>
      </c>
      <c r="B235" s="341" t="s">
        <v>44</v>
      </c>
      <c r="C235" s="341" t="s">
        <v>44</v>
      </c>
      <c r="D235" s="342" t="s">
        <v>44</v>
      </c>
      <c r="E235" s="341" t="s">
        <v>44</v>
      </c>
      <c r="F235" s="341" t="s">
        <v>44</v>
      </c>
    </row>
    <row r="236">
      <c r="A236" s="341" t="s">
        <v>44</v>
      </c>
      <c r="B236" s="341" t="s">
        <v>44</v>
      </c>
      <c r="C236" s="341" t="s">
        <v>44</v>
      </c>
      <c r="D236" s="342" t="s">
        <v>44</v>
      </c>
      <c r="E236" s="341" t="s">
        <v>44</v>
      </c>
      <c r="F236" s="341" t="s">
        <v>44</v>
      </c>
    </row>
    <row r="237">
      <c r="A237" s="341" t="s">
        <v>44</v>
      </c>
      <c r="B237" s="341" t="s">
        <v>44</v>
      </c>
      <c r="C237" s="341" t="s">
        <v>44</v>
      </c>
      <c r="D237" s="342" t="s">
        <v>44</v>
      </c>
      <c r="E237" s="341" t="s">
        <v>44</v>
      </c>
      <c r="F237" s="341" t="s">
        <v>44</v>
      </c>
    </row>
    <row r="238">
      <c r="A238" s="341" t="s">
        <v>44</v>
      </c>
      <c r="B238" s="341" t="s">
        <v>44</v>
      </c>
      <c r="C238" s="341" t="s">
        <v>44</v>
      </c>
      <c r="D238" s="342" t="s">
        <v>44</v>
      </c>
      <c r="E238" s="341" t="s">
        <v>44</v>
      </c>
      <c r="F238" s="341" t="s">
        <v>44</v>
      </c>
    </row>
    <row r="239">
      <c r="A239" s="341" t="s">
        <v>44</v>
      </c>
      <c r="B239" s="341" t="s">
        <v>44</v>
      </c>
      <c r="C239" s="341" t="s">
        <v>44</v>
      </c>
      <c r="D239" s="342" t="s">
        <v>44</v>
      </c>
      <c r="E239" s="341" t="s">
        <v>44</v>
      </c>
      <c r="F239" s="341" t="s">
        <v>44</v>
      </c>
    </row>
    <row r="240">
      <c r="A240" s="341" t="s">
        <v>44</v>
      </c>
      <c r="B240" s="341" t="s">
        <v>44</v>
      </c>
      <c r="C240" s="341" t="s">
        <v>44</v>
      </c>
      <c r="D240" s="342" t="s">
        <v>44</v>
      </c>
      <c r="E240" s="341" t="s">
        <v>44</v>
      </c>
      <c r="F240" s="341" t="s">
        <v>44</v>
      </c>
    </row>
    <row r="241">
      <c r="A241" s="341" t="s">
        <v>44</v>
      </c>
      <c r="B241" s="341" t="s">
        <v>44</v>
      </c>
      <c r="C241" s="341" t="s">
        <v>44</v>
      </c>
      <c r="D241" s="342" t="s">
        <v>44</v>
      </c>
      <c r="E241" s="341" t="s">
        <v>44</v>
      </c>
      <c r="F241" s="341" t="s">
        <v>44</v>
      </c>
    </row>
    <row r="242">
      <c r="A242" s="341" t="s">
        <v>44</v>
      </c>
      <c r="B242" s="341" t="s">
        <v>44</v>
      </c>
      <c r="C242" s="341" t="s">
        <v>44</v>
      </c>
      <c r="D242" s="342" t="s">
        <v>44</v>
      </c>
      <c r="E242" s="341" t="s">
        <v>44</v>
      </c>
      <c r="F242" s="341" t="s">
        <v>44</v>
      </c>
    </row>
    <row r="243">
      <c r="A243" s="341" t="s">
        <v>44</v>
      </c>
      <c r="B243" s="341" t="s">
        <v>44</v>
      </c>
      <c r="C243" s="341" t="s">
        <v>44</v>
      </c>
      <c r="D243" s="342" t="s">
        <v>44</v>
      </c>
      <c r="E243" s="341" t="s">
        <v>44</v>
      </c>
      <c r="F243" s="341" t="s">
        <v>44</v>
      </c>
    </row>
    <row r="244">
      <c r="A244" s="341" t="s">
        <v>44</v>
      </c>
      <c r="B244" s="341" t="s">
        <v>44</v>
      </c>
      <c r="C244" s="341" t="s">
        <v>44</v>
      </c>
      <c r="D244" s="342" t="s">
        <v>44</v>
      </c>
      <c r="E244" s="341" t="s">
        <v>44</v>
      </c>
      <c r="F244" s="341" t="s">
        <v>44</v>
      </c>
    </row>
    <row r="245">
      <c r="A245" s="341" t="s">
        <v>44</v>
      </c>
      <c r="B245" s="341" t="s">
        <v>44</v>
      </c>
      <c r="C245" s="341" t="s">
        <v>44</v>
      </c>
      <c r="D245" s="342" t="s">
        <v>44</v>
      </c>
      <c r="E245" s="341" t="s">
        <v>44</v>
      </c>
      <c r="F245" s="341" t="s">
        <v>44</v>
      </c>
    </row>
    <row r="246">
      <c r="A246" s="341" t="s">
        <v>44</v>
      </c>
      <c r="B246" s="341" t="s">
        <v>44</v>
      </c>
      <c r="C246" s="341" t="s">
        <v>44</v>
      </c>
      <c r="D246" s="342" t="s">
        <v>44</v>
      </c>
      <c r="E246" s="341" t="s">
        <v>44</v>
      </c>
      <c r="F246" s="341" t="s">
        <v>44</v>
      </c>
    </row>
    <row r="247">
      <c r="A247" s="341" t="s">
        <v>44</v>
      </c>
      <c r="B247" s="341" t="s">
        <v>44</v>
      </c>
      <c r="C247" s="341" t="s">
        <v>44</v>
      </c>
      <c r="D247" s="342" t="s">
        <v>44</v>
      </c>
      <c r="E247" s="341" t="s">
        <v>44</v>
      </c>
      <c r="F247" s="341" t="s">
        <v>44</v>
      </c>
    </row>
    <row r="248">
      <c r="A248" s="341" t="s">
        <v>44</v>
      </c>
      <c r="B248" s="341" t="s">
        <v>44</v>
      </c>
      <c r="C248" s="341" t="s">
        <v>44</v>
      </c>
      <c r="D248" s="342" t="s">
        <v>44</v>
      </c>
      <c r="E248" s="341" t="s">
        <v>44</v>
      </c>
      <c r="F248" s="341" t="s">
        <v>44</v>
      </c>
    </row>
    <row r="249">
      <c r="A249" s="341" t="s">
        <v>44</v>
      </c>
      <c r="B249" s="341" t="s">
        <v>44</v>
      </c>
      <c r="C249" s="341" t="s">
        <v>44</v>
      </c>
      <c r="D249" s="342" t="s">
        <v>44</v>
      </c>
      <c r="E249" s="341" t="s">
        <v>44</v>
      </c>
      <c r="F249" s="341" t="s">
        <v>44</v>
      </c>
    </row>
    <row r="250">
      <c r="A250" s="341" t="s">
        <v>44</v>
      </c>
      <c r="B250" s="341" t="s">
        <v>44</v>
      </c>
      <c r="C250" s="341" t="s">
        <v>44</v>
      </c>
      <c r="D250" s="342" t="s">
        <v>44</v>
      </c>
      <c r="E250" s="341" t="s">
        <v>44</v>
      </c>
      <c r="F250" s="341" t="s">
        <v>44</v>
      </c>
    </row>
    <row r="251">
      <c r="A251" s="341" t="s">
        <v>44</v>
      </c>
      <c r="B251" s="341" t="s">
        <v>44</v>
      </c>
      <c r="C251" s="341" t="s">
        <v>44</v>
      </c>
      <c r="D251" s="342" t="s">
        <v>44</v>
      </c>
      <c r="E251" s="341" t="s">
        <v>44</v>
      </c>
      <c r="F251" s="341" t="s">
        <v>44</v>
      </c>
    </row>
    <row r="252">
      <c r="A252" s="341" t="s">
        <v>44</v>
      </c>
      <c r="B252" s="341" t="s">
        <v>44</v>
      </c>
      <c r="C252" s="341" t="s">
        <v>44</v>
      </c>
      <c r="D252" s="342" t="s">
        <v>44</v>
      </c>
      <c r="E252" s="341" t="s">
        <v>44</v>
      </c>
      <c r="F252" s="341" t="s">
        <v>44</v>
      </c>
    </row>
    <row r="253">
      <c r="A253" s="341" t="s">
        <v>44</v>
      </c>
      <c r="B253" s="341" t="s">
        <v>44</v>
      </c>
      <c r="C253" s="341" t="s">
        <v>44</v>
      </c>
      <c r="D253" s="342" t="s">
        <v>44</v>
      </c>
      <c r="E253" s="341" t="s">
        <v>44</v>
      </c>
      <c r="F253" s="341" t="s">
        <v>44</v>
      </c>
    </row>
    <row r="254">
      <c r="A254" s="341" t="s">
        <v>44</v>
      </c>
      <c r="B254" s="341" t="s">
        <v>44</v>
      </c>
      <c r="C254" s="341" t="s">
        <v>44</v>
      </c>
      <c r="D254" s="342" t="s">
        <v>44</v>
      </c>
      <c r="E254" s="341" t="s">
        <v>44</v>
      </c>
      <c r="F254" s="341" t="s">
        <v>44</v>
      </c>
    </row>
    <row r="255">
      <c r="A255" s="341" t="s">
        <v>44</v>
      </c>
      <c r="B255" s="341" t="s">
        <v>44</v>
      </c>
      <c r="C255" s="341" t="s">
        <v>44</v>
      </c>
      <c r="D255" s="342" t="s">
        <v>44</v>
      </c>
      <c r="E255" s="341" t="s">
        <v>44</v>
      </c>
      <c r="F255" s="341" t="s">
        <v>44</v>
      </c>
    </row>
    <row r="256">
      <c r="A256" s="341" t="s">
        <v>44</v>
      </c>
      <c r="B256" s="341" t="s">
        <v>44</v>
      </c>
      <c r="C256" s="341" t="s">
        <v>44</v>
      </c>
      <c r="D256" s="342" t="s">
        <v>44</v>
      </c>
      <c r="E256" s="341" t="s">
        <v>44</v>
      </c>
      <c r="F256" s="341" t="s">
        <v>44</v>
      </c>
    </row>
    <row r="257">
      <c r="A257" s="341" t="s">
        <v>44</v>
      </c>
      <c r="B257" s="341" t="s">
        <v>44</v>
      </c>
      <c r="C257" s="341" t="s">
        <v>44</v>
      </c>
      <c r="D257" s="342" t="s">
        <v>44</v>
      </c>
      <c r="E257" s="341" t="s">
        <v>44</v>
      </c>
      <c r="F257" s="341" t="s">
        <v>44</v>
      </c>
    </row>
    <row r="258">
      <c r="A258" s="341" t="s">
        <v>44</v>
      </c>
      <c r="B258" s="341" t="s">
        <v>44</v>
      </c>
      <c r="C258" s="341" t="s">
        <v>44</v>
      </c>
      <c r="D258" s="342" t="s">
        <v>44</v>
      </c>
      <c r="E258" s="341" t="s">
        <v>44</v>
      </c>
      <c r="F258" s="341" t="s">
        <v>44</v>
      </c>
    </row>
    <row r="259">
      <c r="A259" s="341" t="s">
        <v>44</v>
      </c>
      <c r="B259" s="341" t="s">
        <v>44</v>
      </c>
      <c r="C259" s="341" t="s">
        <v>44</v>
      </c>
      <c r="D259" s="342" t="s">
        <v>44</v>
      </c>
      <c r="E259" s="341" t="s">
        <v>44</v>
      </c>
      <c r="F259" s="341" t="s">
        <v>44</v>
      </c>
    </row>
    <row r="260">
      <c r="A260" s="341" t="s">
        <v>44</v>
      </c>
      <c r="B260" s="341" t="s">
        <v>44</v>
      </c>
      <c r="C260" s="341" t="s">
        <v>44</v>
      </c>
      <c r="D260" s="342" t="s">
        <v>44</v>
      </c>
      <c r="E260" s="341" t="s">
        <v>44</v>
      </c>
      <c r="F260" s="341" t="s">
        <v>44</v>
      </c>
    </row>
    <row r="261">
      <c r="A261" s="341" t="s">
        <v>44</v>
      </c>
      <c r="B261" s="341" t="s">
        <v>44</v>
      </c>
      <c r="C261" s="341" t="s">
        <v>44</v>
      </c>
      <c r="D261" s="342" t="s">
        <v>44</v>
      </c>
      <c r="E261" s="341" t="s">
        <v>44</v>
      </c>
      <c r="F261" s="341" t="s">
        <v>44</v>
      </c>
    </row>
    <row r="262">
      <c r="A262" s="341" t="s">
        <v>44</v>
      </c>
      <c r="B262" s="341" t="s">
        <v>44</v>
      </c>
      <c r="C262" s="341" t="s">
        <v>44</v>
      </c>
      <c r="D262" s="342" t="s">
        <v>44</v>
      </c>
      <c r="E262" s="341" t="s">
        <v>44</v>
      </c>
      <c r="F262" s="341" t="s">
        <v>44</v>
      </c>
    </row>
    <row r="263">
      <c r="A263" s="341" t="s">
        <v>44</v>
      </c>
      <c r="B263" s="341" t="s">
        <v>44</v>
      </c>
      <c r="C263" s="341" t="s">
        <v>44</v>
      </c>
      <c r="D263" s="342" t="s">
        <v>44</v>
      </c>
      <c r="E263" s="341" t="s">
        <v>44</v>
      </c>
      <c r="F263" s="341" t="s">
        <v>44</v>
      </c>
    </row>
    <row r="264">
      <c r="A264" s="341" t="s">
        <v>44</v>
      </c>
      <c r="B264" s="341" t="s">
        <v>44</v>
      </c>
      <c r="C264" s="341" t="s">
        <v>44</v>
      </c>
      <c r="D264" s="342" t="s">
        <v>44</v>
      </c>
      <c r="E264" s="341" t="s">
        <v>44</v>
      </c>
      <c r="F264" s="341" t="s">
        <v>44</v>
      </c>
    </row>
    <row r="265">
      <c r="A265" s="341" t="s">
        <v>44</v>
      </c>
      <c r="B265" s="341" t="s">
        <v>44</v>
      </c>
      <c r="C265" s="341" t="s">
        <v>44</v>
      </c>
      <c r="D265" s="342" t="s">
        <v>44</v>
      </c>
      <c r="E265" s="341" t="s">
        <v>44</v>
      </c>
      <c r="F265" s="341" t="s">
        <v>44</v>
      </c>
    </row>
    <row r="266">
      <c r="A266" s="341" t="s">
        <v>44</v>
      </c>
      <c r="B266" s="341" t="s">
        <v>44</v>
      </c>
      <c r="C266" s="341" t="s">
        <v>44</v>
      </c>
      <c r="D266" s="342" t="s">
        <v>44</v>
      </c>
      <c r="E266" s="341" t="s">
        <v>44</v>
      </c>
      <c r="F266" s="341" t="s">
        <v>44</v>
      </c>
    </row>
    <row r="267">
      <c r="A267" s="341" t="s">
        <v>44</v>
      </c>
      <c r="B267" s="341" t="s">
        <v>44</v>
      </c>
      <c r="C267" s="341" t="s">
        <v>44</v>
      </c>
      <c r="D267" s="342" t="s">
        <v>44</v>
      </c>
      <c r="E267" s="341" t="s">
        <v>44</v>
      </c>
      <c r="F267" s="341" t="s">
        <v>44</v>
      </c>
    </row>
    <row r="268">
      <c r="A268" s="341" t="s">
        <v>44</v>
      </c>
      <c r="B268" s="341" t="s">
        <v>44</v>
      </c>
      <c r="C268" s="341" t="s">
        <v>44</v>
      </c>
      <c r="D268" s="342" t="s">
        <v>44</v>
      </c>
      <c r="E268" s="341" t="s">
        <v>44</v>
      </c>
      <c r="F268" s="341" t="s">
        <v>44</v>
      </c>
    </row>
    <row r="269">
      <c r="A269" s="341" t="s">
        <v>44</v>
      </c>
      <c r="B269" s="341" t="s">
        <v>44</v>
      </c>
      <c r="C269" s="341" t="s">
        <v>44</v>
      </c>
      <c r="D269" s="342" t="s">
        <v>44</v>
      </c>
      <c r="E269" s="341" t="s">
        <v>44</v>
      </c>
      <c r="F269" s="341" t="s">
        <v>44</v>
      </c>
    </row>
    <row r="270">
      <c r="A270" s="341" t="s">
        <v>44</v>
      </c>
      <c r="B270" s="341" t="s">
        <v>44</v>
      </c>
      <c r="C270" s="341" t="s">
        <v>44</v>
      </c>
      <c r="D270" s="342" t="s">
        <v>44</v>
      </c>
      <c r="E270" s="341" t="s">
        <v>44</v>
      </c>
      <c r="F270" s="341" t="s">
        <v>44</v>
      </c>
    </row>
    <row r="271">
      <c r="A271" s="341" t="s">
        <v>44</v>
      </c>
      <c r="B271" s="341" t="s">
        <v>44</v>
      </c>
      <c r="C271" s="341" t="s">
        <v>44</v>
      </c>
      <c r="D271" s="342" t="s">
        <v>44</v>
      </c>
      <c r="E271" s="341" t="s">
        <v>44</v>
      </c>
      <c r="F271" s="341" t="s">
        <v>44</v>
      </c>
    </row>
    <row r="272">
      <c r="A272" s="341" t="s">
        <v>44</v>
      </c>
      <c r="B272" s="341" t="s">
        <v>44</v>
      </c>
      <c r="C272" s="341" t="s">
        <v>44</v>
      </c>
      <c r="D272" s="342" t="s">
        <v>44</v>
      </c>
      <c r="E272" s="341" t="s">
        <v>44</v>
      </c>
      <c r="F272" s="341" t="s">
        <v>44</v>
      </c>
    </row>
    <row r="273">
      <c r="A273" s="341" t="s">
        <v>44</v>
      </c>
      <c r="B273" s="341" t="s">
        <v>44</v>
      </c>
      <c r="C273" s="341" t="s">
        <v>44</v>
      </c>
      <c r="D273" s="342" t="s">
        <v>44</v>
      </c>
      <c r="E273" s="341" t="s">
        <v>44</v>
      </c>
      <c r="F273" s="341" t="s">
        <v>44</v>
      </c>
    </row>
    <row r="274">
      <c r="A274" s="341" t="s">
        <v>44</v>
      </c>
      <c r="B274" s="341" t="s">
        <v>44</v>
      </c>
      <c r="C274" s="341" t="s">
        <v>44</v>
      </c>
      <c r="D274" s="342" t="s">
        <v>44</v>
      </c>
      <c r="E274" s="341" t="s">
        <v>44</v>
      </c>
      <c r="F274" s="341" t="s">
        <v>44</v>
      </c>
    </row>
    <row r="275">
      <c r="A275" s="341" t="s">
        <v>44</v>
      </c>
      <c r="B275" s="341" t="s">
        <v>44</v>
      </c>
      <c r="C275" s="341" t="s">
        <v>44</v>
      </c>
      <c r="D275" s="342" t="s">
        <v>44</v>
      </c>
      <c r="E275" s="341" t="s">
        <v>44</v>
      </c>
      <c r="F275" s="341" t="s">
        <v>44</v>
      </c>
    </row>
    <row r="276">
      <c r="A276" s="341" t="s">
        <v>44</v>
      </c>
      <c r="B276" s="341" t="s">
        <v>44</v>
      </c>
      <c r="C276" s="341" t="s">
        <v>44</v>
      </c>
      <c r="D276" s="342" t="s">
        <v>44</v>
      </c>
      <c r="E276" s="341" t="s">
        <v>44</v>
      </c>
      <c r="F276" s="341" t="s">
        <v>44</v>
      </c>
    </row>
    <row r="277">
      <c r="A277" s="341" t="s">
        <v>44</v>
      </c>
      <c r="B277" s="341" t="s">
        <v>44</v>
      </c>
      <c r="C277" s="341" t="s">
        <v>44</v>
      </c>
      <c r="D277" s="342" t="s">
        <v>44</v>
      </c>
      <c r="E277" s="341" t="s">
        <v>44</v>
      </c>
      <c r="F277" s="341" t="s">
        <v>44</v>
      </c>
    </row>
    <row r="278">
      <c r="A278" s="341" t="s">
        <v>44</v>
      </c>
      <c r="B278" s="341" t="s">
        <v>44</v>
      </c>
      <c r="C278" s="341" t="s">
        <v>44</v>
      </c>
      <c r="D278" s="342" t="s">
        <v>44</v>
      </c>
      <c r="E278" s="341" t="s">
        <v>44</v>
      </c>
      <c r="F278" s="341" t="s">
        <v>44</v>
      </c>
    </row>
    <row r="279">
      <c r="A279" s="341" t="s">
        <v>44</v>
      </c>
      <c r="B279" s="341" t="s">
        <v>44</v>
      </c>
      <c r="C279" s="341" t="s">
        <v>44</v>
      </c>
      <c r="D279" s="342" t="s">
        <v>44</v>
      </c>
      <c r="E279" s="341" t="s">
        <v>44</v>
      </c>
      <c r="F279" s="341" t="s">
        <v>44</v>
      </c>
    </row>
    <row r="280">
      <c r="A280" s="341" t="s">
        <v>44</v>
      </c>
      <c r="B280" s="341" t="s">
        <v>44</v>
      </c>
      <c r="C280" s="341" t="s">
        <v>44</v>
      </c>
      <c r="D280" s="342" t="s">
        <v>44</v>
      </c>
      <c r="E280" s="341" t="s">
        <v>44</v>
      </c>
      <c r="F280" s="341" t="s">
        <v>44</v>
      </c>
    </row>
    <row r="281">
      <c r="A281" s="341" t="s">
        <v>44</v>
      </c>
      <c r="B281" s="341" t="s">
        <v>44</v>
      </c>
      <c r="C281" s="341" t="s">
        <v>44</v>
      </c>
      <c r="D281" s="342" t="s">
        <v>44</v>
      </c>
      <c r="E281" s="341" t="s">
        <v>44</v>
      </c>
      <c r="F281" s="341" t="s">
        <v>44</v>
      </c>
    </row>
    <row r="282">
      <c r="A282" s="341" t="s">
        <v>44</v>
      </c>
      <c r="B282" s="341" t="s">
        <v>44</v>
      </c>
      <c r="C282" s="341" t="s">
        <v>44</v>
      </c>
      <c r="D282" s="342" t="s">
        <v>44</v>
      </c>
      <c r="E282" s="341" t="s">
        <v>44</v>
      </c>
      <c r="F282" s="341" t="s">
        <v>44</v>
      </c>
    </row>
    <row r="283">
      <c r="A283" s="341" t="s">
        <v>44</v>
      </c>
      <c r="B283" s="341" t="s">
        <v>44</v>
      </c>
      <c r="C283" s="341" t="s">
        <v>44</v>
      </c>
      <c r="D283" s="342" t="s">
        <v>44</v>
      </c>
      <c r="E283" s="341" t="s">
        <v>44</v>
      </c>
      <c r="F283" s="341" t="s">
        <v>44</v>
      </c>
    </row>
    <row r="284">
      <c r="A284" s="341" t="s">
        <v>44</v>
      </c>
      <c r="B284" s="341" t="s">
        <v>44</v>
      </c>
      <c r="C284" s="341" t="s">
        <v>44</v>
      </c>
      <c r="D284" s="342" t="s">
        <v>44</v>
      </c>
      <c r="E284" s="341" t="s">
        <v>44</v>
      </c>
      <c r="F284" s="341" t="s">
        <v>44</v>
      </c>
    </row>
    <row r="285">
      <c r="A285" s="341" t="s">
        <v>44</v>
      </c>
      <c r="B285" s="341" t="s">
        <v>44</v>
      </c>
      <c r="C285" s="341" t="s">
        <v>44</v>
      </c>
      <c r="D285" s="342" t="s">
        <v>44</v>
      </c>
      <c r="E285" s="341" t="s">
        <v>44</v>
      </c>
      <c r="F285" s="341" t="s">
        <v>44</v>
      </c>
    </row>
    <row r="286">
      <c r="A286" s="341" t="s">
        <v>44</v>
      </c>
      <c r="B286" s="341" t="s">
        <v>44</v>
      </c>
      <c r="C286" s="341" t="s">
        <v>44</v>
      </c>
      <c r="D286" s="342" t="s">
        <v>44</v>
      </c>
      <c r="E286" s="341" t="s">
        <v>44</v>
      </c>
      <c r="F286" s="341" t="s">
        <v>44</v>
      </c>
    </row>
    <row r="287">
      <c r="A287" s="341" t="s">
        <v>44</v>
      </c>
      <c r="B287" s="341" t="s">
        <v>44</v>
      </c>
      <c r="C287" s="341" t="s">
        <v>44</v>
      </c>
      <c r="D287" s="342" t="s">
        <v>44</v>
      </c>
      <c r="E287" s="341" t="s">
        <v>44</v>
      </c>
      <c r="F287" s="341" t="s">
        <v>44</v>
      </c>
    </row>
    <row r="288">
      <c r="A288" s="341" t="s">
        <v>44</v>
      </c>
      <c r="B288" s="341" t="s">
        <v>44</v>
      </c>
      <c r="C288" s="341" t="s">
        <v>44</v>
      </c>
      <c r="D288" s="342" t="s">
        <v>44</v>
      </c>
      <c r="E288" s="341" t="s">
        <v>44</v>
      </c>
      <c r="F288" s="341" t="s">
        <v>44</v>
      </c>
    </row>
    <row r="289">
      <c r="A289" s="341" t="s">
        <v>44</v>
      </c>
      <c r="B289" s="341" t="s">
        <v>44</v>
      </c>
      <c r="C289" s="341" t="s">
        <v>44</v>
      </c>
      <c r="D289" s="342" t="s">
        <v>44</v>
      </c>
      <c r="E289" s="341" t="s">
        <v>44</v>
      </c>
      <c r="F289" s="341" t="s">
        <v>44</v>
      </c>
    </row>
    <row r="290">
      <c r="A290" s="341" t="s">
        <v>44</v>
      </c>
      <c r="B290" s="341" t="s">
        <v>44</v>
      </c>
      <c r="C290" s="341" t="s">
        <v>44</v>
      </c>
      <c r="D290" s="342" t="s">
        <v>44</v>
      </c>
      <c r="E290" s="341" t="s">
        <v>44</v>
      </c>
      <c r="F290" s="341" t="s">
        <v>44</v>
      </c>
    </row>
    <row r="291">
      <c r="A291" s="341" t="s">
        <v>44</v>
      </c>
      <c r="B291" s="341" t="s">
        <v>44</v>
      </c>
      <c r="C291" s="341" t="s">
        <v>44</v>
      </c>
      <c r="D291" s="342" t="s">
        <v>44</v>
      </c>
      <c r="E291" s="341" t="s">
        <v>44</v>
      </c>
      <c r="F291" s="341" t="s">
        <v>44</v>
      </c>
    </row>
    <row r="292">
      <c r="A292" s="341" t="s">
        <v>44</v>
      </c>
      <c r="B292" s="341" t="s">
        <v>44</v>
      </c>
      <c r="C292" s="341" t="s">
        <v>44</v>
      </c>
      <c r="D292" s="342" t="s">
        <v>44</v>
      </c>
      <c r="E292" s="341" t="s">
        <v>44</v>
      </c>
      <c r="F292" s="341" t="s">
        <v>44</v>
      </c>
    </row>
    <row r="293">
      <c r="A293" s="341" t="s">
        <v>44</v>
      </c>
      <c r="B293" s="341" t="s">
        <v>44</v>
      </c>
      <c r="C293" s="341" t="s">
        <v>44</v>
      </c>
      <c r="D293" s="342" t="s">
        <v>44</v>
      </c>
      <c r="E293" s="341" t="s">
        <v>44</v>
      </c>
      <c r="F293" s="341" t="s">
        <v>44</v>
      </c>
    </row>
    <row r="294">
      <c r="A294" s="341" t="s">
        <v>44</v>
      </c>
      <c r="B294" s="341" t="s">
        <v>44</v>
      </c>
      <c r="C294" s="341" t="s">
        <v>44</v>
      </c>
      <c r="D294" s="342" t="s">
        <v>44</v>
      </c>
      <c r="E294" s="341" t="s">
        <v>44</v>
      </c>
      <c r="F294" s="341" t="s">
        <v>44</v>
      </c>
    </row>
    <row r="295">
      <c r="A295" s="341" t="s">
        <v>44</v>
      </c>
      <c r="B295" s="341" t="s">
        <v>44</v>
      </c>
      <c r="C295" s="341" t="s">
        <v>44</v>
      </c>
      <c r="D295" s="342" t="s">
        <v>44</v>
      </c>
      <c r="E295" s="341" t="s">
        <v>44</v>
      </c>
      <c r="F295" s="341" t="s">
        <v>44</v>
      </c>
    </row>
    <row r="296">
      <c r="A296" s="341" t="s">
        <v>44</v>
      </c>
      <c r="B296" s="341" t="s">
        <v>44</v>
      </c>
      <c r="C296" s="341" t="s">
        <v>44</v>
      </c>
      <c r="D296" s="342" t="s">
        <v>44</v>
      </c>
      <c r="E296" s="341" t="s">
        <v>44</v>
      </c>
      <c r="F296" s="341" t="s">
        <v>44</v>
      </c>
    </row>
    <row r="297">
      <c r="A297" s="341" t="s">
        <v>44</v>
      </c>
      <c r="B297" s="341" t="s">
        <v>44</v>
      </c>
      <c r="C297" s="341" t="s">
        <v>44</v>
      </c>
      <c r="D297" s="342" t="s">
        <v>44</v>
      </c>
      <c r="E297" s="341" t="s">
        <v>44</v>
      </c>
      <c r="F297" s="341" t="s">
        <v>44</v>
      </c>
    </row>
    <row r="298">
      <c r="A298" s="341" t="s">
        <v>44</v>
      </c>
      <c r="B298" s="341" t="s">
        <v>44</v>
      </c>
      <c r="C298" s="341" t="s">
        <v>44</v>
      </c>
      <c r="D298" s="342" t="s">
        <v>44</v>
      </c>
      <c r="E298" s="341" t="s">
        <v>44</v>
      </c>
      <c r="F298" s="341" t="s">
        <v>44</v>
      </c>
    </row>
    <row r="299">
      <c r="A299" s="341" t="s">
        <v>44</v>
      </c>
      <c r="B299" s="341" t="s">
        <v>44</v>
      </c>
      <c r="C299" s="341" t="s">
        <v>44</v>
      </c>
      <c r="D299" s="342" t="s">
        <v>44</v>
      </c>
      <c r="E299" s="341" t="s">
        <v>44</v>
      </c>
      <c r="F299" s="341" t="s">
        <v>44</v>
      </c>
    </row>
    <row r="300">
      <c r="A300" s="341" t="s">
        <v>44</v>
      </c>
      <c r="B300" s="341" t="s">
        <v>44</v>
      </c>
      <c r="C300" s="341" t="s">
        <v>44</v>
      </c>
      <c r="D300" s="342" t="s">
        <v>44</v>
      </c>
      <c r="E300" s="341" t="s">
        <v>44</v>
      </c>
      <c r="F300" s="341" t="s">
        <v>44</v>
      </c>
    </row>
    <row r="301">
      <c r="A301" s="341" t="s">
        <v>44</v>
      </c>
      <c r="B301" s="341" t="s">
        <v>44</v>
      </c>
      <c r="C301" s="341" t="s">
        <v>44</v>
      </c>
      <c r="D301" s="342" t="s">
        <v>44</v>
      </c>
      <c r="E301" s="341" t="s">
        <v>44</v>
      </c>
      <c r="F301" s="341" t="s">
        <v>44</v>
      </c>
    </row>
    <row r="302">
      <c r="A302" s="341" t="s">
        <v>44</v>
      </c>
      <c r="B302" s="341" t="s">
        <v>44</v>
      </c>
      <c r="C302" s="341" t="s">
        <v>44</v>
      </c>
      <c r="D302" s="342" t="s">
        <v>44</v>
      </c>
      <c r="E302" s="341" t="s">
        <v>44</v>
      </c>
      <c r="F302" s="341" t="s">
        <v>44</v>
      </c>
    </row>
    <row r="303">
      <c r="A303" s="341" t="s">
        <v>44</v>
      </c>
      <c r="B303" s="341" t="s">
        <v>44</v>
      </c>
      <c r="C303" s="341" t="s">
        <v>44</v>
      </c>
      <c r="D303" s="342" t="s">
        <v>44</v>
      </c>
      <c r="E303" s="341" t="s">
        <v>44</v>
      </c>
      <c r="F303" s="341" t="s">
        <v>44</v>
      </c>
    </row>
    <row r="304">
      <c r="A304" s="341" t="s">
        <v>44</v>
      </c>
      <c r="B304" s="341" t="s">
        <v>44</v>
      </c>
      <c r="C304" s="341" t="s">
        <v>44</v>
      </c>
      <c r="D304" s="342" t="s">
        <v>44</v>
      </c>
      <c r="E304" s="341" t="s">
        <v>44</v>
      </c>
      <c r="F304" s="341" t="s">
        <v>44</v>
      </c>
    </row>
    <row r="305">
      <c r="A305" s="341" t="s">
        <v>44</v>
      </c>
      <c r="B305" s="341" t="s">
        <v>44</v>
      </c>
      <c r="C305" s="341" t="s">
        <v>44</v>
      </c>
      <c r="D305" s="342" t="s">
        <v>44</v>
      </c>
      <c r="E305" s="341" t="s">
        <v>44</v>
      </c>
      <c r="F305" s="341" t="s">
        <v>44</v>
      </c>
    </row>
    <row r="306">
      <c r="A306" s="341" t="s">
        <v>44</v>
      </c>
      <c r="B306" s="341" t="s">
        <v>44</v>
      </c>
      <c r="C306" s="341" t="s">
        <v>44</v>
      </c>
      <c r="D306" s="342" t="s">
        <v>44</v>
      </c>
      <c r="E306" s="341" t="s">
        <v>44</v>
      </c>
      <c r="F306" s="341" t="s">
        <v>44</v>
      </c>
    </row>
    <row r="307">
      <c r="A307" s="341" t="s">
        <v>44</v>
      </c>
      <c r="B307" s="341" t="s">
        <v>44</v>
      </c>
      <c r="C307" s="341" t="s">
        <v>44</v>
      </c>
      <c r="D307" s="342" t="s">
        <v>44</v>
      </c>
      <c r="E307" s="341" t="s">
        <v>44</v>
      </c>
      <c r="F307" s="341" t="s">
        <v>44</v>
      </c>
    </row>
    <row r="308">
      <c r="A308" s="341" t="s">
        <v>44</v>
      </c>
      <c r="B308" s="341" t="s">
        <v>44</v>
      </c>
      <c r="C308" s="341" t="s">
        <v>44</v>
      </c>
      <c r="D308" s="342" t="s">
        <v>44</v>
      </c>
      <c r="E308" s="341" t="s">
        <v>44</v>
      </c>
      <c r="F308" s="341" t="s">
        <v>44</v>
      </c>
    </row>
    <row r="309">
      <c r="A309" s="341" t="s">
        <v>44</v>
      </c>
      <c r="B309" s="341" t="s">
        <v>44</v>
      </c>
      <c r="C309" s="341" t="s">
        <v>44</v>
      </c>
      <c r="D309" s="342" t="s">
        <v>44</v>
      </c>
      <c r="E309" s="341" t="s">
        <v>44</v>
      </c>
      <c r="F309" s="341" t="s">
        <v>44</v>
      </c>
    </row>
    <row r="310">
      <c r="A310" s="341" t="s">
        <v>44</v>
      </c>
      <c r="B310" s="341" t="s">
        <v>44</v>
      </c>
      <c r="C310" s="341" t="s">
        <v>44</v>
      </c>
      <c r="D310" s="342" t="s">
        <v>44</v>
      </c>
      <c r="E310" s="341" t="s">
        <v>44</v>
      </c>
      <c r="F310" s="341" t="s">
        <v>44</v>
      </c>
    </row>
    <row r="311">
      <c r="A311" s="341" t="s">
        <v>44</v>
      </c>
      <c r="B311" s="341" t="s">
        <v>44</v>
      </c>
      <c r="C311" s="341" t="s">
        <v>44</v>
      </c>
      <c r="D311" s="342" t="s">
        <v>44</v>
      </c>
      <c r="E311" s="341" t="s">
        <v>44</v>
      </c>
      <c r="F311" s="341" t="s">
        <v>44</v>
      </c>
    </row>
    <row r="312">
      <c r="A312" s="341" t="s">
        <v>44</v>
      </c>
      <c r="B312" s="341" t="s">
        <v>44</v>
      </c>
      <c r="C312" s="341" t="s">
        <v>44</v>
      </c>
      <c r="D312" s="342" t="s">
        <v>44</v>
      </c>
      <c r="E312" s="341" t="s">
        <v>44</v>
      </c>
      <c r="F312" s="341" t="s">
        <v>44</v>
      </c>
    </row>
    <row r="313">
      <c r="A313" s="341" t="s">
        <v>44</v>
      </c>
      <c r="B313" s="341" t="s">
        <v>44</v>
      </c>
      <c r="C313" s="341" t="s">
        <v>44</v>
      </c>
      <c r="D313" s="342" t="s">
        <v>44</v>
      </c>
      <c r="E313" s="341" t="s">
        <v>44</v>
      </c>
      <c r="F313" s="341" t="s">
        <v>44</v>
      </c>
    </row>
    <row r="314">
      <c r="A314" s="341" t="s">
        <v>44</v>
      </c>
      <c r="B314" s="341" t="s">
        <v>44</v>
      </c>
      <c r="C314" s="341" t="s">
        <v>44</v>
      </c>
      <c r="D314" s="342" t="s">
        <v>44</v>
      </c>
      <c r="E314" s="341" t="s">
        <v>44</v>
      </c>
      <c r="F314" s="341" t="s">
        <v>44</v>
      </c>
    </row>
    <row r="315">
      <c r="A315" s="341" t="s">
        <v>44</v>
      </c>
      <c r="B315" s="341" t="s">
        <v>44</v>
      </c>
      <c r="C315" s="341" t="s">
        <v>44</v>
      </c>
      <c r="D315" s="342" t="s">
        <v>44</v>
      </c>
      <c r="E315" s="341" t="s">
        <v>44</v>
      </c>
      <c r="F315" s="341" t="s">
        <v>44</v>
      </c>
    </row>
    <row r="316">
      <c r="A316" s="341" t="s">
        <v>44</v>
      </c>
      <c r="B316" s="341" t="s">
        <v>44</v>
      </c>
      <c r="C316" s="341" t="s">
        <v>44</v>
      </c>
      <c r="D316" s="342" t="s">
        <v>44</v>
      </c>
      <c r="E316" s="341" t="s">
        <v>44</v>
      </c>
      <c r="F316" s="341" t="s">
        <v>44</v>
      </c>
    </row>
    <row r="317">
      <c r="A317" s="341" t="s">
        <v>44</v>
      </c>
      <c r="B317" s="341" t="s">
        <v>44</v>
      </c>
      <c r="C317" s="341" t="s">
        <v>44</v>
      </c>
      <c r="D317" s="342" t="s">
        <v>44</v>
      </c>
      <c r="E317" s="341" t="s">
        <v>44</v>
      </c>
      <c r="F317" s="341" t="s">
        <v>44</v>
      </c>
    </row>
    <row r="318">
      <c r="A318" s="341" t="s">
        <v>44</v>
      </c>
      <c r="B318" s="341" t="s">
        <v>44</v>
      </c>
      <c r="C318" s="341" t="s">
        <v>44</v>
      </c>
      <c r="D318" s="342" t="s">
        <v>44</v>
      </c>
      <c r="E318" s="341" t="s">
        <v>44</v>
      </c>
      <c r="F318" s="341" t="s">
        <v>44</v>
      </c>
    </row>
    <row r="319">
      <c r="A319" s="341" t="s">
        <v>44</v>
      </c>
      <c r="B319" s="341" t="s">
        <v>44</v>
      </c>
      <c r="C319" s="341" t="s">
        <v>44</v>
      </c>
      <c r="D319" s="342" t="s">
        <v>44</v>
      </c>
      <c r="E319" s="341" t="s">
        <v>44</v>
      </c>
      <c r="F319" s="341" t="s">
        <v>44</v>
      </c>
    </row>
    <row r="320">
      <c r="A320" s="341" t="s">
        <v>44</v>
      </c>
      <c r="B320" s="341" t="s">
        <v>44</v>
      </c>
      <c r="C320" s="341" t="s">
        <v>44</v>
      </c>
      <c r="D320" s="342" t="s">
        <v>44</v>
      </c>
      <c r="E320" s="341" t="s">
        <v>44</v>
      </c>
      <c r="F320" s="341" t="s">
        <v>44</v>
      </c>
    </row>
    <row r="321">
      <c r="A321" s="341" t="s">
        <v>44</v>
      </c>
      <c r="B321" s="341" t="s">
        <v>44</v>
      </c>
      <c r="C321" s="341" t="s">
        <v>44</v>
      </c>
      <c r="D321" s="342" t="s">
        <v>44</v>
      </c>
      <c r="E321" s="341" t="s">
        <v>44</v>
      </c>
      <c r="F321" s="341" t="s">
        <v>44</v>
      </c>
    </row>
    <row r="322">
      <c r="A322" s="341" t="s">
        <v>44</v>
      </c>
      <c r="B322" s="341" t="s">
        <v>44</v>
      </c>
      <c r="C322" s="341" t="s">
        <v>44</v>
      </c>
      <c r="D322" s="342" t="s">
        <v>44</v>
      </c>
      <c r="E322" s="341" t="s">
        <v>44</v>
      </c>
      <c r="F322" s="341" t="s">
        <v>44</v>
      </c>
    </row>
    <row r="323">
      <c r="A323" s="341" t="s">
        <v>44</v>
      </c>
      <c r="B323" s="341" t="s">
        <v>44</v>
      </c>
      <c r="C323" s="341" t="s">
        <v>44</v>
      </c>
      <c r="D323" s="342" t="s">
        <v>44</v>
      </c>
      <c r="E323" s="341" t="s">
        <v>44</v>
      </c>
      <c r="F323" s="341" t="s">
        <v>44</v>
      </c>
    </row>
    <row r="324">
      <c r="A324" s="341" t="s">
        <v>44</v>
      </c>
      <c r="B324" s="341" t="s">
        <v>44</v>
      </c>
      <c r="C324" s="341" t="s">
        <v>44</v>
      </c>
      <c r="D324" s="342" t="s">
        <v>44</v>
      </c>
      <c r="E324" s="341" t="s">
        <v>44</v>
      </c>
      <c r="F324" s="341" t="s">
        <v>44</v>
      </c>
    </row>
    <row r="325">
      <c r="A325" s="341" t="s">
        <v>44</v>
      </c>
      <c r="B325" s="341" t="s">
        <v>44</v>
      </c>
      <c r="C325" s="341" t="s">
        <v>44</v>
      </c>
      <c r="D325" s="342" t="s">
        <v>44</v>
      </c>
      <c r="E325" s="341" t="s">
        <v>44</v>
      </c>
      <c r="F325" s="341" t="s">
        <v>44</v>
      </c>
    </row>
    <row r="326">
      <c r="A326" s="341" t="s">
        <v>44</v>
      </c>
      <c r="B326" s="341" t="s">
        <v>44</v>
      </c>
      <c r="C326" s="341" t="s">
        <v>44</v>
      </c>
      <c r="D326" s="342" t="s">
        <v>44</v>
      </c>
      <c r="E326" s="341" t="s">
        <v>44</v>
      </c>
      <c r="F326" s="341" t="s">
        <v>44</v>
      </c>
    </row>
    <row r="327">
      <c r="A327" s="341" t="s">
        <v>44</v>
      </c>
      <c r="B327" s="341" t="s">
        <v>44</v>
      </c>
      <c r="C327" s="341" t="s">
        <v>44</v>
      </c>
      <c r="D327" s="342" t="s">
        <v>44</v>
      </c>
      <c r="E327" s="341" t="s">
        <v>44</v>
      </c>
      <c r="F327" s="341" t="s">
        <v>44</v>
      </c>
    </row>
    <row r="328">
      <c r="A328" s="341" t="s">
        <v>44</v>
      </c>
      <c r="B328" s="341" t="s">
        <v>44</v>
      </c>
      <c r="C328" s="341" t="s">
        <v>44</v>
      </c>
      <c r="D328" s="342" t="s">
        <v>44</v>
      </c>
      <c r="E328" s="341" t="s">
        <v>44</v>
      </c>
      <c r="F328" s="341" t="s">
        <v>44</v>
      </c>
    </row>
    <row r="329">
      <c r="A329" s="341" t="s">
        <v>44</v>
      </c>
      <c r="B329" s="341" t="s">
        <v>44</v>
      </c>
      <c r="C329" s="341" t="s">
        <v>44</v>
      </c>
      <c r="D329" s="342" t="s">
        <v>44</v>
      </c>
      <c r="E329" s="341" t="s">
        <v>44</v>
      </c>
      <c r="F329" s="341" t="s">
        <v>44</v>
      </c>
    </row>
    <row r="330">
      <c r="A330" s="341" t="s">
        <v>44</v>
      </c>
      <c r="B330" s="341" t="s">
        <v>44</v>
      </c>
      <c r="C330" s="341" t="s">
        <v>44</v>
      </c>
      <c r="D330" s="342" t="s">
        <v>44</v>
      </c>
      <c r="E330" s="341" t="s">
        <v>44</v>
      </c>
      <c r="F330" s="341" t="s">
        <v>44</v>
      </c>
    </row>
    <row r="331">
      <c r="A331" s="341" t="s">
        <v>44</v>
      </c>
      <c r="B331" s="341" t="s">
        <v>44</v>
      </c>
      <c r="C331" s="341" t="s">
        <v>44</v>
      </c>
      <c r="D331" s="342" t="s">
        <v>44</v>
      </c>
      <c r="E331" s="341" t="s">
        <v>44</v>
      </c>
      <c r="F331" s="341" t="s">
        <v>44</v>
      </c>
    </row>
    <row r="332">
      <c r="A332" s="341" t="s">
        <v>44</v>
      </c>
      <c r="B332" s="341" t="s">
        <v>44</v>
      </c>
      <c r="C332" s="341" t="s">
        <v>44</v>
      </c>
      <c r="D332" s="342" t="s">
        <v>44</v>
      </c>
      <c r="E332" s="341" t="s">
        <v>44</v>
      </c>
      <c r="F332" s="341" t="s">
        <v>44</v>
      </c>
    </row>
    <row r="333">
      <c r="A333" s="341" t="s">
        <v>44</v>
      </c>
      <c r="B333" s="341" t="s">
        <v>44</v>
      </c>
      <c r="C333" s="341" t="s">
        <v>44</v>
      </c>
      <c r="D333" s="342" t="s">
        <v>44</v>
      </c>
      <c r="E333" s="341" t="s">
        <v>44</v>
      </c>
      <c r="F333" s="341" t="s">
        <v>44</v>
      </c>
    </row>
    <row r="334">
      <c r="A334" s="341" t="s">
        <v>44</v>
      </c>
      <c r="B334" s="341" t="s">
        <v>44</v>
      </c>
      <c r="C334" s="341" t="s">
        <v>44</v>
      </c>
      <c r="D334" s="342" t="s">
        <v>44</v>
      </c>
      <c r="E334" s="341" t="s">
        <v>44</v>
      </c>
      <c r="F334" s="341" t="s">
        <v>44</v>
      </c>
    </row>
    <row r="335">
      <c r="A335" s="341" t="s">
        <v>44</v>
      </c>
      <c r="B335" s="341" t="s">
        <v>44</v>
      </c>
      <c r="C335" s="341" t="s">
        <v>44</v>
      </c>
      <c r="D335" s="342" t="s">
        <v>44</v>
      </c>
      <c r="E335" s="341" t="s">
        <v>44</v>
      </c>
      <c r="F335" s="341" t="s">
        <v>44</v>
      </c>
    </row>
    <row r="336">
      <c r="A336" s="341" t="s">
        <v>44</v>
      </c>
      <c r="B336" s="341" t="s">
        <v>44</v>
      </c>
      <c r="C336" s="341" t="s">
        <v>44</v>
      </c>
      <c r="D336" s="342" t="s">
        <v>44</v>
      </c>
      <c r="E336" s="341" t="s">
        <v>44</v>
      </c>
      <c r="F336" s="341" t="s">
        <v>44</v>
      </c>
    </row>
    <row r="337">
      <c r="A337" s="341" t="s">
        <v>44</v>
      </c>
      <c r="B337" s="341" t="s">
        <v>44</v>
      </c>
      <c r="C337" s="341" t="s">
        <v>44</v>
      </c>
      <c r="D337" s="342" t="s">
        <v>44</v>
      </c>
      <c r="E337" s="341" t="s">
        <v>44</v>
      </c>
      <c r="F337" s="341" t="s">
        <v>44</v>
      </c>
    </row>
    <row r="338">
      <c r="A338" s="341" t="s">
        <v>44</v>
      </c>
      <c r="B338" s="341" t="s">
        <v>44</v>
      </c>
      <c r="C338" s="341" t="s">
        <v>44</v>
      </c>
      <c r="D338" s="342" t="s">
        <v>44</v>
      </c>
      <c r="E338" s="341" t="s">
        <v>44</v>
      </c>
      <c r="F338" s="341" t="s">
        <v>44</v>
      </c>
    </row>
    <row r="339">
      <c r="A339" s="341" t="s">
        <v>44</v>
      </c>
      <c r="B339" s="341" t="s">
        <v>44</v>
      </c>
      <c r="C339" s="341" t="s">
        <v>44</v>
      </c>
      <c r="D339" s="342" t="s">
        <v>44</v>
      </c>
      <c r="E339" s="341" t="s">
        <v>44</v>
      </c>
      <c r="F339" s="341" t="s">
        <v>44</v>
      </c>
    </row>
    <row r="340">
      <c r="A340" s="341" t="s">
        <v>44</v>
      </c>
      <c r="B340" s="341" t="s">
        <v>44</v>
      </c>
      <c r="C340" s="341" t="s">
        <v>44</v>
      </c>
      <c r="D340" s="342" t="s">
        <v>44</v>
      </c>
      <c r="E340" s="341" t="s">
        <v>44</v>
      </c>
      <c r="F340" s="341" t="s">
        <v>44</v>
      </c>
    </row>
    <row r="341">
      <c r="A341" s="341" t="s">
        <v>44</v>
      </c>
      <c r="B341" s="341" t="s">
        <v>44</v>
      </c>
      <c r="C341" s="341" t="s">
        <v>44</v>
      </c>
      <c r="D341" s="342" t="s">
        <v>44</v>
      </c>
      <c r="E341" s="341" t="s">
        <v>44</v>
      </c>
      <c r="F341" s="341" t="s">
        <v>44</v>
      </c>
    </row>
    <row r="342">
      <c r="A342" s="341" t="s">
        <v>44</v>
      </c>
      <c r="B342" s="341" t="s">
        <v>44</v>
      </c>
      <c r="C342" s="341" t="s">
        <v>44</v>
      </c>
      <c r="D342" s="342" t="s">
        <v>44</v>
      </c>
      <c r="E342" s="341" t="s">
        <v>44</v>
      </c>
      <c r="F342" s="341" t="s">
        <v>44</v>
      </c>
    </row>
    <row r="343">
      <c r="A343" s="341" t="s">
        <v>44</v>
      </c>
      <c r="B343" s="341" t="s">
        <v>44</v>
      </c>
      <c r="C343" s="341" t="s">
        <v>44</v>
      </c>
      <c r="D343" s="342" t="s">
        <v>44</v>
      </c>
      <c r="E343" s="341" t="s">
        <v>44</v>
      </c>
      <c r="F343" s="341" t="s">
        <v>44</v>
      </c>
    </row>
    <row r="344">
      <c r="A344" s="341" t="s">
        <v>44</v>
      </c>
      <c r="B344" s="341" t="s">
        <v>44</v>
      </c>
      <c r="C344" s="341" t="s">
        <v>44</v>
      </c>
      <c r="D344" s="342" t="s">
        <v>44</v>
      </c>
      <c r="E344" s="341" t="s">
        <v>44</v>
      </c>
      <c r="F344" s="341" t="s">
        <v>44</v>
      </c>
    </row>
    <row r="345">
      <c r="A345" s="341" t="s">
        <v>44</v>
      </c>
      <c r="B345" s="341" t="s">
        <v>44</v>
      </c>
      <c r="C345" s="341" t="s">
        <v>44</v>
      </c>
      <c r="D345" s="342" t="s">
        <v>44</v>
      </c>
      <c r="E345" s="341" t="s">
        <v>44</v>
      </c>
      <c r="F345" s="341" t="s">
        <v>44</v>
      </c>
    </row>
    <row r="346">
      <c r="A346" s="341" t="s">
        <v>44</v>
      </c>
      <c r="B346" s="341" t="s">
        <v>44</v>
      </c>
      <c r="C346" s="341" t="s">
        <v>44</v>
      </c>
      <c r="D346" s="342" t="s">
        <v>44</v>
      </c>
      <c r="E346" s="341" t="s">
        <v>44</v>
      </c>
      <c r="F346" s="341" t="s">
        <v>44</v>
      </c>
    </row>
    <row r="347">
      <c r="A347" s="341" t="s">
        <v>44</v>
      </c>
      <c r="B347" s="341" t="s">
        <v>44</v>
      </c>
      <c r="C347" s="341" t="s">
        <v>44</v>
      </c>
      <c r="D347" s="342" t="s">
        <v>44</v>
      </c>
      <c r="E347" s="341" t="s">
        <v>44</v>
      </c>
      <c r="F347" s="341" t="s">
        <v>44</v>
      </c>
    </row>
    <row r="348">
      <c r="A348" s="341" t="s">
        <v>44</v>
      </c>
      <c r="B348" s="341" t="s">
        <v>44</v>
      </c>
      <c r="C348" s="341" t="s">
        <v>44</v>
      </c>
      <c r="D348" s="342" t="s">
        <v>44</v>
      </c>
      <c r="E348" s="341" t="s">
        <v>44</v>
      </c>
      <c r="F348" s="341" t="s">
        <v>44</v>
      </c>
    </row>
    <row r="349">
      <c r="A349" s="341" t="s">
        <v>44</v>
      </c>
      <c r="B349" s="341" t="s">
        <v>44</v>
      </c>
      <c r="C349" s="341" t="s">
        <v>44</v>
      </c>
      <c r="D349" s="342" t="s">
        <v>44</v>
      </c>
      <c r="E349" s="341" t="s">
        <v>44</v>
      </c>
      <c r="F349" s="341" t="s">
        <v>44</v>
      </c>
    </row>
    <row r="350">
      <c r="A350" s="341" t="s">
        <v>44</v>
      </c>
      <c r="B350" s="341" t="s">
        <v>44</v>
      </c>
      <c r="C350" s="341" t="s">
        <v>44</v>
      </c>
      <c r="D350" s="342" t="s">
        <v>44</v>
      </c>
      <c r="E350" s="341" t="s">
        <v>44</v>
      </c>
      <c r="F350" s="341" t="s">
        <v>44</v>
      </c>
    </row>
    <row r="351">
      <c r="A351" s="341" t="s">
        <v>44</v>
      </c>
      <c r="B351" s="341" t="s">
        <v>44</v>
      </c>
      <c r="C351" s="341" t="s">
        <v>44</v>
      </c>
      <c r="D351" s="342" t="s">
        <v>44</v>
      </c>
      <c r="E351" s="341" t="s">
        <v>44</v>
      </c>
      <c r="F351" s="341" t="s">
        <v>44</v>
      </c>
    </row>
    <row r="352">
      <c r="A352" s="341" t="s">
        <v>44</v>
      </c>
      <c r="B352" s="341" t="s">
        <v>44</v>
      </c>
      <c r="C352" s="341" t="s">
        <v>44</v>
      </c>
      <c r="D352" s="342" t="s">
        <v>44</v>
      </c>
      <c r="E352" s="341" t="s">
        <v>44</v>
      </c>
      <c r="F352" s="341" t="s">
        <v>44</v>
      </c>
    </row>
    <row r="353">
      <c r="A353" s="341" t="s">
        <v>44</v>
      </c>
      <c r="B353" s="341" t="s">
        <v>44</v>
      </c>
      <c r="C353" s="341" t="s">
        <v>44</v>
      </c>
      <c r="D353" s="342" t="s">
        <v>44</v>
      </c>
      <c r="E353" s="341" t="s">
        <v>44</v>
      </c>
      <c r="F353" s="341" t="s">
        <v>44</v>
      </c>
    </row>
    <row r="354">
      <c r="A354" s="341" t="s">
        <v>44</v>
      </c>
      <c r="B354" s="341" t="s">
        <v>44</v>
      </c>
      <c r="C354" s="341" t="s">
        <v>44</v>
      </c>
      <c r="D354" s="342" t="s">
        <v>44</v>
      </c>
      <c r="E354" s="341" t="s">
        <v>44</v>
      </c>
      <c r="F354" s="341" t="s">
        <v>44</v>
      </c>
    </row>
    <row r="355">
      <c r="A355" s="341" t="s">
        <v>44</v>
      </c>
      <c r="B355" s="341" t="s">
        <v>44</v>
      </c>
      <c r="C355" s="341" t="s">
        <v>44</v>
      </c>
      <c r="D355" s="342" t="s">
        <v>44</v>
      </c>
      <c r="E355" s="341" t="s">
        <v>44</v>
      </c>
      <c r="F355" s="341" t="s">
        <v>44</v>
      </c>
    </row>
    <row r="356">
      <c r="A356" s="341" t="s">
        <v>44</v>
      </c>
      <c r="B356" s="341" t="s">
        <v>44</v>
      </c>
      <c r="C356" s="341" t="s">
        <v>44</v>
      </c>
      <c r="D356" s="342" t="s">
        <v>44</v>
      </c>
      <c r="E356" s="341" t="s">
        <v>44</v>
      </c>
      <c r="F356" s="341" t="s">
        <v>44</v>
      </c>
    </row>
    <row r="357">
      <c r="A357" s="341" t="s">
        <v>44</v>
      </c>
      <c r="B357" s="341" t="s">
        <v>44</v>
      </c>
      <c r="C357" s="341" t="s">
        <v>44</v>
      </c>
      <c r="D357" s="342" t="s">
        <v>44</v>
      </c>
      <c r="E357" s="341" t="s">
        <v>44</v>
      </c>
      <c r="F357" s="341" t="s">
        <v>44</v>
      </c>
    </row>
    <row r="358">
      <c r="A358" s="341" t="s">
        <v>44</v>
      </c>
      <c r="B358" s="341" t="s">
        <v>44</v>
      </c>
      <c r="C358" s="341" t="s">
        <v>44</v>
      </c>
      <c r="D358" s="342" t="s">
        <v>44</v>
      </c>
      <c r="E358" s="341" t="s">
        <v>44</v>
      </c>
      <c r="F358" s="341" t="s">
        <v>44</v>
      </c>
    </row>
    <row r="359">
      <c r="A359" s="341" t="s">
        <v>44</v>
      </c>
      <c r="B359" s="341" t="s">
        <v>44</v>
      </c>
      <c r="C359" s="341" t="s">
        <v>44</v>
      </c>
      <c r="D359" s="342" t="s">
        <v>44</v>
      </c>
      <c r="E359" s="341" t="s">
        <v>44</v>
      </c>
      <c r="F359" s="341" t="s">
        <v>44</v>
      </c>
    </row>
    <row r="360">
      <c r="A360" s="341" t="s">
        <v>44</v>
      </c>
      <c r="B360" s="341" t="s">
        <v>44</v>
      </c>
      <c r="C360" s="341" t="s">
        <v>44</v>
      </c>
      <c r="D360" s="342" t="s">
        <v>44</v>
      </c>
      <c r="E360" s="341" t="s">
        <v>44</v>
      </c>
      <c r="F360" s="341" t="s">
        <v>44</v>
      </c>
    </row>
    <row r="361">
      <c r="A361" s="341" t="s">
        <v>44</v>
      </c>
      <c r="B361" s="341" t="s">
        <v>44</v>
      </c>
      <c r="C361" s="341" t="s">
        <v>44</v>
      </c>
      <c r="D361" s="342" t="s">
        <v>44</v>
      </c>
      <c r="E361" s="341" t="s">
        <v>44</v>
      </c>
      <c r="F361" s="341" t="s">
        <v>44</v>
      </c>
    </row>
    <row r="362">
      <c r="A362" s="341" t="s">
        <v>44</v>
      </c>
      <c r="B362" s="341" t="s">
        <v>44</v>
      </c>
      <c r="C362" s="341" t="s">
        <v>44</v>
      </c>
      <c r="D362" s="342" t="s">
        <v>44</v>
      </c>
      <c r="E362" s="341" t="s">
        <v>44</v>
      </c>
      <c r="F362" s="341" t="s">
        <v>44</v>
      </c>
    </row>
    <row r="363">
      <c r="A363" s="341" t="s">
        <v>44</v>
      </c>
      <c r="B363" s="341" t="s">
        <v>44</v>
      </c>
      <c r="C363" s="341" t="s">
        <v>44</v>
      </c>
      <c r="D363" s="342" t="s">
        <v>44</v>
      </c>
      <c r="E363" s="341" t="s">
        <v>44</v>
      </c>
      <c r="F363" s="341" t="s">
        <v>44</v>
      </c>
    </row>
    <row r="364">
      <c r="A364" s="341" t="s">
        <v>44</v>
      </c>
      <c r="B364" s="341" t="s">
        <v>44</v>
      </c>
      <c r="C364" s="341" t="s">
        <v>44</v>
      </c>
      <c r="D364" s="342" t="s">
        <v>44</v>
      </c>
      <c r="E364" s="341" t="s">
        <v>44</v>
      </c>
      <c r="F364" s="341" t="s">
        <v>44</v>
      </c>
    </row>
    <row r="365">
      <c r="A365" s="341" t="s">
        <v>44</v>
      </c>
      <c r="B365" s="341" t="s">
        <v>44</v>
      </c>
      <c r="C365" s="341" t="s">
        <v>44</v>
      </c>
      <c r="D365" s="342" t="s">
        <v>44</v>
      </c>
      <c r="E365" s="341" t="s">
        <v>44</v>
      </c>
      <c r="F365" s="341" t="s">
        <v>44</v>
      </c>
    </row>
    <row r="366">
      <c r="A366" s="341" t="s">
        <v>44</v>
      </c>
      <c r="B366" s="341" t="s">
        <v>44</v>
      </c>
      <c r="C366" s="341" t="s">
        <v>44</v>
      </c>
      <c r="D366" s="342" t="s">
        <v>44</v>
      </c>
      <c r="E366" s="341" t="s">
        <v>44</v>
      </c>
      <c r="F366" s="341" t="s">
        <v>44</v>
      </c>
    </row>
    <row r="367">
      <c r="A367" s="341" t="s">
        <v>44</v>
      </c>
      <c r="B367" s="341" t="s">
        <v>44</v>
      </c>
      <c r="C367" s="341" t="s">
        <v>44</v>
      </c>
      <c r="D367" s="342" t="s">
        <v>44</v>
      </c>
      <c r="E367" s="341" t="s">
        <v>44</v>
      </c>
      <c r="F367" s="341" t="s">
        <v>44</v>
      </c>
    </row>
    <row r="368">
      <c r="A368" s="341" t="s">
        <v>44</v>
      </c>
      <c r="B368" s="341" t="s">
        <v>44</v>
      </c>
      <c r="C368" s="341" t="s">
        <v>44</v>
      </c>
      <c r="D368" s="342" t="s">
        <v>44</v>
      </c>
      <c r="E368" s="341" t="s">
        <v>44</v>
      </c>
      <c r="F368" s="341" t="s">
        <v>44</v>
      </c>
    </row>
    <row r="369">
      <c r="A369" s="341" t="s">
        <v>44</v>
      </c>
      <c r="B369" s="341" t="s">
        <v>44</v>
      </c>
      <c r="C369" s="341" t="s">
        <v>44</v>
      </c>
      <c r="D369" s="342" t="s">
        <v>44</v>
      </c>
      <c r="E369" s="341" t="s">
        <v>44</v>
      </c>
      <c r="F369" s="341" t="s">
        <v>44</v>
      </c>
    </row>
    <row r="370">
      <c r="A370" s="341" t="s">
        <v>44</v>
      </c>
      <c r="B370" s="341" t="s">
        <v>44</v>
      </c>
      <c r="C370" s="341" t="s">
        <v>44</v>
      </c>
      <c r="D370" s="342" t="s">
        <v>44</v>
      </c>
      <c r="E370" s="341" t="s">
        <v>44</v>
      </c>
      <c r="F370" s="341" t="s">
        <v>44</v>
      </c>
    </row>
    <row r="371">
      <c r="A371" s="341" t="s">
        <v>44</v>
      </c>
      <c r="B371" s="341" t="s">
        <v>44</v>
      </c>
      <c r="C371" s="341" t="s">
        <v>44</v>
      </c>
      <c r="D371" s="342" t="s">
        <v>44</v>
      </c>
      <c r="E371" s="341" t="s">
        <v>44</v>
      </c>
      <c r="F371" s="341" t="s">
        <v>44</v>
      </c>
    </row>
    <row r="372">
      <c r="A372" s="341" t="s">
        <v>44</v>
      </c>
      <c r="B372" s="341" t="s">
        <v>44</v>
      </c>
      <c r="C372" s="341" t="s">
        <v>44</v>
      </c>
      <c r="D372" s="342" t="s">
        <v>44</v>
      </c>
      <c r="E372" s="341" t="s">
        <v>44</v>
      </c>
      <c r="F372" s="341" t="s">
        <v>44</v>
      </c>
    </row>
    <row r="373">
      <c r="A373" s="341" t="s">
        <v>44</v>
      </c>
      <c r="B373" s="341" t="s">
        <v>44</v>
      </c>
      <c r="C373" s="341" t="s">
        <v>44</v>
      </c>
      <c r="D373" s="342" t="s">
        <v>44</v>
      </c>
      <c r="E373" s="341" t="s">
        <v>44</v>
      </c>
      <c r="F373" s="341" t="s">
        <v>44</v>
      </c>
    </row>
    <row r="374">
      <c r="A374" s="341" t="s">
        <v>44</v>
      </c>
      <c r="B374" s="341" t="s">
        <v>44</v>
      </c>
      <c r="C374" s="341" t="s">
        <v>44</v>
      </c>
      <c r="D374" s="342" t="s">
        <v>44</v>
      </c>
      <c r="E374" s="341" t="s">
        <v>44</v>
      </c>
      <c r="F374" s="341" t="s">
        <v>44</v>
      </c>
    </row>
    <row r="375">
      <c r="A375" s="341" t="s">
        <v>44</v>
      </c>
      <c r="B375" s="341" t="s">
        <v>44</v>
      </c>
      <c r="C375" s="341" t="s">
        <v>44</v>
      </c>
      <c r="D375" s="342" t="s">
        <v>44</v>
      </c>
      <c r="E375" s="341" t="s">
        <v>44</v>
      </c>
      <c r="F375" s="341" t="s">
        <v>44</v>
      </c>
    </row>
    <row r="376">
      <c r="A376" s="341" t="s">
        <v>44</v>
      </c>
      <c r="B376" s="341" t="s">
        <v>44</v>
      </c>
      <c r="C376" s="341" t="s">
        <v>44</v>
      </c>
      <c r="D376" s="342" t="s">
        <v>44</v>
      </c>
      <c r="E376" s="341" t="s">
        <v>44</v>
      </c>
      <c r="F376" s="341" t="s">
        <v>44</v>
      </c>
    </row>
    <row r="377">
      <c r="A377" s="341" t="s">
        <v>44</v>
      </c>
      <c r="B377" s="341" t="s">
        <v>44</v>
      </c>
      <c r="C377" s="341" t="s">
        <v>44</v>
      </c>
      <c r="D377" s="342" t="s">
        <v>44</v>
      </c>
      <c r="E377" s="341" t="s">
        <v>44</v>
      </c>
      <c r="F377" s="341" t="s">
        <v>44</v>
      </c>
    </row>
    <row r="378">
      <c r="A378" s="341" t="s">
        <v>44</v>
      </c>
      <c r="B378" s="341" t="s">
        <v>44</v>
      </c>
      <c r="C378" s="341" t="s">
        <v>44</v>
      </c>
      <c r="D378" s="342" t="s">
        <v>44</v>
      </c>
      <c r="E378" s="341" t="s">
        <v>44</v>
      </c>
      <c r="F378" s="341" t="s">
        <v>44</v>
      </c>
    </row>
    <row r="379">
      <c r="A379" s="341" t="s">
        <v>44</v>
      </c>
      <c r="B379" s="341" t="s">
        <v>44</v>
      </c>
      <c r="C379" s="341" t="s">
        <v>44</v>
      </c>
      <c r="D379" s="342" t="s">
        <v>44</v>
      </c>
      <c r="E379" s="341" t="s">
        <v>44</v>
      </c>
      <c r="F379" s="341" t="s">
        <v>44</v>
      </c>
    </row>
    <row r="380">
      <c r="A380" s="341" t="s">
        <v>44</v>
      </c>
      <c r="B380" s="341" t="s">
        <v>44</v>
      </c>
      <c r="C380" s="341" t="s">
        <v>44</v>
      </c>
      <c r="D380" s="342" t="s">
        <v>44</v>
      </c>
      <c r="E380" s="341" t="s">
        <v>44</v>
      </c>
      <c r="F380" s="341" t="s">
        <v>44</v>
      </c>
    </row>
    <row r="381">
      <c r="A381" s="341" t="s">
        <v>44</v>
      </c>
      <c r="B381" s="341" t="s">
        <v>44</v>
      </c>
      <c r="C381" s="341" t="s">
        <v>44</v>
      </c>
      <c r="D381" s="342" t="s">
        <v>44</v>
      </c>
      <c r="E381" s="341" t="s">
        <v>44</v>
      </c>
      <c r="F381" s="341" t="s">
        <v>44</v>
      </c>
    </row>
    <row r="382">
      <c r="A382" s="341" t="s">
        <v>44</v>
      </c>
      <c r="B382" s="341" t="s">
        <v>44</v>
      </c>
      <c r="C382" s="341" t="s">
        <v>44</v>
      </c>
      <c r="D382" s="342" t="s">
        <v>44</v>
      </c>
      <c r="E382" s="341" t="s">
        <v>44</v>
      </c>
      <c r="F382" s="341" t="s">
        <v>44</v>
      </c>
    </row>
    <row r="383">
      <c r="A383" s="341" t="s">
        <v>44</v>
      </c>
      <c r="B383" s="341" t="s">
        <v>44</v>
      </c>
      <c r="C383" s="341" t="s">
        <v>44</v>
      </c>
      <c r="D383" s="342" t="s">
        <v>44</v>
      </c>
      <c r="E383" s="341" t="s">
        <v>44</v>
      </c>
      <c r="F383" s="341" t="s">
        <v>44</v>
      </c>
    </row>
    <row r="384">
      <c r="A384" s="341" t="s">
        <v>44</v>
      </c>
      <c r="B384" s="341" t="s">
        <v>44</v>
      </c>
      <c r="C384" s="341" t="s">
        <v>44</v>
      </c>
      <c r="D384" s="342" t="s">
        <v>44</v>
      </c>
      <c r="E384" s="341" t="s">
        <v>44</v>
      </c>
      <c r="F384" s="341" t="s">
        <v>44</v>
      </c>
    </row>
    <row r="385">
      <c r="A385" s="341" t="s">
        <v>44</v>
      </c>
      <c r="B385" s="341" t="s">
        <v>44</v>
      </c>
      <c r="C385" s="341" t="s">
        <v>44</v>
      </c>
      <c r="D385" s="342" t="s">
        <v>44</v>
      </c>
      <c r="E385" s="341" t="s">
        <v>44</v>
      </c>
      <c r="F385" s="341" t="s">
        <v>44</v>
      </c>
    </row>
    <row r="386">
      <c r="A386" s="341" t="s">
        <v>44</v>
      </c>
      <c r="B386" s="341" t="s">
        <v>44</v>
      </c>
      <c r="C386" s="341" t="s">
        <v>44</v>
      </c>
      <c r="D386" s="342" t="s">
        <v>44</v>
      </c>
      <c r="E386" s="341" t="s">
        <v>44</v>
      </c>
      <c r="F386" s="341" t="s">
        <v>44</v>
      </c>
    </row>
    <row r="387">
      <c r="A387" s="341" t="s">
        <v>44</v>
      </c>
      <c r="B387" s="341" t="s">
        <v>44</v>
      </c>
      <c r="C387" s="341" t="s">
        <v>44</v>
      </c>
      <c r="D387" s="342" t="s">
        <v>44</v>
      </c>
      <c r="E387" s="341" t="s">
        <v>44</v>
      </c>
      <c r="F387" s="341" t="s">
        <v>44</v>
      </c>
    </row>
    <row r="388">
      <c r="A388" s="341" t="s">
        <v>44</v>
      </c>
      <c r="B388" s="341" t="s">
        <v>44</v>
      </c>
      <c r="C388" s="341" t="s">
        <v>44</v>
      </c>
      <c r="D388" s="342" t="s">
        <v>44</v>
      </c>
      <c r="E388" s="341" t="s">
        <v>44</v>
      </c>
      <c r="F388" s="341" t="s">
        <v>44</v>
      </c>
    </row>
    <row r="389">
      <c r="A389" s="341" t="s">
        <v>44</v>
      </c>
      <c r="B389" s="341" t="s">
        <v>44</v>
      </c>
      <c r="C389" s="341" t="s">
        <v>44</v>
      </c>
      <c r="D389" s="342" t="s">
        <v>44</v>
      </c>
      <c r="E389" s="341" t="s">
        <v>44</v>
      </c>
      <c r="F389" s="341" t="s">
        <v>44</v>
      </c>
    </row>
    <row r="390">
      <c r="A390" s="341" t="s">
        <v>44</v>
      </c>
      <c r="B390" s="341" t="s">
        <v>44</v>
      </c>
      <c r="C390" s="341" t="s">
        <v>44</v>
      </c>
      <c r="D390" s="342" t="s">
        <v>44</v>
      </c>
      <c r="E390" s="341" t="s">
        <v>44</v>
      </c>
      <c r="F390" s="341" t="s">
        <v>44</v>
      </c>
    </row>
    <row r="391">
      <c r="A391" s="341" t="s">
        <v>44</v>
      </c>
      <c r="B391" s="341" t="s">
        <v>44</v>
      </c>
      <c r="C391" s="341" t="s">
        <v>44</v>
      </c>
      <c r="D391" s="342" t="s">
        <v>44</v>
      </c>
      <c r="E391" s="341" t="s">
        <v>44</v>
      </c>
      <c r="F391" s="341" t="s">
        <v>44</v>
      </c>
    </row>
    <row r="392">
      <c r="A392" s="341" t="s">
        <v>44</v>
      </c>
      <c r="B392" s="341" t="s">
        <v>44</v>
      </c>
      <c r="C392" s="341" t="s">
        <v>44</v>
      </c>
      <c r="D392" s="342" t="s">
        <v>44</v>
      </c>
      <c r="E392" s="341" t="s">
        <v>44</v>
      </c>
      <c r="F392" s="341" t="s">
        <v>44</v>
      </c>
    </row>
    <row r="393">
      <c r="A393" s="341" t="s">
        <v>44</v>
      </c>
      <c r="B393" s="341" t="s">
        <v>44</v>
      </c>
      <c r="C393" s="341" t="s">
        <v>44</v>
      </c>
      <c r="D393" s="342" t="s">
        <v>44</v>
      </c>
      <c r="E393" s="341" t="s">
        <v>44</v>
      </c>
      <c r="F393" s="341" t="s">
        <v>44</v>
      </c>
    </row>
    <row r="394">
      <c r="A394" s="341" t="s">
        <v>44</v>
      </c>
      <c r="B394" s="341" t="s">
        <v>44</v>
      </c>
      <c r="C394" s="341" t="s">
        <v>44</v>
      </c>
      <c r="D394" s="342" t="s">
        <v>44</v>
      </c>
      <c r="E394" s="341" t="s">
        <v>44</v>
      </c>
      <c r="F394" s="341" t="s">
        <v>44</v>
      </c>
    </row>
    <row r="395">
      <c r="A395" s="341" t="s">
        <v>44</v>
      </c>
      <c r="B395" s="341" t="s">
        <v>44</v>
      </c>
      <c r="C395" s="341" t="s">
        <v>44</v>
      </c>
      <c r="D395" s="342" t="s">
        <v>44</v>
      </c>
      <c r="E395" s="341" t="s">
        <v>44</v>
      </c>
      <c r="F395" s="341" t="s">
        <v>44</v>
      </c>
    </row>
    <row r="396">
      <c r="A396" s="341" t="s">
        <v>44</v>
      </c>
      <c r="B396" s="341" t="s">
        <v>44</v>
      </c>
      <c r="C396" s="341" t="s">
        <v>44</v>
      </c>
      <c r="D396" s="342" t="s">
        <v>44</v>
      </c>
      <c r="E396" s="341" t="s">
        <v>44</v>
      </c>
      <c r="F396" s="341" t="s">
        <v>44</v>
      </c>
    </row>
    <row r="397">
      <c r="A397" s="341" t="s">
        <v>44</v>
      </c>
      <c r="B397" s="341" t="s">
        <v>44</v>
      </c>
      <c r="C397" s="341" t="s">
        <v>44</v>
      </c>
      <c r="D397" s="342" t="s">
        <v>44</v>
      </c>
      <c r="E397" s="341" t="s">
        <v>44</v>
      </c>
      <c r="F397" s="341" t="s">
        <v>44</v>
      </c>
    </row>
    <row r="398">
      <c r="A398" s="341" t="s">
        <v>44</v>
      </c>
      <c r="B398" s="341" t="s">
        <v>44</v>
      </c>
      <c r="C398" s="341" t="s">
        <v>44</v>
      </c>
      <c r="D398" s="342" t="s">
        <v>44</v>
      </c>
      <c r="E398" s="341" t="s">
        <v>44</v>
      </c>
      <c r="F398" s="341" t="s">
        <v>44</v>
      </c>
    </row>
    <row r="399">
      <c r="A399" s="341" t="s">
        <v>44</v>
      </c>
      <c r="B399" s="341" t="s">
        <v>44</v>
      </c>
      <c r="C399" s="341" t="s">
        <v>44</v>
      </c>
      <c r="D399" s="342" t="s">
        <v>44</v>
      </c>
      <c r="E399" s="341" t="s">
        <v>44</v>
      </c>
      <c r="F399" s="341" t="s">
        <v>44</v>
      </c>
    </row>
    <row r="400">
      <c r="A400" s="341" t="s">
        <v>44</v>
      </c>
      <c r="B400" s="341" t="s">
        <v>44</v>
      </c>
      <c r="C400" s="341" t="s">
        <v>44</v>
      </c>
      <c r="D400" s="342" t="s">
        <v>44</v>
      </c>
      <c r="E400" s="341" t="s">
        <v>44</v>
      </c>
      <c r="F400" s="341" t="s">
        <v>44</v>
      </c>
    </row>
    <row r="401">
      <c r="A401" s="341" t="s">
        <v>44</v>
      </c>
      <c r="B401" s="341" t="s">
        <v>44</v>
      </c>
      <c r="C401" s="341" t="s">
        <v>44</v>
      </c>
      <c r="D401" s="342" t="s">
        <v>44</v>
      </c>
      <c r="E401" s="341" t="s">
        <v>44</v>
      </c>
      <c r="F401" s="341" t="s">
        <v>44</v>
      </c>
    </row>
    <row r="402">
      <c r="A402" s="341" t="s">
        <v>44</v>
      </c>
      <c r="B402" s="341" t="s">
        <v>44</v>
      </c>
      <c r="C402" s="341" t="s">
        <v>44</v>
      </c>
      <c r="D402" s="342" t="s">
        <v>44</v>
      </c>
      <c r="E402" s="341" t="s">
        <v>44</v>
      </c>
      <c r="F402" s="341" t="s">
        <v>44</v>
      </c>
    </row>
    <row r="403">
      <c r="A403" s="341" t="s">
        <v>44</v>
      </c>
      <c r="B403" s="341" t="s">
        <v>44</v>
      </c>
      <c r="C403" s="341" t="s">
        <v>44</v>
      </c>
      <c r="D403" s="342" t="s">
        <v>44</v>
      </c>
      <c r="E403" s="341" t="s">
        <v>44</v>
      </c>
      <c r="F403" s="341" t="s">
        <v>44</v>
      </c>
    </row>
    <row r="404">
      <c r="A404" s="341" t="s">
        <v>44</v>
      </c>
      <c r="B404" s="341" t="s">
        <v>44</v>
      </c>
      <c r="C404" s="341" t="s">
        <v>44</v>
      </c>
      <c r="D404" s="342" t="s">
        <v>44</v>
      </c>
      <c r="E404" s="341" t="s">
        <v>44</v>
      </c>
      <c r="F404" s="341" t="s">
        <v>44</v>
      </c>
    </row>
    <row r="405">
      <c r="A405" s="341" t="s">
        <v>44</v>
      </c>
      <c r="B405" s="341" t="s">
        <v>44</v>
      </c>
      <c r="C405" s="341" t="s">
        <v>44</v>
      </c>
      <c r="D405" s="342" t="s">
        <v>44</v>
      </c>
      <c r="E405" s="341" t="s">
        <v>44</v>
      </c>
      <c r="F405" s="341" t="s">
        <v>44</v>
      </c>
    </row>
    <row r="406">
      <c r="A406" s="341" t="s">
        <v>44</v>
      </c>
      <c r="B406" s="341" t="s">
        <v>44</v>
      </c>
      <c r="C406" s="341" t="s">
        <v>44</v>
      </c>
      <c r="D406" s="342" t="s">
        <v>44</v>
      </c>
      <c r="E406" s="341" t="s">
        <v>44</v>
      </c>
      <c r="F406" s="341" t="s">
        <v>44</v>
      </c>
    </row>
    <row r="407">
      <c r="A407" s="341" t="s">
        <v>44</v>
      </c>
      <c r="B407" s="341" t="s">
        <v>44</v>
      </c>
      <c r="C407" s="341" t="s">
        <v>44</v>
      </c>
      <c r="D407" s="342" t="s">
        <v>44</v>
      </c>
      <c r="E407" s="341" t="s">
        <v>44</v>
      </c>
      <c r="F407" s="341" t="s">
        <v>44</v>
      </c>
    </row>
    <row r="408">
      <c r="A408" s="341" t="s">
        <v>44</v>
      </c>
      <c r="B408" s="341" t="s">
        <v>44</v>
      </c>
      <c r="C408" s="341" t="s">
        <v>44</v>
      </c>
      <c r="D408" s="342" t="s">
        <v>44</v>
      </c>
      <c r="E408" s="341" t="s">
        <v>44</v>
      </c>
      <c r="F408" s="341" t="s">
        <v>44</v>
      </c>
    </row>
    <row r="409">
      <c r="A409" s="341" t="s">
        <v>44</v>
      </c>
      <c r="B409" s="341" t="s">
        <v>44</v>
      </c>
      <c r="C409" s="341" t="s">
        <v>44</v>
      </c>
      <c r="D409" s="342" t="s">
        <v>44</v>
      </c>
      <c r="E409" s="341" t="s">
        <v>44</v>
      </c>
      <c r="F409" s="341" t="s">
        <v>44</v>
      </c>
    </row>
    <row r="410">
      <c r="A410" s="341" t="s">
        <v>44</v>
      </c>
      <c r="B410" s="341" t="s">
        <v>44</v>
      </c>
      <c r="C410" s="341" t="s">
        <v>44</v>
      </c>
      <c r="D410" s="342" t="s">
        <v>44</v>
      </c>
      <c r="E410" s="341" t="s">
        <v>44</v>
      </c>
      <c r="F410" s="341" t="s">
        <v>44</v>
      </c>
    </row>
    <row r="411">
      <c r="A411" s="341" t="s">
        <v>44</v>
      </c>
      <c r="B411" s="341" t="s">
        <v>44</v>
      </c>
      <c r="C411" s="341" t="s">
        <v>44</v>
      </c>
      <c r="D411" s="342" t="s">
        <v>44</v>
      </c>
      <c r="E411" s="341" t="s">
        <v>44</v>
      </c>
      <c r="F411" s="341" t="s">
        <v>44</v>
      </c>
    </row>
    <row r="412">
      <c r="A412" s="341" t="s">
        <v>44</v>
      </c>
      <c r="B412" s="341" t="s">
        <v>44</v>
      </c>
      <c r="C412" s="341" t="s">
        <v>44</v>
      </c>
      <c r="D412" s="342" t="s">
        <v>44</v>
      </c>
      <c r="E412" s="341" t="s">
        <v>44</v>
      </c>
      <c r="F412" s="341" t="s">
        <v>44</v>
      </c>
    </row>
    <row r="413">
      <c r="A413" s="341" t="s">
        <v>44</v>
      </c>
      <c r="B413" s="341" t="s">
        <v>44</v>
      </c>
      <c r="C413" s="341" t="s">
        <v>44</v>
      </c>
      <c r="D413" s="342" t="s">
        <v>44</v>
      </c>
      <c r="E413" s="341" t="s">
        <v>44</v>
      </c>
      <c r="F413" s="341" t="s">
        <v>44</v>
      </c>
    </row>
    <row r="414">
      <c r="A414" s="341" t="s">
        <v>44</v>
      </c>
      <c r="B414" s="341" t="s">
        <v>44</v>
      </c>
      <c r="C414" s="341" t="s">
        <v>44</v>
      </c>
      <c r="D414" s="342" t="s">
        <v>44</v>
      </c>
      <c r="E414" s="341" t="s">
        <v>44</v>
      </c>
      <c r="F414" s="341" t="s">
        <v>44</v>
      </c>
    </row>
    <row r="415">
      <c r="A415" s="341" t="s">
        <v>44</v>
      </c>
      <c r="B415" s="341" t="s">
        <v>44</v>
      </c>
      <c r="C415" s="341" t="s">
        <v>44</v>
      </c>
      <c r="D415" s="342" t="s">
        <v>44</v>
      </c>
      <c r="E415" s="341" t="s">
        <v>44</v>
      </c>
      <c r="F415" s="341" t="s">
        <v>44</v>
      </c>
    </row>
    <row r="416">
      <c r="A416" s="341" t="s">
        <v>44</v>
      </c>
      <c r="B416" s="341" t="s">
        <v>44</v>
      </c>
      <c r="C416" s="341" t="s">
        <v>44</v>
      </c>
      <c r="D416" s="342" t="s">
        <v>44</v>
      </c>
      <c r="E416" s="341" t="s">
        <v>44</v>
      </c>
      <c r="F416" s="341" t="s">
        <v>44</v>
      </c>
    </row>
    <row r="417">
      <c r="A417" s="341" t="s">
        <v>44</v>
      </c>
      <c r="B417" s="341" t="s">
        <v>44</v>
      </c>
      <c r="C417" s="341" t="s">
        <v>44</v>
      </c>
      <c r="D417" s="342" t="s">
        <v>44</v>
      </c>
      <c r="E417" s="341" t="s">
        <v>44</v>
      </c>
      <c r="F417" s="341" t="s">
        <v>44</v>
      </c>
    </row>
    <row r="418">
      <c r="A418" s="341" t="s">
        <v>44</v>
      </c>
      <c r="B418" s="341" t="s">
        <v>44</v>
      </c>
      <c r="C418" s="341" t="s">
        <v>44</v>
      </c>
      <c r="D418" s="342" t="s">
        <v>44</v>
      </c>
      <c r="E418" s="341" t="s">
        <v>44</v>
      </c>
      <c r="F418" s="341" t="s">
        <v>44</v>
      </c>
    </row>
    <row r="419">
      <c r="A419" s="341" t="s">
        <v>44</v>
      </c>
      <c r="B419" s="341" t="s">
        <v>44</v>
      </c>
      <c r="C419" s="341" t="s">
        <v>44</v>
      </c>
      <c r="D419" s="342" t="s">
        <v>44</v>
      </c>
      <c r="E419" s="341" t="s">
        <v>44</v>
      </c>
      <c r="F419" s="341" t="s">
        <v>44</v>
      </c>
    </row>
    <row r="420">
      <c r="A420" s="341" t="s">
        <v>44</v>
      </c>
      <c r="B420" s="341" t="s">
        <v>44</v>
      </c>
      <c r="C420" s="341" t="s">
        <v>44</v>
      </c>
      <c r="D420" s="342" t="s">
        <v>44</v>
      </c>
      <c r="E420" s="341" t="s">
        <v>44</v>
      </c>
      <c r="F420" s="341" t="s">
        <v>44</v>
      </c>
    </row>
    <row r="421">
      <c r="A421" s="341" t="s">
        <v>44</v>
      </c>
      <c r="B421" s="341" t="s">
        <v>44</v>
      </c>
      <c r="C421" s="341" t="s">
        <v>44</v>
      </c>
      <c r="D421" s="342" t="s">
        <v>44</v>
      </c>
      <c r="E421" s="341" t="s">
        <v>44</v>
      </c>
      <c r="F421" s="341" t="s">
        <v>44</v>
      </c>
    </row>
    <row r="422">
      <c r="A422" s="341" t="s">
        <v>44</v>
      </c>
      <c r="B422" s="341" t="s">
        <v>44</v>
      </c>
      <c r="C422" s="341" t="s">
        <v>44</v>
      </c>
      <c r="D422" s="342" t="s">
        <v>44</v>
      </c>
      <c r="E422" s="341" t="s">
        <v>44</v>
      </c>
      <c r="F422" s="341" t="s">
        <v>44</v>
      </c>
    </row>
    <row r="423">
      <c r="A423" s="341" t="s">
        <v>44</v>
      </c>
      <c r="B423" s="341" t="s">
        <v>44</v>
      </c>
      <c r="C423" s="341" t="s">
        <v>44</v>
      </c>
      <c r="D423" s="342" t="s">
        <v>44</v>
      </c>
      <c r="E423" s="341" t="s">
        <v>44</v>
      </c>
      <c r="F423" s="341" t="s">
        <v>44</v>
      </c>
    </row>
    <row r="424">
      <c r="A424" s="341" t="s">
        <v>44</v>
      </c>
      <c r="B424" s="341" t="s">
        <v>44</v>
      </c>
      <c r="C424" s="341" t="s">
        <v>44</v>
      </c>
      <c r="D424" s="342" t="s">
        <v>44</v>
      </c>
      <c r="E424" s="341" t="s">
        <v>44</v>
      </c>
      <c r="F424" s="341" t="s">
        <v>44</v>
      </c>
    </row>
    <row r="425">
      <c r="A425" s="341" t="s">
        <v>44</v>
      </c>
      <c r="B425" s="341" t="s">
        <v>44</v>
      </c>
      <c r="C425" s="341" t="s">
        <v>44</v>
      </c>
      <c r="D425" s="342" t="s">
        <v>44</v>
      </c>
      <c r="E425" s="341" t="s">
        <v>44</v>
      </c>
      <c r="F425" s="341" t="s">
        <v>44</v>
      </c>
    </row>
    <row r="426">
      <c r="A426" s="341" t="s">
        <v>44</v>
      </c>
      <c r="B426" s="341" t="s">
        <v>44</v>
      </c>
      <c r="C426" s="341" t="s">
        <v>44</v>
      </c>
      <c r="D426" s="342" t="s">
        <v>44</v>
      </c>
      <c r="E426" s="341" t="s">
        <v>44</v>
      </c>
      <c r="F426" s="341" t="s">
        <v>44</v>
      </c>
    </row>
    <row r="427">
      <c r="A427" s="341" t="s">
        <v>44</v>
      </c>
      <c r="B427" s="341" t="s">
        <v>44</v>
      </c>
      <c r="C427" s="341" t="s">
        <v>44</v>
      </c>
      <c r="D427" s="342" t="s">
        <v>44</v>
      </c>
      <c r="E427" s="341" t="s">
        <v>44</v>
      </c>
      <c r="F427" s="341" t="s">
        <v>44</v>
      </c>
    </row>
    <row r="428">
      <c r="A428" s="341" t="s">
        <v>44</v>
      </c>
      <c r="B428" s="341" t="s">
        <v>44</v>
      </c>
      <c r="C428" s="341" t="s">
        <v>44</v>
      </c>
      <c r="D428" s="342" t="s">
        <v>44</v>
      </c>
      <c r="E428" s="341" t="s">
        <v>44</v>
      </c>
      <c r="F428" s="341" t="s">
        <v>44</v>
      </c>
    </row>
    <row r="429">
      <c r="A429" s="341" t="s">
        <v>44</v>
      </c>
      <c r="B429" s="341" t="s">
        <v>44</v>
      </c>
      <c r="C429" s="341" t="s">
        <v>44</v>
      </c>
      <c r="D429" s="342" t="s">
        <v>44</v>
      </c>
      <c r="E429" s="341" t="s">
        <v>44</v>
      </c>
      <c r="F429" s="341" t="s">
        <v>44</v>
      </c>
    </row>
    <row r="430">
      <c r="A430" s="341" t="s">
        <v>44</v>
      </c>
      <c r="B430" s="341" t="s">
        <v>44</v>
      </c>
      <c r="C430" s="341" t="s">
        <v>44</v>
      </c>
      <c r="D430" s="342" t="s">
        <v>44</v>
      </c>
      <c r="E430" s="341" t="s">
        <v>44</v>
      </c>
      <c r="F430" s="341" t="s">
        <v>44</v>
      </c>
    </row>
    <row r="431">
      <c r="A431" s="341" t="s">
        <v>44</v>
      </c>
      <c r="B431" s="341" t="s">
        <v>44</v>
      </c>
      <c r="C431" s="341" t="s">
        <v>44</v>
      </c>
      <c r="D431" s="342" t="s">
        <v>44</v>
      </c>
      <c r="E431" s="341" t="s">
        <v>44</v>
      </c>
      <c r="F431" s="341" t="s">
        <v>44</v>
      </c>
    </row>
    <row r="432">
      <c r="A432" s="341" t="s">
        <v>44</v>
      </c>
      <c r="B432" s="341" t="s">
        <v>44</v>
      </c>
      <c r="C432" s="341" t="s">
        <v>44</v>
      </c>
      <c r="D432" s="342" t="s">
        <v>44</v>
      </c>
      <c r="E432" s="341" t="s">
        <v>44</v>
      </c>
      <c r="F432" s="341" t="s">
        <v>44</v>
      </c>
    </row>
    <row r="433">
      <c r="A433" s="341" t="s">
        <v>44</v>
      </c>
      <c r="B433" s="341" t="s">
        <v>44</v>
      </c>
      <c r="C433" s="341" t="s">
        <v>44</v>
      </c>
      <c r="D433" s="342" t="s">
        <v>44</v>
      </c>
      <c r="E433" s="341" t="s">
        <v>44</v>
      </c>
      <c r="F433" s="341" t="s">
        <v>44</v>
      </c>
    </row>
    <row r="434">
      <c r="A434" s="341" t="s">
        <v>44</v>
      </c>
      <c r="B434" s="341" t="s">
        <v>44</v>
      </c>
      <c r="C434" s="341" t="s">
        <v>44</v>
      </c>
      <c r="D434" s="342" t="s">
        <v>44</v>
      </c>
      <c r="E434" s="341" t="s">
        <v>44</v>
      </c>
      <c r="F434" s="341" t="s">
        <v>44</v>
      </c>
    </row>
    <row r="435">
      <c r="A435" s="341" t="s">
        <v>44</v>
      </c>
      <c r="B435" s="341" t="s">
        <v>44</v>
      </c>
      <c r="C435" s="341" t="s">
        <v>44</v>
      </c>
      <c r="D435" s="342" t="s">
        <v>44</v>
      </c>
      <c r="E435" s="341" t="s">
        <v>44</v>
      </c>
      <c r="F435" s="341" t="s">
        <v>44</v>
      </c>
    </row>
    <row r="436">
      <c r="A436" s="341" t="s">
        <v>44</v>
      </c>
      <c r="B436" s="341" t="s">
        <v>44</v>
      </c>
      <c r="C436" s="341" t="s">
        <v>44</v>
      </c>
      <c r="D436" s="342" t="s">
        <v>44</v>
      </c>
      <c r="E436" s="341" t="s">
        <v>44</v>
      </c>
      <c r="F436" s="341" t="s">
        <v>44</v>
      </c>
    </row>
    <row r="437">
      <c r="A437" s="341" t="s">
        <v>44</v>
      </c>
      <c r="B437" s="341" t="s">
        <v>44</v>
      </c>
      <c r="C437" s="341" t="s">
        <v>44</v>
      </c>
      <c r="D437" s="342" t="s">
        <v>44</v>
      </c>
      <c r="E437" s="341" t="s">
        <v>44</v>
      </c>
      <c r="F437" s="341" t="s">
        <v>44</v>
      </c>
    </row>
    <row r="438">
      <c r="A438" s="341" t="s">
        <v>44</v>
      </c>
      <c r="B438" s="341" t="s">
        <v>44</v>
      </c>
      <c r="C438" s="341" t="s">
        <v>44</v>
      </c>
      <c r="D438" s="342" t="s">
        <v>44</v>
      </c>
      <c r="E438" s="341" t="s">
        <v>44</v>
      </c>
      <c r="F438" s="341" t="s">
        <v>44</v>
      </c>
    </row>
    <row r="439">
      <c r="A439" s="341" t="s">
        <v>44</v>
      </c>
      <c r="B439" s="341" t="s">
        <v>44</v>
      </c>
      <c r="C439" s="341" t="s">
        <v>44</v>
      </c>
      <c r="D439" s="342" t="s">
        <v>44</v>
      </c>
      <c r="E439" s="341" t="s">
        <v>44</v>
      </c>
      <c r="F439" s="341" t="s">
        <v>44</v>
      </c>
    </row>
    <row r="440">
      <c r="A440" s="341" t="s">
        <v>44</v>
      </c>
      <c r="B440" s="341" t="s">
        <v>44</v>
      </c>
      <c r="C440" s="341" t="s">
        <v>44</v>
      </c>
      <c r="D440" s="342" t="s">
        <v>44</v>
      </c>
      <c r="E440" s="341" t="s">
        <v>44</v>
      </c>
      <c r="F440" s="341" t="s">
        <v>44</v>
      </c>
    </row>
    <row r="441">
      <c r="A441" s="341" t="s">
        <v>44</v>
      </c>
      <c r="B441" s="341" t="s">
        <v>44</v>
      </c>
      <c r="C441" s="341" t="s">
        <v>44</v>
      </c>
      <c r="D441" s="342" t="s">
        <v>44</v>
      </c>
      <c r="E441" s="341" t="s">
        <v>44</v>
      </c>
      <c r="F441" s="341" t="s">
        <v>44</v>
      </c>
    </row>
    <row r="442">
      <c r="A442" s="341" t="s">
        <v>44</v>
      </c>
      <c r="B442" s="341" t="s">
        <v>44</v>
      </c>
      <c r="C442" s="341" t="s">
        <v>44</v>
      </c>
      <c r="D442" s="342" t="s">
        <v>44</v>
      </c>
      <c r="E442" s="341" t="s">
        <v>44</v>
      </c>
      <c r="F442" s="341" t="s">
        <v>44</v>
      </c>
    </row>
    <row r="443">
      <c r="A443" s="341" t="s">
        <v>44</v>
      </c>
      <c r="B443" s="341" t="s">
        <v>44</v>
      </c>
      <c r="C443" s="341" t="s">
        <v>44</v>
      </c>
      <c r="D443" s="342" t="s">
        <v>44</v>
      </c>
      <c r="E443" s="341" t="s">
        <v>44</v>
      </c>
      <c r="F443" s="341" t="s">
        <v>44</v>
      </c>
    </row>
    <row r="444">
      <c r="A444" s="341" t="s">
        <v>44</v>
      </c>
      <c r="B444" s="341" t="s">
        <v>44</v>
      </c>
      <c r="C444" s="341" t="s">
        <v>44</v>
      </c>
      <c r="D444" s="342" t="s">
        <v>44</v>
      </c>
      <c r="E444" s="341" t="s">
        <v>44</v>
      </c>
      <c r="F444" s="341" t="s">
        <v>44</v>
      </c>
    </row>
    <row r="445">
      <c r="A445" s="341" t="s">
        <v>44</v>
      </c>
      <c r="B445" s="341" t="s">
        <v>44</v>
      </c>
      <c r="C445" s="341" t="s">
        <v>44</v>
      </c>
      <c r="D445" s="342" t="s">
        <v>44</v>
      </c>
      <c r="E445" s="341" t="s">
        <v>44</v>
      </c>
      <c r="F445" s="341" t="s">
        <v>44</v>
      </c>
    </row>
    <row r="446">
      <c r="A446" s="341" t="s">
        <v>44</v>
      </c>
      <c r="B446" s="341" t="s">
        <v>44</v>
      </c>
      <c r="C446" s="341" t="s">
        <v>44</v>
      </c>
      <c r="D446" s="342" t="s">
        <v>44</v>
      </c>
      <c r="E446" s="341" t="s">
        <v>44</v>
      </c>
      <c r="F446" s="341" t="s">
        <v>44</v>
      </c>
    </row>
    <row r="447">
      <c r="A447" s="341" t="s">
        <v>44</v>
      </c>
      <c r="B447" s="341" t="s">
        <v>44</v>
      </c>
      <c r="C447" s="341" t="s">
        <v>44</v>
      </c>
      <c r="D447" s="342" t="s">
        <v>44</v>
      </c>
      <c r="E447" s="341" t="s">
        <v>44</v>
      </c>
      <c r="F447" s="341" t="s">
        <v>44</v>
      </c>
    </row>
    <row r="448">
      <c r="A448" s="341" t="s">
        <v>44</v>
      </c>
      <c r="B448" s="341" t="s">
        <v>44</v>
      </c>
      <c r="C448" s="341" t="s">
        <v>44</v>
      </c>
      <c r="D448" s="342" t="s">
        <v>44</v>
      </c>
      <c r="E448" s="341" t="s">
        <v>44</v>
      </c>
      <c r="F448" s="341" t="s">
        <v>44</v>
      </c>
    </row>
    <row r="449">
      <c r="A449" s="341" t="s">
        <v>44</v>
      </c>
      <c r="B449" s="341" t="s">
        <v>44</v>
      </c>
      <c r="C449" s="341" t="s">
        <v>44</v>
      </c>
      <c r="D449" s="342" t="s">
        <v>44</v>
      </c>
      <c r="E449" s="341" t="s">
        <v>44</v>
      </c>
      <c r="F449" s="341" t="s">
        <v>44</v>
      </c>
    </row>
    <row r="450">
      <c r="A450" s="341" t="s">
        <v>44</v>
      </c>
      <c r="B450" s="341" t="s">
        <v>44</v>
      </c>
      <c r="C450" s="341" t="s">
        <v>44</v>
      </c>
      <c r="D450" s="342" t="s">
        <v>44</v>
      </c>
      <c r="E450" s="341" t="s">
        <v>44</v>
      </c>
      <c r="F450" s="341" t="s">
        <v>44</v>
      </c>
    </row>
    <row r="451">
      <c r="A451" s="341" t="s">
        <v>44</v>
      </c>
      <c r="B451" s="341" t="s">
        <v>44</v>
      </c>
      <c r="C451" s="341" t="s">
        <v>44</v>
      </c>
      <c r="D451" s="342" t="s">
        <v>44</v>
      </c>
      <c r="E451" s="341" t="s">
        <v>44</v>
      </c>
      <c r="F451" s="341" t="s">
        <v>44</v>
      </c>
    </row>
    <row r="452">
      <c r="A452" s="341" t="s">
        <v>44</v>
      </c>
      <c r="B452" s="341" t="s">
        <v>44</v>
      </c>
      <c r="C452" s="341" t="s">
        <v>44</v>
      </c>
      <c r="D452" s="342" t="s">
        <v>44</v>
      </c>
      <c r="E452" s="341" t="s">
        <v>44</v>
      </c>
      <c r="F452" s="341" t="s">
        <v>44</v>
      </c>
    </row>
    <row r="453">
      <c r="A453" s="341" t="s">
        <v>44</v>
      </c>
      <c r="B453" s="341" t="s">
        <v>44</v>
      </c>
      <c r="C453" s="341" t="s">
        <v>44</v>
      </c>
      <c r="D453" s="342" t="s">
        <v>44</v>
      </c>
      <c r="E453" s="341" t="s">
        <v>44</v>
      </c>
      <c r="F453" s="341" t="s">
        <v>44</v>
      </c>
    </row>
    <row r="454">
      <c r="A454" s="341" t="s">
        <v>44</v>
      </c>
      <c r="B454" s="341" t="s">
        <v>44</v>
      </c>
      <c r="C454" s="341" t="s">
        <v>44</v>
      </c>
      <c r="D454" s="342" t="s">
        <v>44</v>
      </c>
      <c r="E454" s="341" t="s">
        <v>44</v>
      </c>
      <c r="F454" s="341" t="s">
        <v>44</v>
      </c>
    </row>
    <row r="455">
      <c r="A455" s="341" t="s">
        <v>44</v>
      </c>
      <c r="B455" s="341" t="s">
        <v>44</v>
      </c>
      <c r="C455" s="341" t="s">
        <v>44</v>
      </c>
      <c r="D455" s="342" t="s">
        <v>44</v>
      </c>
      <c r="E455" s="341" t="s">
        <v>44</v>
      </c>
      <c r="F455" s="341" t="s">
        <v>44</v>
      </c>
    </row>
    <row r="456">
      <c r="A456" s="341" t="s">
        <v>44</v>
      </c>
      <c r="B456" s="341" t="s">
        <v>44</v>
      </c>
      <c r="C456" s="341" t="s">
        <v>44</v>
      </c>
      <c r="D456" s="342" t="s">
        <v>44</v>
      </c>
      <c r="E456" s="341" t="s">
        <v>44</v>
      </c>
      <c r="F456" s="341" t="s">
        <v>44</v>
      </c>
    </row>
    <row r="457">
      <c r="A457" s="341" t="s">
        <v>44</v>
      </c>
      <c r="B457" s="341" t="s">
        <v>44</v>
      </c>
      <c r="C457" s="341" t="s">
        <v>44</v>
      </c>
      <c r="D457" s="342" t="s">
        <v>44</v>
      </c>
      <c r="E457" s="341" t="s">
        <v>44</v>
      </c>
      <c r="F457" s="341" t="s">
        <v>44</v>
      </c>
    </row>
    <row r="458">
      <c r="A458" s="341" t="s">
        <v>44</v>
      </c>
      <c r="B458" s="341" t="s">
        <v>44</v>
      </c>
      <c r="C458" s="341" t="s">
        <v>44</v>
      </c>
      <c r="D458" s="342" t="s">
        <v>44</v>
      </c>
      <c r="E458" s="341" t="s">
        <v>44</v>
      </c>
      <c r="F458" s="341" t="s">
        <v>44</v>
      </c>
    </row>
    <row r="459">
      <c r="A459" s="341" t="s">
        <v>44</v>
      </c>
      <c r="B459" s="341" t="s">
        <v>44</v>
      </c>
      <c r="C459" s="341" t="s">
        <v>44</v>
      </c>
      <c r="D459" s="342" t="s">
        <v>44</v>
      </c>
      <c r="E459" s="341" t="s">
        <v>44</v>
      </c>
      <c r="F459" s="341" t="s">
        <v>44</v>
      </c>
    </row>
    <row r="460">
      <c r="A460" s="341" t="s">
        <v>44</v>
      </c>
      <c r="B460" s="341" t="s">
        <v>44</v>
      </c>
      <c r="C460" s="341" t="s">
        <v>44</v>
      </c>
      <c r="D460" s="342" t="s">
        <v>44</v>
      </c>
      <c r="E460" s="341" t="s">
        <v>44</v>
      </c>
      <c r="F460" s="341" t="s">
        <v>44</v>
      </c>
    </row>
    <row r="461">
      <c r="A461" s="341" t="s">
        <v>44</v>
      </c>
      <c r="B461" s="341" t="s">
        <v>44</v>
      </c>
      <c r="C461" s="341" t="s">
        <v>44</v>
      </c>
      <c r="D461" s="342" t="s">
        <v>44</v>
      </c>
      <c r="E461" s="341" t="s">
        <v>44</v>
      </c>
      <c r="F461" s="341" t="s">
        <v>44</v>
      </c>
    </row>
    <row r="462">
      <c r="A462" s="341" t="s">
        <v>44</v>
      </c>
      <c r="B462" s="341" t="s">
        <v>44</v>
      </c>
      <c r="C462" s="341" t="s">
        <v>44</v>
      </c>
      <c r="D462" s="342" t="s">
        <v>44</v>
      </c>
      <c r="E462" s="341" t="s">
        <v>44</v>
      </c>
      <c r="F462" s="341" t="s">
        <v>44</v>
      </c>
    </row>
    <row r="463">
      <c r="A463" s="341" t="s">
        <v>44</v>
      </c>
      <c r="B463" s="341" t="s">
        <v>44</v>
      </c>
      <c r="C463" s="341" t="s">
        <v>44</v>
      </c>
      <c r="D463" s="342" t="s">
        <v>44</v>
      </c>
      <c r="E463" s="341" t="s">
        <v>44</v>
      </c>
      <c r="F463" s="341" t="s">
        <v>44</v>
      </c>
    </row>
    <row r="464">
      <c r="A464" s="341" t="s">
        <v>44</v>
      </c>
      <c r="B464" s="341" t="s">
        <v>44</v>
      </c>
      <c r="C464" s="341" t="s">
        <v>44</v>
      </c>
      <c r="D464" s="342" t="s">
        <v>44</v>
      </c>
      <c r="E464" s="341" t="s">
        <v>44</v>
      </c>
      <c r="F464" s="341" t="s">
        <v>44</v>
      </c>
    </row>
    <row r="465">
      <c r="A465" s="341" t="s">
        <v>44</v>
      </c>
      <c r="B465" s="341" t="s">
        <v>44</v>
      </c>
      <c r="C465" s="341" t="s">
        <v>44</v>
      </c>
      <c r="D465" s="342" t="s">
        <v>44</v>
      </c>
      <c r="E465" s="341" t="s">
        <v>44</v>
      </c>
      <c r="F465" s="341" t="s">
        <v>44</v>
      </c>
    </row>
    <row r="466">
      <c r="A466" s="341" t="s">
        <v>44</v>
      </c>
      <c r="B466" s="341" t="s">
        <v>44</v>
      </c>
      <c r="C466" s="341" t="s">
        <v>44</v>
      </c>
      <c r="D466" s="342" t="s">
        <v>44</v>
      </c>
      <c r="E466" s="341" t="s">
        <v>44</v>
      </c>
      <c r="F466" s="341" t="s">
        <v>44</v>
      </c>
    </row>
    <row r="467">
      <c r="A467" s="341" t="s">
        <v>44</v>
      </c>
      <c r="B467" s="341" t="s">
        <v>44</v>
      </c>
      <c r="C467" s="341" t="s">
        <v>44</v>
      </c>
      <c r="D467" s="342" t="s">
        <v>44</v>
      </c>
      <c r="E467" s="341" t="s">
        <v>44</v>
      </c>
      <c r="F467" s="341" t="s">
        <v>44</v>
      </c>
    </row>
    <row r="468">
      <c r="A468" s="341" t="s">
        <v>44</v>
      </c>
      <c r="B468" s="341" t="s">
        <v>44</v>
      </c>
      <c r="C468" s="341" t="s">
        <v>44</v>
      </c>
      <c r="D468" s="342" t="s">
        <v>44</v>
      </c>
      <c r="E468" s="341" t="s">
        <v>44</v>
      </c>
      <c r="F468" s="341" t="s">
        <v>44</v>
      </c>
    </row>
    <row r="469">
      <c r="A469" s="341" t="s">
        <v>44</v>
      </c>
      <c r="B469" s="341" t="s">
        <v>44</v>
      </c>
      <c r="C469" s="341" t="s">
        <v>44</v>
      </c>
      <c r="D469" s="342" t="s">
        <v>44</v>
      </c>
      <c r="E469" s="341" t="s">
        <v>44</v>
      </c>
      <c r="F469" s="341" t="s">
        <v>44</v>
      </c>
    </row>
    <row r="470">
      <c r="A470" s="341" t="s">
        <v>44</v>
      </c>
      <c r="B470" s="341" t="s">
        <v>44</v>
      </c>
      <c r="C470" s="341" t="s">
        <v>44</v>
      </c>
      <c r="D470" s="342" t="s">
        <v>44</v>
      </c>
      <c r="E470" s="341" t="s">
        <v>44</v>
      </c>
      <c r="F470" s="341" t="s">
        <v>44</v>
      </c>
    </row>
    <row r="471">
      <c r="A471" s="341" t="s">
        <v>44</v>
      </c>
      <c r="B471" s="341" t="s">
        <v>44</v>
      </c>
      <c r="C471" s="341" t="s">
        <v>44</v>
      </c>
      <c r="D471" s="342" t="s">
        <v>44</v>
      </c>
      <c r="E471" s="341" t="s">
        <v>44</v>
      </c>
      <c r="F471" s="341" t="s">
        <v>44</v>
      </c>
    </row>
    <row r="472">
      <c r="A472" s="341" t="s">
        <v>44</v>
      </c>
      <c r="B472" s="341" t="s">
        <v>44</v>
      </c>
      <c r="C472" s="341" t="s">
        <v>44</v>
      </c>
      <c r="D472" s="342" t="s">
        <v>44</v>
      </c>
      <c r="E472" s="341" t="s">
        <v>44</v>
      </c>
      <c r="F472" s="341" t="s">
        <v>44</v>
      </c>
    </row>
    <row r="473">
      <c r="A473" s="341" t="s">
        <v>44</v>
      </c>
      <c r="B473" s="341" t="s">
        <v>44</v>
      </c>
      <c r="C473" s="341" t="s">
        <v>44</v>
      </c>
      <c r="D473" s="342" t="s">
        <v>44</v>
      </c>
      <c r="E473" s="341" t="s">
        <v>44</v>
      </c>
      <c r="F473" s="341" t="s">
        <v>44</v>
      </c>
    </row>
    <row r="474">
      <c r="A474" s="341" t="s">
        <v>44</v>
      </c>
      <c r="B474" s="341" t="s">
        <v>44</v>
      </c>
      <c r="C474" s="341" t="s">
        <v>44</v>
      </c>
      <c r="D474" s="342" t="s">
        <v>44</v>
      </c>
      <c r="E474" s="341" t="s">
        <v>44</v>
      </c>
      <c r="F474" s="341" t="s">
        <v>44</v>
      </c>
    </row>
    <row r="475">
      <c r="A475" s="341" t="s">
        <v>44</v>
      </c>
      <c r="B475" s="341" t="s">
        <v>44</v>
      </c>
      <c r="C475" s="341" t="s">
        <v>44</v>
      </c>
      <c r="D475" s="342" t="s">
        <v>44</v>
      </c>
      <c r="E475" s="341" t="s">
        <v>44</v>
      </c>
      <c r="F475" s="341" t="s">
        <v>44</v>
      </c>
    </row>
    <row r="476">
      <c r="A476" s="341" t="s">
        <v>44</v>
      </c>
      <c r="B476" s="341" t="s">
        <v>44</v>
      </c>
      <c r="C476" s="341" t="s">
        <v>44</v>
      </c>
      <c r="D476" s="342" t="s">
        <v>44</v>
      </c>
      <c r="E476" s="341" t="s">
        <v>44</v>
      </c>
      <c r="F476" s="341" t="s">
        <v>44</v>
      </c>
    </row>
    <row r="477">
      <c r="A477" s="341" t="s">
        <v>44</v>
      </c>
      <c r="B477" s="341" t="s">
        <v>44</v>
      </c>
      <c r="C477" s="341" t="s">
        <v>44</v>
      </c>
      <c r="D477" s="342" t="s">
        <v>44</v>
      </c>
      <c r="E477" s="341" t="s">
        <v>44</v>
      </c>
      <c r="F477" s="341" t="s">
        <v>44</v>
      </c>
    </row>
    <row r="478">
      <c r="A478" s="341" t="s">
        <v>44</v>
      </c>
      <c r="B478" s="341" t="s">
        <v>44</v>
      </c>
      <c r="C478" s="341" t="s">
        <v>44</v>
      </c>
      <c r="D478" s="342" t="s">
        <v>44</v>
      </c>
      <c r="E478" s="341" t="s">
        <v>44</v>
      </c>
      <c r="F478" s="341" t="s">
        <v>44</v>
      </c>
    </row>
    <row r="479">
      <c r="A479" s="341" t="s">
        <v>44</v>
      </c>
      <c r="B479" s="341" t="s">
        <v>44</v>
      </c>
      <c r="C479" s="341" t="s">
        <v>44</v>
      </c>
      <c r="D479" s="342" t="s">
        <v>44</v>
      </c>
      <c r="E479" s="341" t="s">
        <v>44</v>
      </c>
      <c r="F479" s="341" t="s">
        <v>44</v>
      </c>
    </row>
    <row r="480">
      <c r="A480" s="341" t="s">
        <v>44</v>
      </c>
      <c r="B480" s="341" t="s">
        <v>44</v>
      </c>
      <c r="C480" s="341" t="s">
        <v>44</v>
      </c>
      <c r="D480" s="342" t="s">
        <v>44</v>
      </c>
      <c r="E480" s="341" t="s">
        <v>44</v>
      </c>
      <c r="F480" s="341" t="s">
        <v>44</v>
      </c>
    </row>
    <row r="481">
      <c r="A481" s="341" t="s">
        <v>44</v>
      </c>
      <c r="B481" s="341" t="s">
        <v>44</v>
      </c>
      <c r="C481" s="341" t="s">
        <v>44</v>
      </c>
      <c r="D481" s="342" t="s">
        <v>44</v>
      </c>
      <c r="E481" s="341" t="s">
        <v>44</v>
      </c>
      <c r="F481" s="341" t="s">
        <v>44</v>
      </c>
    </row>
    <row r="482">
      <c r="A482" s="341" t="s">
        <v>44</v>
      </c>
      <c r="B482" s="341" t="s">
        <v>44</v>
      </c>
      <c r="C482" s="341" t="s">
        <v>44</v>
      </c>
      <c r="D482" s="342" t="s">
        <v>44</v>
      </c>
      <c r="E482" s="341" t="s">
        <v>44</v>
      </c>
      <c r="F482" s="341" t="s">
        <v>44</v>
      </c>
    </row>
    <row r="483">
      <c r="A483" s="341" t="s">
        <v>44</v>
      </c>
      <c r="B483" s="341" t="s">
        <v>44</v>
      </c>
      <c r="C483" s="341" t="s">
        <v>44</v>
      </c>
      <c r="D483" s="342" t="s">
        <v>44</v>
      </c>
      <c r="E483" s="341" t="s">
        <v>44</v>
      </c>
      <c r="F483" s="341" t="s">
        <v>44</v>
      </c>
    </row>
    <row r="484">
      <c r="A484" s="341" t="s">
        <v>44</v>
      </c>
      <c r="B484" s="341" t="s">
        <v>44</v>
      </c>
      <c r="C484" s="341" t="s">
        <v>44</v>
      </c>
      <c r="D484" s="342" t="s">
        <v>44</v>
      </c>
      <c r="E484" s="341" t="s">
        <v>44</v>
      </c>
      <c r="F484" s="341" t="s">
        <v>44</v>
      </c>
    </row>
    <row r="485">
      <c r="A485" s="341" t="s">
        <v>44</v>
      </c>
      <c r="B485" s="341" t="s">
        <v>44</v>
      </c>
      <c r="C485" s="341" t="s">
        <v>44</v>
      </c>
      <c r="D485" s="342" t="s">
        <v>44</v>
      </c>
      <c r="E485" s="341" t="s">
        <v>44</v>
      </c>
      <c r="F485" s="341" t="s">
        <v>44</v>
      </c>
    </row>
    <row r="486">
      <c r="A486" s="341" t="s">
        <v>44</v>
      </c>
      <c r="B486" s="341" t="s">
        <v>44</v>
      </c>
      <c r="C486" s="341" t="s">
        <v>44</v>
      </c>
      <c r="D486" s="342" t="s">
        <v>44</v>
      </c>
      <c r="E486" s="341" t="s">
        <v>44</v>
      </c>
      <c r="F486" s="341" t="s">
        <v>44</v>
      </c>
    </row>
    <row r="487">
      <c r="A487" s="341" t="s">
        <v>44</v>
      </c>
      <c r="B487" s="341" t="s">
        <v>44</v>
      </c>
      <c r="C487" s="341" t="s">
        <v>44</v>
      </c>
      <c r="D487" s="342" t="s">
        <v>44</v>
      </c>
      <c r="E487" s="341" t="s">
        <v>44</v>
      </c>
      <c r="F487" s="341" t="s">
        <v>44</v>
      </c>
    </row>
    <row r="488">
      <c r="A488" s="341" t="s">
        <v>44</v>
      </c>
      <c r="B488" s="341" t="s">
        <v>44</v>
      </c>
      <c r="C488" s="341" t="s">
        <v>44</v>
      </c>
      <c r="D488" s="342" t="s">
        <v>44</v>
      </c>
      <c r="E488" s="341" t="s">
        <v>44</v>
      </c>
      <c r="F488" s="341" t="s">
        <v>44</v>
      </c>
    </row>
    <row r="489">
      <c r="A489" s="341" t="s">
        <v>44</v>
      </c>
      <c r="B489" s="341" t="s">
        <v>44</v>
      </c>
      <c r="C489" s="341" t="s">
        <v>44</v>
      </c>
      <c r="D489" s="342" t="s">
        <v>44</v>
      </c>
      <c r="E489" s="341" t="s">
        <v>44</v>
      </c>
      <c r="F489" s="341" t="s">
        <v>44</v>
      </c>
    </row>
    <row r="490">
      <c r="A490" s="341" t="s">
        <v>44</v>
      </c>
      <c r="B490" s="341" t="s">
        <v>44</v>
      </c>
      <c r="C490" s="341" t="s">
        <v>44</v>
      </c>
      <c r="D490" s="342" t="s">
        <v>44</v>
      </c>
      <c r="E490" s="341" t="s">
        <v>44</v>
      </c>
      <c r="F490" s="341" t="s">
        <v>44</v>
      </c>
    </row>
    <row r="491">
      <c r="A491" s="341" t="s">
        <v>44</v>
      </c>
      <c r="B491" s="341" t="s">
        <v>44</v>
      </c>
      <c r="C491" s="341" t="s">
        <v>44</v>
      </c>
      <c r="D491" s="342" t="s">
        <v>44</v>
      </c>
      <c r="E491" s="341" t="s">
        <v>44</v>
      </c>
      <c r="F491" s="341" t="s">
        <v>44</v>
      </c>
    </row>
    <row r="492">
      <c r="A492" s="341" t="s">
        <v>44</v>
      </c>
      <c r="B492" s="341" t="s">
        <v>44</v>
      </c>
      <c r="C492" s="341" t="s">
        <v>44</v>
      </c>
      <c r="D492" s="342" t="s">
        <v>44</v>
      </c>
      <c r="E492" s="341" t="s">
        <v>44</v>
      </c>
      <c r="F492" s="341" t="s">
        <v>44</v>
      </c>
    </row>
    <row r="493">
      <c r="A493" s="341" t="s">
        <v>44</v>
      </c>
      <c r="B493" s="341" t="s">
        <v>44</v>
      </c>
      <c r="C493" s="341" t="s">
        <v>44</v>
      </c>
      <c r="D493" s="342" t="s">
        <v>44</v>
      </c>
      <c r="E493" s="341" t="s">
        <v>44</v>
      </c>
      <c r="F493" s="341" t="s">
        <v>44</v>
      </c>
    </row>
    <row r="494">
      <c r="A494" s="341" t="s">
        <v>44</v>
      </c>
      <c r="B494" s="341" t="s">
        <v>44</v>
      </c>
      <c r="C494" s="341" t="s">
        <v>44</v>
      </c>
      <c r="D494" s="342" t="s">
        <v>44</v>
      </c>
      <c r="E494" s="341" t="s">
        <v>44</v>
      </c>
      <c r="F494" s="341" t="s">
        <v>44</v>
      </c>
    </row>
    <row r="495">
      <c r="A495" s="341" t="s">
        <v>44</v>
      </c>
      <c r="B495" s="341" t="s">
        <v>44</v>
      </c>
      <c r="C495" s="341" t="s">
        <v>44</v>
      </c>
      <c r="D495" s="342" t="s">
        <v>44</v>
      </c>
      <c r="E495" s="341" t="s">
        <v>44</v>
      </c>
      <c r="F495" s="341" t="s">
        <v>44</v>
      </c>
    </row>
    <row r="496">
      <c r="A496" s="341" t="s">
        <v>44</v>
      </c>
      <c r="B496" s="341" t="s">
        <v>44</v>
      </c>
      <c r="C496" s="341" t="s">
        <v>44</v>
      </c>
      <c r="D496" s="342" t="s">
        <v>44</v>
      </c>
      <c r="E496" s="341" t="s">
        <v>44</v>
      </c>
      <c r="F496" s="341" t="s">
        <v>44</v>
      </c>
    </row>
    <row r="497">
      <c r="A497" s="341" t="s">
        <v>44</v>
      </c>
      <c r="B497" s="341" t="s">
        <v>44</v>
      </c>
      <c r="C497" s="341" t="s">
        <v>44</v>
      </c>
      <c r="D497" s="342" t="s">
        <v>44</v>
      </c>
      <c r="E497" s="341" t="s">
        <v>44</v>
      </c>
      <c r="F497" s="341" t="s">
        <v>44</v>
      </c>
    </row>
    <row r="498">
      <c r="A498" s="341" t="s">
        <v>44</v>
      </c>
      <c r="B498" s="341" t="s">
        <v>44</v>
      </c>
      <c r="C498" s="341" t="s">
        <v>44</v>
      </c>
      <c r="D498" s="342" t="s">
        <v>44</v>
      </c>
      <c r="E498" s="341" t="s">
        <v>44</v>
      </c>
      <c r="F498" s="341" t="s">
        <v>44</v>
      </c>
    </row>
    <row r="499">
      <c r="A499" s="341" t="s">
        <v>44</v>
      </c>
      <c r="B499" s="341" t="s">
        <v>44</v>
      </c>
      <c r="C499" s="341" t="s">
        <v>44</v>
      </c>
      <c r="D499" s="342" t="s">
        <v>44</v>
      </c>
      <c r="E499" s="341" t="s">
        <v>44</v>
      </c>
      <c r="F499" s="341" t="s">
        <v>44</v>
      </c>
    </row>
    <row r="500">
      <c r="A500" s="341" t="s">
        <v>44</v>
      </c>
      <c r="B500" s="341" t="s">
        <v>44</v>
      </c>
      <c r="C500" s="341" t="s">
        <v>44</v>
      </c>
      <c r="D500" s="342" t="s">
        <v>44</v>
      </c>
      <c r="E500" s="341" t="s">
        <v>44</v>
      </c>
      <c r="F500" s="341" t="s">
        <v>44</v>
      </c>
    </row>
    <row r="501">
      <c r="A501" s="341" t="s">
        <v>44</v>
      </c>
      <c r="B501" s="341" t="s">
        <v>44</v>
      </c>
      <c r="C501" s="341" t="s">
        <v>44</v>
      </c>
      <c r="D501" s="342" t="s">
        <v>44</v>
      </c>
      <c r="E501" s="341" t="s">
        <v>44</v>
      </c>
      <c r="F501" s="341" t="s">
        <v>44</v>
      </c>
    </row>
    <row r="502">
      <c r="A502" s="341" t="s">
        <v>44</v>
      </c>
      <c r="B502" s="341" t="s">
        <v>44</v>
      </c>
      <c r="C502" s="341" t="s">
        <v>44</v>
      </c>
      <c r="D502" s="342" t="s">
        <v>44</v>
      </c>
      <c r="E502" s="341" t="s">
        <v>44</v>
      </c>
      <c r="F502" s="341" t="s">
        <v>44</v>
      </c>
    </row>
    <row r="503">
      <c r="A503" s="341" t="s">
        <v>44</v>
      </c>
      <c r="B503" s="341" t="s">
        <v>44</v>
      </c>
      <c r="C503" s="341" t="s">
        <v>44</v>
      </c>
      <c r="D503" s="342" t="s">
        <v>44</v>
      </c>
      <c r="E503" s="341" t="s">
        <v>44</v>
      </c>
      <c r="F503" s="341" t="s">
        <v>44</v>
      </c>
    </row>
    <row r="504">
      <c r="A504" s="341" t="s">
        <v>44</v>
      </c>
      <c r="B504" s="341" t="s">
        <v>44</v>
      </c>
      <c r="C504" s="341" t="s">
        <v>44</v>
      </c>
      <c r="D504" s="342" t="s">
        <v>44</v>
      </c>
      <c r="E504" s="341" t="s">
        <v>44</v>
      </c>
      <c r="F504" s="341" t="s">
        <v>44</v>
      </c>
    </row>
    <row r="505">
      <c r="A505" s="44" t="s">
        <v>44</v>
      </c>
      <c r="B505" s="44" t="s">
        <v>44</v>
      </c>
      <c r="C505" s="44" t="s">
        <v>44</v>
      </c>
      <c r="D505" s="44" t="s">
        <v>44</v>
      </c>
      <c r="E505" s="44" t="s">
        <v>44</v>
      </c>
      <c r="F505" s="44" t="s">
        <v>44</v>
      </c>
    </row>
    <row r="506">
      <c r="A506" s="44" t="s">
        <v>44</v>
      </c>
      <c r="B506" s="44" t="s">
        <v>44</v>
      </c>
      <c r="C506" s="44" t="s">
        <v>44</v>
      </c>
      <c r="D506" s="44" t="s">
        <v>44</v>
      </c>
      <c r="E506" s="44" t="s">
        <v>44</v>
      </c>
      <c r="F506" s="44" t="s">
        <v>44</v>
      </c>
    </row>
    <row r="507">
      <c r="A507" s="44" t="s">
        <v>44</v>
      </c>
      <c r="B507" s="44" t="s">
        <v>44</v>
      </c>
      <c r="C507" s="44" t="s">
        <v>44</v>
      </c>
      <c r="D507" s="44" t="s">
        <v>44</v>
      </c>
      <c r="E507" s="44" t="s">
        <v>44</v>
      </c>
      <c r="F507" s="44" t="s">
        <v>44</v>
      </c>
    </row>
    <row r="508">
      <c r="A508" s="44" t="s">
        <v>44</v>
      </c>
      <c r="B508" s="44" t="s">
        <v>44</v>
      </c>
      <c r="C508" s="44" t="s">
        <v>44</v>
      </c>
      <c r="D508" s="44" t="s">
        <v>44</v>
      </c>
      <c r="E508" s="44" t="s">
        <v>44</v>
      </c>
      <c r="F508" s="44" t="s">
        <v>44</v>
      </c>
    </row>
    <row r="509">
      <c r="A509" s="44" t="s">
        <v>44</v>
      </c>
      <c r="B509" s="44" t="s">
        <v>44</v>
      </c>
      <c r="C509" s="44" t="s">
        <v>44</v>
      </c>
      <c r="D509" s="44" t="s">
        <v>44</v>
      </c>
      <c r="E509" s="44" t="s">
        <v>44</v>
      </c>
      <c r="F509" s="44" t="s">
        <v>44</v>
      </c>
    </row>
    <row r="510">
      <c r="A510" s="44" t="s">
        <v>44</v>
      </c>
      <c r="B510" s="44" t="s">
        <v>44</v>
      </c>
      <c r="C510" s="44" t="s">
        <v>44</v>
      </c>
      <c r="D510" s="44" t="s">
        <v>44</v>
      </c>
      <c r="E510" s="44" t="s">
        <v>44</v>
      </c>
      <c r="F510" s="44" t="s">
        <v>44</v>
      </c>
    </row>
    <row r="511">
      <c r="A511" s="44" t="s">
        <v>44</v>
      </c>
      <c r="B511" s="44" t="s">
        <v>44</v>
      </c>
      <c r="C511" s="44" t="s">
        <v>44</v>
      </c>
      <c r="D511" s="44" t="s">
        <v>44</v>
      </c>
      <c r="E511" s="44" t="s">
        <v>44</v>
      </c>
      <c r="F511" s="44" t="s">
        <v>44</v>
      </c>
    </row>
    <row r="512">
      <c r="A512" s="44" t="s">
        <v>44</v>
      </c>
      <c r="B512" s="44" t="s">
        <v>44</v>
      </c>
      <c r="C512" s="44" t="s">
        <v>44</v>
      </c>
      <c r="D512" s="44" t="s">
        <v>44</v>
      </c>
      <c r="E512" s="44" t="s">
        <v>44</v>
      </c>
      <c r="F512" s="44" t="s">
        <v>44</v>
      </c>
    </row>
    <row r="513">
      <c r="A513" s="44" t="s">
        <v>44</v>
      </c>
      <c r="B513" s="44" t="s">
        <v>44</v>
      </c>
      <c r="C513" s="44" t="s">
        <v>44</v>
      </c>
      <c r="D513" s="44" t="s">
        <v>44</v>
      </c>
      <c r="E513" s="44" t="s">
        <v>44</v>
      </c>
      <c r="F513" s="44" t="s">
        <v>44</v>
      </c>
    </row>
    <row r="514">
      <c r="A514" s="44" t="s">
        <v>44</v>
      </c>
      <c r="B514" s="44" t="s">
        <v>44</v>
      </c>
      <c r="C514" s="44" t="s">
        <v>44</v>
      </c>
      <c r="D514" s="44" t="s">
        <v>44</v>
      </c>
      <c r="E514" s="44" t="s">
        <v>44</v>
      </c>
      <c r="F514" s="44" t="s">
        <v>44</v>
      </c>
    </row>
    <row r="515">
      <c r="A515" s="44" t="s">
        <v>44</v>
      </c>
      <c r="B515" s="44" t="s">
        <v>44</v>
      </c>
      <c r="C515" s="44" t="s">
        <v>44</v>
      </c>
      <c r="D515" s="44" t="s">
        <v>44</v>
      </c>
      <c r="E515" s="44" t="s">
        <v>44</v>
      </c>
      <c r="F515" s="44" t="s">
        <v>44</v>
      </c>
    </row>
    <row r="516">
      <c r="A516" s="44" t="s">
        <v>44</v>
      </c>
      <c r="B516" s="44" t="s">
        <v>44</v>
      </c>
      <c r="C516" s="44" t="s">
        <v>44</v>
      </c>
      <c r="D516" s="44" t="s">
        <v>44</v>
      </c>
      <c r="E516" s="44" t="s">
        <v>44</v>
      </c>
      <c r="F516" s="44" t="s">
        <v>44</v>
      </c>
    </row>
    <row r="517">
      <c r="A517" s="44" t="s">
        <v>44</v>
      </c>
      <c r="B517" s="44" t="s">
        <v>44</v>
      </c>
      <c r="C517" s="44" t="s">
        <v>44</v>
      </c>
      <c r="D517" s="44" t="s">
        <v>44</v>
      </c>
      <c r="E517" s="44" t="s">
        <v>44</v>
      </c>
      <c r="F517" s="44" t="s">
        <v>44</v>
      </c>
    </row>
    <row r="518">
      <c r="A518" s="44" t="s">
        <v>44</v>
      </c>
      <c r="B518" s="44" t="s">
        <v>44</v>
      </c>
      <c r="C518" s="44" t="s">
        <v>44</v>
      </c>
      <c r="D518" s="44" t="s">
        <v>44</v>
      </c>
      <c r="E518" s="44" t="s">
        <v>44</v>
      </c>
      <c r="F518" s="44" t="s">
        <v>44</v>
      </c>
    </row>
    <row r="519">
      <c r="A519" s="44" t="s">
        <v>44</v>
      </c>
      <c r="B519" s="44" t="s">
        <v>44</v>
      </c>
      <c r="C519" s="44" t="s">
        <v>44</v>
      </c>
      <c r="D519" s="44" t="s">
        <v>44</v>
      </c>
      <c r="E519" s="44" t="s">
        <v>44</v>
      </c>
      <c r="F519" s="44" t="s">
        <v>44</v>
      </c>
    </row>
    <row r="520">
      <c r="A520" s="44" t="s">
        <v>44</v>
      </c>
      <c r="B520" s="44" t="s">
        <v>44</v>
      </c>
      <c r="C520" s="44" t="s">
        <v>44</v>
      </c>
      <c r="D520" s="44" t="s">
        <v>44</v>
      </c>
      <c r="E520" s="44" t="s">
        <v>44</v>
      </c>
      <c r="F520" s="44" t="s">
        <v>44</v>
      </c>
    </row>
    <row r="521">
      <c r="A521" s="44" t="s">
        <v>44</v>
      </c>
      <c r="B521" s="44" t="s">
        <v>44</v>
      </c>
      <c r="C521" s="44" t="s">
        <v>44</v>
      </c>
      <c r="D521" s="44" t="s">
        <v>44</v>
      </c>
      <c r="E521" s="44" t="s">
        <v>44</v>
      </c>
      <c r="F521" s="44" t="s">
        <v>44</v>
      </c>
    </row>
    <row r="522">
      <c r="A522" s="44" t="s">
        <v>44</v>
      </c>
      <c r="B522" s="44" t="s">
        <v>44</v>
      </c>
      <c r="C522" s="44" t="s">
        <v>44</v>
      </c>
      <c r="D522" s="44" t="s">
        <v>44</v>
      </c>
      <c r="E522" s="44" t="s">
        <v>44</v>
      </c>
      <c r="F522" s="44" t="s">
        <v>44</v>
      </c>
    </row>
    <row r="523">
      <c r="A523" s="44" t="s">
        <v>44</v>
      </c>
      <c r="B523" s="44" t="s">
        <v>44</v>
      </c>
      <c r="C523" s="44" t="s">
        <v>44</v>
      </c>
      <c r="D523" s="44" t="s">
        <v>44</v>
      </c>
      <c r="E523" s="44" t="s">
        <v>44</v>
      </c>
      <c r="F523" s="44" t="s">
        <v>44</v>
      </c>
    </row>
    <row r="524">
      <c r="A524" s="44" t="s">
        <v>44</v>
      </c>
      <c r="B524" s="44" t="s">
        <v>44</v>
      </c>
      <c r="C524" s="44" t="s">
        <v>44</v>
      </c>
      <c r="D524" s="44" t="s">
        <v>44</v>
      </c>
      <c r="E524" s="44" t="s">
        <v>44</v>
      </c>
      <c r="F524" s="44" t="s">
        <v>44</v>
      </c>
    </row>
    <row r="525">
      <c r="A525" s="44" t="s">
        <v>44</v>
      </c>
      <c r="B525" s="44" t="s">
        <v>44</v>
      </c>
      <c r="C525" s="44" t="s">
        <v>44</v>
      </c>
      <c r="D525" s="44" t="s">
        <v>44</v>
      </c>
      <c r="E525" s="44" t="s">
        <v>44</v>
      </c>
      <c r="F525" s="44" t="s">
        <v>44</v>
      </c>
    </row>
    <row r="526">
      <c r="A526" s="44" t="s">
        <v>44</v>
      </c>
      <c r="B526" s="44" t="s">
        <v>44</v>
      </c>
      <c r="C526" s="44" t="s">
        <v>44</v>
      </c>
      <c r="D526" s="44" t="s">
        <v>44</v>
      </c>
      <c r="E526" s="44" t="s">
        <v>44</v>
      </c>
      <c r="F526" s="44" t="s">
        <v>44</v>
      </c>
    </row>
    <row r="527">
      <c r="A527" s="44" t="s">
        <v>44</v>
      </c>
      <c r="B527" s="44" t="s">
        <v>44</v>
      </c>
      <c r="C527" s="44" t="s">
        <v>44</v>
      </c>
      <c r="D527" s="44" t="s">
        <v>44</v>
      </c>
      <c r="E527" s="44" t="s">
        <v>44</v>
      </c>
      <c r="F527" s="44" t="s">
        <v>44</v>
      </c>
    </row>
    <row r="528">
      <c r="A528" s="44" t="s">
        <v>44</v>
      </c>
      <c r="B528" s="44" t="s">
        <v>44</v>
      </c>
      <c r="C528" s="44" t="s">
        <v>44</v>
      </c>
      <c r="D528" s="44" t="s">
        <v>44</v>
      </c>
      <c r="E528" s="44" t="s">
        <v>44</v>
      </c>
      <c r="F528" s="44" t="s">
        <v>44</v>
      </c>
    </row>
    <row r="529">
      <c r="A529" s="44" t="s">
        <v>44</v>
      </c>
      <c r="B529" s="44" t="s">
        <v>44</v>
      </c>
      <c r="C529" s="44" t="s">
        <v>44</v>
      </c>
      <c r="D529" s="44" t="s">
        <v>44</v>
      </c>
      <c r="E529" s="44" t="s">
        <v>44</v>
      </c>
      <c r="F529" s="44" t="s">
        <v>44</v>
      </c>
    </row>
    <row r="530">
      <c r="A530" s="44" t="s">
        <v>44</v>
      </c>
      <c r="B530" s="44" t="s">
        <v>44</v>
      </c>
      <c r="C530" s="44" t="s">
        <v>44</v>
      </c>
      <c r="D530" s="44" t="s">
        <v>44</v>
      </c>
      <c r="E530" s="44" t="s">
        <v>44</v>
      </c>
      <c r="F530" s="44" t="s">
        <v>44</v>
      </c>
    </row>
    <row r="531">
      <c r="A531" s="44" t="s">
        <v>44</v>
      </c>
      <c r="B531" s="44" t="s">
        <v>44</v>
      </c>
      <c r="C531" s="44" t="s">
        <v>44</v>
      </c>
      <c r="D531" s="44" t="s">
        <v>44</v>
      </c>
      <c r="E531" s="44" t="s">
        <v>44</v>
      </c>
      <c r="F531" s="44" t="s">
        <v>44</v>
      </c>
    </row>
    <row r="532">
      <c r="A532" s="44" t="s">
        <v>44</v>
      </c>
      <c r="B532" s="44" t="s">
        <v>44</v>
      </c>
      <c r="C532" s="44" t="s">
        <v>44</v>
      </c>
      <c r="D532" s="44" t="s">
        <v>44</v>
      </c>
      <c r="E532" s="44" t="s">
        <v>44</v>
      </c>
      <c r="F532" s="44" t="s">
        <v>44</v>
      </c>
    </row>
    <row r="533">
      <c r="A533" s="44" t="s">
        <v>44</v>
      </c>
      <c r="B533" s="44" t="s">
        <v>44</v>
      </c>
      <c r="C533" s="44" t="s">
        <v>44</v>
      </c>
      <c r="D533" s="44" t="s">
        <v>44</v>
      </c>
      <c r="E533" s="44" t="s">
        <v>44</v>
      </c>
      <c r="F533" s="44" t="s">
        <v>44</v>
      </c>
    </row>
    <row r="534">
      <c r="A534" s="44" t="s">
        <v>44</v>
      </c>
      <c r="B534" s="44" t="s">
        <v>44</v>
      </c>
      <c r="C534" s="44" t="s">
        <v>44</v>
      </c>
      <c r="D534" s="44" t="s">
        <v>44</v>
      </c>
      <c r="E534" s="44" t="s">
        <v>44</v>
      </c>
      <c r="F534" s="44" t="s">
        <v>44</v>
      </c>
    </row>
    <row r="535">
      <c r="A535" s="44" t="s">
        <v>44</v>
      </c>
      <c r="B535" s="44" t="s">
        <v>44</v>
      </c>
      <c r="C535" s="44" t="s">
        <v>44</v>
      </c>
      <c r="D535" s="44" t="s">
        <v>44</v>
      </c>
      <c r="E535" s="44" t="s">
        <v>44</v>
      </c>
      <c r="F535" s="44" t="s">
        <v>44</v>
      </c>
    </row>
    <row r="536">
      <c r="A536" s="44" t="s">
        <v>44</v>
      </c>
      <c r="B536" s="44" t="s">
        <v>44</v>
      </c>
      <c r="C536" s="44" t="s">
        <v>44</v>
      </c>
      <c r="D536" s="44" t="s">
        <v>44</v>
      </c>
      <c r="E536" s="44" t="s">
        <v>44</v>
      </c>
      <c r="F536" s="44" t="s">
        <v>44</v>
      </c>
    </row>
    <row r="537">
      <c r="A537" s="44" t="s">
        <v>44</v>
      </c>
      <c r="B537" s="44" t="s">
        <v>44</v>
      </c>
      <c r="C537" s="44" t="s">
        <v>44</v>
      </c>
      <c r="D537" s="44" t="s">
        <v>44</v>
      </c>
      <c r="E537" s="44" t="s">
        <v>44</v>
      </c>
      <c r="F537" s="44" t="s">
        <v>44</v>
      </c>
    </row>
    <row r="538">
      <c r="A538" s="44" t="s">
        <v>44</v>
      </c>
      <c r="B538" s="44" t="s">
        <v>44</v>
      </c>
      <c r="C538" s="44" t="s">
        <v>44</v>
      </c>
      <c r="D538" s="44" t="s">
        <v>44</v>
      </c>
      <c r="E538" s="44" t="s">
        <v>44</v>
      </c>
      <c r="F538" s="44" t="s">
        <v>44</v>
      </c>
    </row>
    <row r="539">
      <c r="A539" s="44" t="s">
        <v>44</v>
      </c>
      <c r="B539" s="44" t="s">
        <v>44</v>
      </c>
      <c r="C539" s="44" t="s">
        <v>44</v>
      </c>
      <c r="D539" s="44" t="s">
        <v>44</v>
      </c>
      <c r="E539" s="44" t="s">
        <v>44</v>
      </c>
      <c r="F539" s="44" t="s">
        <v>44</v>
      </c>
    </row>
    <row r="540">
      <c r="A540" s="44" t="s">
        <v>44</v>
      </c>
      <c r="B540" s="44" t="s">
        <v>44</v>
      </c>
      <c r="C540" s="44" t="s">
        <v>44</v>
      </c>
      <c r="D540" s="44" t="s">
        <v>44</v>
      </c>
      <c r="E540" s="44" t="s">
        <v>44</v>
      </c>
      <c r="F540" s="44" t="s">
        <v>44</v>
      </c>
    </row>
    <row r="541">
      <c r="A541" s="44" t="s">
        <v>44</v>
      </c>
      <c r="B541" s="44" t="s">
        <v>44</v>
      </c>
      <c r="C541" s="44" t="s">
        <v>44</v>
      </c>
      <c r="D541" s="44" t="s">
        <v>44</v>
      </c>
      <c r="E541" s="44" t="s">
        <v>44</v>
      </c>
      <c r="F541" s="44" t="s">
        <v>44</v>
      </c>
    </row>
    <row r="542">
      <c r="A542" s="44" t="s">
        <v>44</v>
      </c>
      <c r="B542" s="44" t="s">
        <v>44</v>
      </c>
      <c r="C542" s="44" t="s">
        <v>44</v>
      </c>
      <c r="D542" s="44" t="s">
        <v>44</v>
      </c>
      <c r="E542" s="44" t="s">
        <v>44</v>
      </c>
      <c r="F542" s="44" t="s">
        <v>44</v>
      </c>
    </row>
    <row r="543">
      <c r="A543" s="44" t="s">
        <v>44</v>
      </c>
      <c r="B543" s="44" t="s">
        <v>44</v>
      </c>
      <c r="C543" s="44" t="s">
        <v>44</v>
      </c>
      <c r="D543" s="44" t="s">
        <v>44</v>
      </c>
      <c r="E543" s="44" t="s">
        <v>44</v>
      </c>
      <c r="F543" s="44" t="s">
        <v>44</v>
      </c>
    </row>
    <row r="544">
      <c r="A544" s="44" t="s">
        <v>44</v>
      </c>
      <c r="B544" s="44" t="s">
        <v>44</v>
      </c>
      <c r="C544" s="44" t="s">
        <v>44</v>
      </c>
      <c r="D544" s="44" t="s">
        <v>44</v>
      </c>
      <c r="E544" s="44" t="s">
        <v>44</v>
      </c>
      <c r="F544" s="44" t="s">
        <v>44</v>
      </c>
    </row>
    <row r="545">
      <c r="A545" s="44" t="s">
        <v>44</v>
      </c>
      <c r="B545" s="44" t="s">
        <v>44</v>
      </c>
      <c r="C545" s="44" t="s">
        <v>44</v>
      </c>
      <c r="D545" s="44" t="s">
        <v>44</v>
      </c>
      <c r="E545" s="44" t="s">
        <v>44</v>
      </c>
      <c r="F545" s="44" t="s">
        <v>44</v>
      </c>
    </row>
    <row r="546">
      <c r="A546" s="44" t="s">
        <v>44</v>
      </c>
      <c r="B546" s="44" t="s">
        <v>44</v>
      </c>
      <c r="C546" s="44" t="s">
        <v>44</v>
      </c>
      <c r="D546" s="44" t="s">
        <v>44</v>
      </c>
      <c r="E546" s="44" t="s">
        <v>44</v>
      </c>
      <c r="F546" s="44" t="s">
        <v>44</v>
      </c>
    </row>
    <row r="547">
      <c r="A547" s="44" t="s">
        <v>44</v>
      </c>
      <c r="B547" s="44" t="s">
        <v>44</v>
      </c>
      <c r="C547" s="44" t="s">
        <v>44</v>
      </c>
      <c r="D547" s="44" t="s">
        <v>44</v>
      </c>
      <c r="E547" s="44" t="s">
        <v>44</v>
      </c>
      <c r="F547" s="44" t="s">
        <v>44</v>
      </c>
    </row>
    <row r="548">
      <c r="A548" s="44" t="s">
        <v>44</v>
      </c>
      <c r="B548" s="44" t="s">
        <v>44</v>
      </c>
      <c r="C548" s="44" t="s">
        <v>44</v>
      </c>
      <c r="D548" s="44" t="s">
        <v>44</v>
      </c>
      <c r="E548" s="44" t="s">
        <v>44</v>
      </c>
      <c r="F548" s="44" t="s">
        <v>44</v>
      </c>
    </row>
    <row r="549">
      <c r="A549" s="44" t="s">
        <v>44</v>
      </c>
      <c r="B549" s="44" t="s">
        <v>44</v>
      </c>
      <c r="C549" s="44" t="s">
        <v>44</v>
      </c>
      <c r="D549" s="44" t="s">
        <v>44</v>
      </c>
      <c r="E549" s="44" t="s">
        <v>44</v>
      </c>
      <c r="F549" s="44" t="s">
        <v>44</v>
      </c>
    </row>
    <row r="550">
      <c r="A550" s="44" t="s">
        <v>44</v>
      </c>
      <c r="B550" s="44" t="s">
        <v>44</v>
      </c>
      <c r="C550" s="44" t="s">
        <v>44</v>
      </c>
      <c r="D550" s="44" t="s">
        <v>44</v>
      </c>
      <c r="E550" s="44" t="s">
        <v>44</v>
      </c>
      <c r="F550" s="44" t="s">
        <v>44</v>
      </c>
    </row>
    <row r="551">
      <c r="A551" s="44" t="s">
        <v>44</v>
      </c>
      <c r="B551" s="44" t="s">
        <v>44</v>
      </c>
      <c r="C551" s="44" t="s">
        <v>44</v>
      </c>
      <c r="D551" s="44" t="s">
        <v>44</v>
      </c>
      <c r="E551" s="44" t="s">
        <v>44</v>
      </c>
      <c r="F551" s="44" t="s">
        <v>44</v>
      </c>
    </row>
    <row r="552">
      <c r="A552" s="44" t="s">
        <v>44</v>
      </c>
      <c r="B552" s="44" t="s">
        <v>44</v>
      </c>
      <c r="C552" s="44" t="s">
        <v>44</v>
      </c>
      <c r="D552" s="44" t="s">
        <v>44</v>
      </c>
      <c r="E552" s="44" t="s">
        <v>44</v>
      </c>
      <c r="F552" s="44" t="s">
        <v>44</v>
      </c>
    </row>
    <row r="553">
      <c r="A553" s="44" t="s">
        <v>44</v>
      </c>
      <c r="B553" s="44" t="s">
        <v>44</v>
      </c>
      <c r="C553" s="44" t="s">
        <v>44</v>
      </c>
      <c r="D553" s="44" t="s">
        <v>44</v>
      </c>
      <c r="E553" s="44" t="s">
        <v>44</v>
      </c>
      <c r="F553" s="44" t="s">
        <v>44</v>
      </c>
    </row>
    <row r="554">
      <c r="A554" s="44" t="s">
        <v>44</v>
      </c>
      <c r="B554" s="44" t="s">
        <v>44</v>
      </c>
      <c r="C554" s="44" t="s">
        <v>44</v>
      </c>
      <c r="D554" s="44" t="s">
        <v>44</v>
      </c>
      <c r="E554" s="44" t="s">
        <v>44</v>
      </c>
      <c r="F554" s="44" t="s">
        <v>44</v>
      </c>
    </row>
    <row r="555">
      <c r="A555" s="44" t="s">
        <v>44</v>
      </c>
      <c r="B555" s="44" t="s">
        <v>44</v>
      </c>
      <c r="C555" s="44" t="s">
        <v>44</v>
      </c>
      <c r="D555" s="44" t="s">
        <v>44</v>
      </c>
      <c r="E555" s="44" t="s">
        <v>44</v>
      </c>
      <c r="F555" s="44" t="s">
        <v>44</v>
      </c>
    </row>
    <row r="556">
      <c r="A556" s="44" t="s">
        <v>44</v>
      </c>
      <c r="B556" s="44" t="s">
        <v>44</v>
      </c>
      <c r="C556" s="44" t="s">
        <v>44</v>
      </c>
      <c r="D556" s="44" t="s">
        <v>44</v>
      </c>
      <c r="E556" s="44" t="s">
        <v>44</v>
      </c>
      <c r="F556" s="44" t="s">
        <v>44</v>
      </c>
    </row>
    <row r="557">
      <c r="A557" s="44" t="s">
        <v>44</v>
      </c>
      <c r="B557" s="44" t="s">
        <v>44</v>
      </c>
      <c r="C557" s="44" t="s">
        <v>44</v>
      </c>
      <c r="D557" s="44" t="s">
        <v>44</v>
      </c>
      <c r="E557" s="44" t="s">
        <v>44</v>
      </c>
      <c r="F557" s="44" t="s">
        <v>44</v>
      </c>
    </row>
    <row r="558">
      <c r="A558" s="44" t="s">
        <v>44</v>
      </c>
      <c r="B558" s="44" t="s">
        <v>44</v>
      </c>
      <c r="C558" s="44" t="s">
        <v>44</v>
      </c>
      <c r="D558" s="44" t="s">
        <v>44</v>
      </c>
      <c r="E558" s="44" t="s">
        <v>44</v>
      </c>
      <c r="F558" s="44" t="s">
        <v>44</v>
      </c>
    </row>
    <row r="559">
      <c r="A559" s="44" t="s">
        <v>44</v>
      </c>
      <c r="B559" s="44" t="s">
        <v>44</v>
      </c>
      <c r="C559" s="44" t="s">
        <v>44</v>
      </c>
      <c r="D559" s="44" t="s">
        <v>44</v>
      </c>
      <c r="E559" s="44" t="s">
        <v>44</v>
      </c>
      <c r="F559" s="44" t="s">
        <v>44</v>
      </c>
    </row>
    <row r="560">
      <c r="A560" s="44" t="s">
        <v>44</v>
      </c>
      <c r="B560" s="44" t="s">
        <v>44</v>
      </c>
      <c r="C560" s="44" t="s">
        <v>44</v>
      </c>
      <c r="D560" s="44" t="s">
        <v>44</v>
      </c>
      <c r="E560" s="44" t="s">
        <v>44</v>
      </c>
      <c r="F560" s="44" t="s">
        <v>44</v>
      </c>
    </row>
    <row r="561">
      <c r="A561" s="44" t="s">
        <v>44</v>
      </c>
      <c r="B561" s="44" t="s">
        <v>44</v>
      </c>
      <c r="C561" s="44" t="s">
        <v>44</v>
      </c>
      <c r="D561" s="44" t="s">
        <v>44</v>
      </c>
      <c r="E561" s="44" t="s">
        <v>44</v>
      </c>
      <c r="F561" s="44" t="s">
        <v>44</v>
      </c>
    </row>
    <row r="562">
      <c r="A562" s="44" t="s">
        <v>44</v>
      </c>
      <c r="B562" s="44" t="s">
        <v>44</v>
      </c>
      <c r="C562" s="44" t="s">
        <v>44</v>
      </c>
      <c r="D562" s="44" t="s">
        <v>44</v>
      </c>
      <c r="E562" s="44" t="s">
        <v>44</v>
      </c>
      <c r="F562" s="44" t="s">
        <v>44</v>
      </c>
    </row>
    <row r="563">
      <c r="A563" s="44" t="s">
        <v>44</v>
      </c>
      <c r="B563" s="44" t="s">
        <v>44</v>
      </c>
      <c r="C563" s="44" t="s">
        <v>44</v>
      </c>
      <c r="D563" s="44" t="s">
        <v>44</v>
      </c>
      <c r="E563" s="44" t="s">
        <v>44</v>
      </c>
      <c r="F563" s="44" t="s">
        <v>44</v>
      </c>
    </row>
    <row r="564">
      <c r="A564" s="44" t="s">
        <v>44</v>
      </c>
      <c r="B564" s="44" t="s">
        <v>44</v>
      </c>
      <c r="C564" s="44" t="s">
        <v>44</v>
      </c>
      <c r="D564" s="44" t="s">
        <v>44</v>
      </c>
      <c r="E564" s="44" t="s">
        <v>44</v>
      </c>
      <c r="F564" s="44" t="s">
        <v>44</v>
      </c>
    </row>
    <row r="565">
      <c r="A565" s="44" t="s">
        <v>44</v>
      </c>
      <c r="B565" s="44" t="s">
        <v>44</v>
      </c>
      <c r="C565" s="44" t="s">
        <v>44</v>
      </c>
      <c r="D565" s="44" t="s">
        <v>44</v>
      </c>
      <c r="E565" s="44" t="s">
        <v>44</v>
      </c>
      <c r="F565" s="44" t="s">
        <v>44</v>
      </c>
    </row>
    <row r="566">
      <c r="A566" s="44" t="s">
        <v>44</v>
      </c>
      <c r="B566" s="44" t="s">
        <v>44</v>
      </c>
      <c r="C566" s="44" t="s">
        <v>44</v>
      </c>
      <c r="D566" s="44" t="s">
        <v>44</v>
      </c>
      <c r="E566" s="44" t="s">
        <v>44</v>
      </c>
      <c r="F566" s="44" t="s">
        <v>44</v>
      </c>
    </row>
    <row r="567">
      <c r="A567" s="44" t="s">
        <v>44</v>
      </c>
      <c r="B567" s="44" t="s">
        <v>44</v>
      </c>
      <c r="C567" s="44" t="s">
        <v>44</v>
      </c>
      <c r="D567" s="44" t="s">
        <v>44</v>
      </c>
      <c r="E567" s="44" t="s">
        <v>44</v>
      </c>
      <c r="F567" s="44" t="s">
        <v>44</v>
      </c>
    </row>
    <row r="568">
      <c r="A568" s="44" t="s">
        <v>44</v>
      </c>
      <c r="B568" s="44" t="s">
        <v>44</v>
      </c>
      <c r="C568" s="44" t="s">
        <v>44</v>
      </c>
      <c r="D568" s="44" t="s">
        <v>44</v>
      </c>
      <c r="E568" s="44" t="s">
        <v>44</v>
      </c>
      <c r="F568" s="44" t="s">
        <v>44</v>
      </c>
    </row>
    <row r="569">
      <c r="A569" s="44" t="s">
        <v>44</v>
      </c>
      <c r="B569" s="44" t="s">
        <v>44</v>
      </c>
      <c r="C569" s="44" t="s">
        <v>44</v>
      </c>
      <c r="D569" s="44" t="s">
        <v>44</v>
      </c>
      <c r="E569" s="44" t="s">
        <v>44</v>
      </c>
      <c r="F569" s="44" t="s">
        <v>44</v>
      </c>
    </row>
    <row r="570">
      <c r="A570" s="44" t="s">
        <v>44</v>
      </c>
      <c r="B570" s="44" t="s">
        <v>44</v>
      </c>
      <c r="C570" s="44" t="s">
        <v>44</v>
      </c>
      <c r="D570" s="44" t="s">
        <v>44</v>
      </c>
      <c r="E570" s="44" t="s">
        <v>44</v>
      </c>
      <c r="F570" s="44" t="s">
        <v>44</v>
      </c>
    </row>
    <row r="571">
      <c r="A571" s="44" t="s">
        <v>44</v>
      </c>
      <c r="B571" s="44" t="s">
        <v>44</v>
      </c>
      <c r="C571" s="44" t="s">
        <v>44</v>
      </c>
      <c r="D571" s="44" t="s">
        <v>44</v>
      </c>
      <c r="E571" s="44" t="s">
        <v>44</v>
      </c>
      <c r="F571" s="44" t="s">
        <v>44</v>
      </c>
    </row>
    <row r="572">
      <c r="A572" s="44" t="s">
        <v>44</v>
      </c>
      <c r="B572" s="44" t="s">
        <v>44</v>
      </c>
      <c r="C572" s="44" t="s">
        <v>44</v>
      </c>
      <c r="D572" s="44" t="s">
        <v>44</v>
      </c>
      <c r="E572" s="44" t="s">
        <v>44</v>
      </c>
      <c r="F572" s="44" t="s">
        <v>44</v>
      </c>
    </row>
    <row r="573">
      <c r="A573" s="44" t="s">
        <v>44</v>
      </c>
      <c r="B573" s="44" t="s">
        <v>44</v>
      </c>
      <c r="C573" s="44" t="s">
        <v>44</v>
      </c>
      <c r="D573" s="44" t="s">
        <v>44</v>
      </c>
      <c r="E573" s="44" t="s">
        <v>44</v>
      </c>
      <c r="F573" s="44" t="s">
        <v>44</v>
      </c>
    </row>
    <row r="574">
      <c r="A574" s="44" t="s">
        <v>44</v>
      </c>
      <c r="B574" s="44" t="s">
        <v>44</v>
      </c>
      <c r="C574" s="44" t="s">
        <v>44</v>
      </c>
      <c r="D574" s="44" t="s">
        <v>44</v>
      </c>
      <c r="E574" s="44" t="s">
        <v>44</v>
      </c>
      <c r="F574" s="44" t="s">
        <v>44</v>
      </c>
    </row>
    <row r="575">
      <c r="A575" s="44" t="s">
        <v>44</v>
      </c>
      <c r="B575" s="44" t="s">
        <v>44</v>
      </c>
      <c r="C575" s="44" t="s">
        <v>44</v>
      </c>
      <c r="D575" s="44" t="s">
        <v>44</v>
      </c>
      <c r="E575" s="44" t="s">
        <v>44</v>
      </c>
      <c r="F575" s="44" t="s">
        <v>44</v>
      </c>
    </row>
    <row r="576">
      <c r="A576" s="44" t="s">
        <v>44</v>
      </c>
      <c r="B576" s="44" t="s">
        <v>44</v>
      </c>
      <c r="C576" s="44" t="s">
        <v>44</v>
      </c>
      <c r="D576" s="44" t="s">
        <v>44</v>
      </c>
      <c r="E576" s="44" t="s">
        <v>44</v>
      </c>
      <c r="F576" s="44" t="s">
        <v>44</v>
      </c>
    </row>
    <row r="577">
      <c r="A577" s="44" t="s">
        <v>44</v>
      </c>
      <c r="B577" s="44" t="s">
        <v>44</v>
      </c>
      <c r="C577" s="44" t="s">
        <v>44</v>
      </c>
      <c r="D577" s="44" t="s">
        <v>44</v>
      </c>
      <c r="E577" s="44" t="s">
        <v>44</v>
      </c>
      <c r="F577" s="44" t="s">
        <v>44</v>
      </c>
    </row>
    <row r="578">
      <c r="A578" s="44" t="s">
        <v>44</v>
      </c>
      <c r="B578" s="44" t="s">
        <v>44</v>
      </c>
      <c r="C578" s="44" t="s">
        <v>44</v>
      </c>
      <c r="D578" s="44" t="s">
        <v>44</v>
      </c>
      <c r="E578" s="44" t="s">
        <v>44</v>
      </c>
      <c r="F578" s="44" t="s">
        <v>44</v>
      </c>
    </row>
    <row r="579">
      <c r="A579" s="44" t="s">
        <v>44</v>
      </c>
      <c r="B579" s="44" t="s">
        <v>44</v>
      </c>
      <c r="C579" s="44" t="s">
        <v>44</v>
      </c>
      <c r="D579" s="44" t="s">
        <v>44</v>
      </c>
      <c r="E579" s="44" t="s">
        <v>44</v>
      </c>
      <c r="F579" s="44" t="s">
        <v>44</v>
      </c>
    </row>
    <row r="580">
      <c r="A580" s="44" t="s">
        <v>44</v>
      </c>
      <c r="B580" s="44" t="s">
        <v>44</v>
      </c>
      <c r="C580" s="44" t="s">
        <v>44</v>
      </c>
      <c r="D580" s="44" t="s">
        <v>44</v>
      </c>
      <c r="E580" s="44" t="s">
        <v>44</v>
      </c>
      <c r="F580" s="44" t="s">
        <v>44</v>
      </c>
    </row>
    <row r="581">
      <c r="A581" s="44" t="s">
        <v>44</v>
      </c>
      <c r="B581" s="44" t="s">
        <v>44</v>
      </c>
      <c r="C581" s="44" t="s">
        <v>44</v>
      </c>
      <c r="D581" s="44" t="s">
        <v>44</v>
      </c>
      <c r="E581" s="44" t="s">
        <v>44</v>
      </c>
      <c r="F581" s="44" t="s">
        <v>44</v>
      </c>
    </row>
    <row r="582">
      <c r="A582" s="44" t="s">
        <v>44</v>
      </c>
      <c r="B582" s="44" t="s">
        <v>44</v>
      </c>
      <c r="C582" s="44" t="s">
        <v>44</v>
      </c>
      <c r="D582" s="44" t="s">
        <v>44</v>
      </c>
      <c r="E582" s="44" t="s">
        <v>44</v>
      </c>
      <c r="F582" s="44" t="s">
        <v>44</v>
      </c>
    </row>
    <row r="583">
      <c r="A583" s="44" t="s">
        <v>44</v>
      </c>
      <c r="B583" s="44" t="s">
        <v>44</v>
      </c>
      <c r="C583" s="44" t="s">
        <v>44</v>
      </c>
      <c r="D583" s="44" t="s">
        <v>44</v>
      </c>
      <c r="E583" s="44" t="s">
        <v>44</v>
      </c>
      <c r="F583" s="44" t="s">
        <v>44</v>
      </c>
    </row>
    <row r="584">
      <c r="A584" s="44" t="s">
        <v>44</v>
      </c>
      <c r="B584" s="44" t="s">
        <v>44</v>
      </c>
      <c r="C584" s="44" t="s">
        <v>44</v>
      </c>
      <c r="D584" s="44" t="s">
        <v>44</v>
      </c>
      <c r="E584" s="44" t="s">
        <v>44</v>
      </c>
      <c r="F584" s="44" t="s">
        <v>44</v>
      </c>
    </row>
    <row r="585">
      <c r="A585" s="44" t="s">
        <v>44</v>
      </c>
      <c r="B585" s="44" t="s">
        <v>44</v>
      </c>
      <c r="C585" s="44" t="s">
        <v>44</v>
      </c>
      <c r="D585" s="44" t="s">
        <v>44</v>
      </c>
      <c r="E585" s="44" t="s">
        <v>44</v>
      </c>
      <c r="F585" s="44" t="s">
        <v>44</v>
      </c>
    </row>
    <row r="586">
      <c r="A586" s="44" t="s">
        <v>44</v>
      </c>
      <c r="B586" s="44" t="s">
        <v>44</v>
      </c>
      <c r="C586" s="44" t="s">
        <v>44</v>
      </c>
      <c r="D586" s="44" t="s">
        <v>44</v>
      </c>
      <c r="E586" s="44" t="s">
        <v>44</v>
      </c>
      <c r="F586" s="44" t="s">
        <v>44</v>
      </c>
    </row>
    <row r="587">
      <c r="A587" s="44" t="s">
        <v>44</v>
      </c>
      <c r="B587" s="44" t="s">
        <v>44</v>
      </c>
      <c r="C587" s="44" t="s">
        <v>44</v>
      </c>
      <c r="D587" s="44" t="s">
        <v>44</v>
      </c>
      <c r="E587" s="44" t="s">
        <v>44</v>
      </c>
      <c r="F587" s="44" t="s">
        <v>44</v>
      </c>
    </row>
    <row r="588">
      <c r="A588" s="44" t="s">
        <v>44</v>
      </c>
      <c r="B588" s="44" t="s">
        <v>44</v>
      </c>
      <c r="C588" s="44" t="s">
        <v>44</v>
      </c>
      <c r="D588" s="44" t="s">
        <v>44</v>
      </c>
      <c r="E588" s="44" t="s">
        <v>44</v>
      </c>
      <c r="F588" s="44" t="s">
        <v>44</v>
      </c>
    </row>
    <row r="589">
      <c r="A589" s="44" t="s">
        <v>44</v>
      </c>
      <c r="B589" s="44" t="s">
        <v>44</v>
      </c>
      <c r="C589" s="44" t="s">
        <v>44</v>
      </c>
      <c r="D589" s="44" t="s">
        <v>44</v>
      </c>
      <c r="E589" s="44" t="s">
        <v>44</v>
      </c>
      <c r="F589" s="44" t="s">
        <v>44</v>
      </c>
    </row>
    <row r="590">
      <c r="A590" s="44" t="s">
        <v>44</v>
      </c>
      <c r="B590" s="44" t="s">
        <v>44</v>
      </c>
      <c r="C590" s="44" t="s">
        <v>44</v>
      </c>
      <c r="D590" s="44" t="s">
        <v>44</v>
      </c>
      <c r="E590" s="44" t="s">
        <v>44</v>
      </c>
      <c r="F590" s="44" t="s">
        <v>44</v>
      </c>
    </row>
    <row r="591">
      <c r="A591" s="44" t="s">
        <v>44</v>
      </c>
      <c r="B591" s="44" t="s">
        <v>44</v>
      </c>
      <c r="C591" s="44" t="s">
        <v>44</v>
      </c>
      <c r="D591" s="44" t="s">
        <v>44</v>
      </c>
      <c r="E591" s="44" t="s">
        <v>44</v>
      </c>
      <c r="F591" s="44" t="s">
        <v>44</v>
      </c>
    </row>
    <row r="592">
      <c r="A592" s="44" t="s">
        <v>44</v>
      </c>
      <c r="B592" s="44" t="s">
        <v>44</v>
      </c>
      <c r="C592" s="44" t="s">
        <v>44</v>
      </c>
      <c r="D592" s="44" t="s">
        <v>44</v>
      </c>
      <c r="E592" s="44" t="s">
        <v>44</v>
      </c>
      <c r="F592" s="44" t="s">
        <v>44</v>
      </c>
    </row>
    <row r="593">
      <c r="A593" s="44" t="s">
        <v>44</v>
      </c>
      <c r="B593" s="44" t="s">
        <v>44</v>
      </c>
      <c r="C593" s="44" t="s">
        <v>44</v>
      </c>
      <c r="D593" s="44" t="s">
        <v>44</v>
      </c>
      <c r="E593" s="44" t="s">
        <v>44</v>
      </c>
      <c r="F593" s="44" t="s">
        <v>44</v>
      </c>
    </row>
    <row r="594">
      <c r="A594" s="44" t="s">
        <v>44</v>
      </c>
      <c r="B594" s="44" t="s">
        <v>44</v>
      </c>
      <c r="C594" s="44" t="s">
        <v>44</v>
      </c>
      <c r="D594" s="44" t="s">
        <v>44</v>
      </c>
      <c r="E594" s="44" t="s">
        <v>44</v>
      </c>
      <c r="F594" s="44" t="s">
        <v>44</v>
      </c>
    </row>
    <row r="595">
      <c r="A595" s="44" t="s">
        <v>44</v>
      </c>
      <c r="B595" s="44" t="s">
        <v>44</v>
      </c>
      <c r="C595" s="44" t="s">
        <v>44</v>
      </c>
      <c r="D595" s="44" t="s">
        <v>44</v>
      </c>
      <c r="E595" s="44" t="s">
        <v>44</v>
      </c>
      <c r="F595" s="44" t="s">
        <v>44</v>
      </c>
    </row>
    <row r="596">
      <c r="A596" s="44" t="s">
        <v>44</v>
      </c>
      <c r="B596" s="44" t="s">
        <v>44</v>
      </c>
      <c r="C596" s="44" t="s">
        <v>44</v>
      </c>
      <c r="D596" s="44" t="s">
        <v>44</v>
      </c>
      <c r="E596" s="44" t="s">
        <v>44</v>
      </c>
      <c r="F596" s="44" t="s">
        <v>44</v>
      </c>
    </row>
    <row r="597">
      <c r="A597" s="44" t="s">
        <v>44</v>
      </c>
      <c r="B597" s="44" t="s">
        <v>44</v>
      </c>
      <c r="C597" s="44" t="s">
        <v>44</v>
      </c>
      <c r="D597" s="44" t="s">
        <v>44</v>
      </c>
      <c r="E597" s="44" t="s">
        <v>44</v>
      </c>
      <c r="F597" s="44" t="s">
        <v>44</v>
      </c>
    </row>
    <row r="598">
      <c r="A598" s="44" t="s">
        <v>44</v>
      </c>
      <c r="B598" s="44" t="s">
        <v>44</v>
      </c>
      <c r="C598" s="44" t="s">
        <v>44</v>
      </c>
      <c r="D598" s="44" t="s">
        <v>44</v>
      </c>
      <c r="E598" s="44" t="s">
        <v>44</v>
      </c>
      <c r="F598" s="44" t="s">
        <v>44</v>
      </c>
    </row>
    <row r="599">
      <c r="A599" s="44" t="s">
        <v>44</v>
      </c>
      <c r="B599" s="44" t="s">
        <v>44</v>
      </c>
      <c r="C599" s="44" t="s">
        <v>44</v>
      </c>
      <c r="D599" s="44" t="s">
        <v>44</v>
      </c>
      <c r="E599" s="44" t="s">
        <v>44</v>
      </c>
      <c r="F599" s="44" t="s">
        <v>44</v>
      </c>
    </row>
    <row r="600">
      <c r="A600" s="44" t="s">
        <v>44</v>
      </c>
      <c r="B600" s="44" t="s">
        <v>44</v>
      </c>
      <c r="C600" s="44" t="s">
        <v>44</v>
      </c>
      <c r="D600" s="44" t="s">
        <v>44</v>
      </c>
      <c r="E600" s="44" t="s">
        <v>44</v>
      </c>
      <c r="F600" s="44" t="s">
        <v>44</v>
      </c>
    </row>
    <row r="601">
      <c r="A601" s="44" t="s">
        <v>44</v>
      </c>
      <c r="B601" s="44" t="s">
        <v>44</v>
      </c>
      <c r="C601" s="44" t="s">
        <v>44</v>
      </c>
      <c r="D601" s="44" t="s">
        <v>44</v>
      </c>
      <c r="E601" s="44" t="s">
        <v>44</v>
      </c>
      <c r="F601" s="44" t="s">
        <v>44</v>
      </c>
    </row>
    <row r="602">
      <c r="A602" s="44" t="s">
        <v>44</v>
      </c>
      <c r="B602" s="44" t="s">
        <v>44</v>
      </c>
      <c r="C602" s="44" t="s">
        <v>44</v>
      </c>
      <c r="D602" s="44" t="s">
        <v>44</v>
      </c>
      <c r="E602" s="44" t="s">
        <v>44</v>
      </c>
      <c r="F602" s="44" t="s">
        <v>44</v>
      </c>
    </row>
    <row r="603">
      <c r="A603" s="44" t="s">
        <v>44</v>
      </c>
      <c r="B603" s="44" t="s">
        <v>44</v>
      </c>
      <c r="C603" s="44" t="s">
        <v>44</v>
      </c>
      <c r="D603" s="44" t="s">
        <v>44</v>
      </c>
      <c r="E603" s="44" t="s">
        <v>44</v>
      </c>
      <c r="F603" s="44" t="s">
        <v>44</v>
      </c>
    </row>
    <row r="604">
      <c r="A604" s="44" t="s">
        <v>44</v>
      </c>
      <c r="B604" s="44" t="s">
        <v>44</v>
      </c>
      <c r="C604" s="44" t="s">
        <v>44</v>
      </c>
      <c r="D604" s="44" t="s">
        <v>44</v>
      </c>
      <c r="E604" s="44" t="s">
        <v>44</v>
      </c>
      <c r="F604" s="44" t="s">
        <v>44</v>
      </c>
    </row>
    <row r="605">
      <c r="A605" s="44" t="s">
        <v>44</v>
      </c>
      <c r="B605" s="44" t="s">
        <v>44</v>
      </c>
      <c r="C605" s="44" t="s">
        <v>44</v>
      </c>
      <c r="D605" s="44" t="s">
        <v>44</v>
      </c>
      <c r="E605" s="44" t="s">
        <v>44</v>
      </c>
      <c r="F605" s="44" t="s">
        <v>44</v>
      </c>
    </row>
    <row r="606">
      <c r="A606" s="44" t="s">
        <v>44</v>
      </c>
      <c r="B606" s="44" t="s">
        <v>44</v>
      </c>
      <c r="C606" s="44" t="s">
        <v>44</v>
      </c>
      <c r="D606" s="44" t="s">
        <v>44</v>
      </c>
      <c r="E606" s="44" t="s">
        <v>44</v>
      </c>
      <c r="F606" s="44" t="s">
        <v>44</v>
      </c>
    </row>
    <row r="607">
      <c r="A607" s="44" t="s">
        <v>44</v>
      </c>
      <c r="B607" s="44" t="s">
        <v>44</v>
      </c>
      <c r="C607" s="44" t="s">
        <v>44</v>
      </c>
      <c r="D607" s="44" t="s">
        <v>44</v>
      </c>
      <c r="E607" s="44" t="s">
        <v>44</v>
      </c>
      <c r="F607" s="44" t="s">
        <v>44</v>
      </c>
    </row>
    <row r="608">
      <c r="A608" s="44" t="s">
        <v>44</v>
      </c>
      <c r="B608" s="44" t="s">
        <v>44</v>
      </c>
      <c r="C608" s="44" t="s">
        <v>44</v>
      </c>
      <c r="D608" s="44" t="s">
        <v>44</v>
      </c>
      <c r="E608" s="44" t="s">
        <v>44</v>
      </c>
      <c r="F608" s="44" t="s">
        <v>44</v>
      </c>
    </row>
    <row r="609">
      <c r="A609" s="44" t="s">
        <v>44</v>
      </c>
      <c r="B609" s="44" t="s">
        <v>44</v>
      </c>
      <c r="C609" s="44" t="s">
        <v>44</v>
      </c>
      <c r="D609" s="44" t="s">
        <v>44</v>
      </c>
      <c r="E609" s="44" t="s">
        <v>44</v>
      </c>
      <c r="F609" s="44" t="s">
        <v>44</v>
      </c>
    </row>
    <row r="610">
      <c r="A610" s="44" t="s">
        <v>44</v>
      </c>
      <c r="B610" s="44" t="s">
        <v>44</v>
      </c>
      <c r="C610" s="44" t="s">
        <v>44</v>
      </c>
      <c r="D610" s="44" t="s">
        <v>44</v>
      </c>
      <c r="E610" s="44" t="s">
        <v>44</v>
      </c>
      <c r="F610" s="44" t="s">
        <v>44</v>
      </c>
    </row>
    <row r="611">
      <c r="A611" s="44" t="s">
        <v>44</v>
      </c>
      <c r="B611" s="44" t="s">
        <v>44</v>
      </c>
      <c r="C611" s="44" t="s">
        <v>44</v>
      </c>
      <c r="D611" s="44" t="s">
        <v>44</v>
      </c>
      <c r="E611" s="44" t="s">
        <v>44</v>
      </c>
      <c r="F611" s="44" t="s">
        <v>44</v>
      </c>
    </row>
    <row r="612">
      <c r="A612" s="44" t="s">
        <v>44</v>
      </c>
      <c r="B612" s="44" t="s">
        <v>44</v>
      </c>
      <c r="C612" s="44" t="s">
        <v>44</v>
      </c>
      <c r="D612" s="44" t="s">
        <v>44</v>
      </c>
      <c r="E612" s="44" t="s">
        <v>44</v>
      </c>
      <c r="F612" s="44" t="s">
        <v>44</v>
      </c>
    </row>
    <row r="613">
      <c r="A613" s="44" t="s">
        <v>44</v>
      </c>
      <c r="B613" s="44" t="s">
        <v>44</v>
      </c>
      <c r="C613" s="44" t="s">
        <v>44</v>
      </c>
      <c r="D613" s="44" t="s">
        <v>44</v>
      </c>
      <c r="E613" s="44" t="s">
        <v>44</v>
      </c>
      <c r="F613" s="44" t="s">
        <v>44</v>
      </c>
    </row>
    <row r="614">
      <c r="A614" s="44" t="s">
        <v>44</v>
      </c>
      <c r="B614" s="44" t="s">
        <v>44</v>
      </c>
      <c r="C614" s="44" t="s">
        <v>44</v>
      </c>
      <c r="D614" s="44" t="s">
        <v>44</v>
      </c>
      <c r="E614" s="44" t="s">
        <v>44</v>
      </c>
      <c r="F614" s="44" t="s">
        <v>44</v>
      </c>
    </row>
    <row r="615">
      <c r="A615" s="44" t="s">
        <v>44</v>
      </c>
      <c r="B615" s="44" t="s">
        <v>44</v>
      </c>
      <c r="C615" s="44" t="s">
        <v>44</v>
      </c>
      <c r="D615" s="44" t="s">
        <v>44</v>
      </c>
      <c r="E615" s="44" t="s">
        <v>44</v>
      </c>
      <c r="F615" s="44" t="s">
        <v>44</v>
      </c>
    </row>
    <row r="616">
      <c r="A616" s="44" t="s">
        <v>44</v>
      </c>
      <c r="B616" s="44" t="s">
        <v>44</v>
      </c>
      <c r="C616" s="44" t="s">
        <v>44</v>
      </c>
      <c r="D616" s="44" t="s">
        <v>44</v>
      </c>
      <c r="E616" s="44" t="s">
        <v>44</v>
      </c>
      <c r="F616" s="44" t="s">
        <v>44</v>
      </c>
    </row>
    <row r="617">
      <c r="A617" s="44" t="s">
        <v>44</v>
      </c>
      <c r="B617" s="44" t="s">
        <v>44</v>
      </c>
      <c r="C617" s="44" t="s">
        <v>44</v>
      </c>
      <c r="D617" s="44" t="s">
        <v>44</v>
      </c>
      <c r="E617" s="44" t="s">
        <v>44</v>
      </c>
      <c r="F617" s="44" t="s">
        <v>44</v>
      </c>
    </row>
    <row r="618">
      <c r="A618" s="44" t="s">
        <v>44</v>
      </c>
      <c r="B618" s="44" t="s">
        <v>44</v>
      </c>
      <c r="C618" s="44" t="s">
        <v>44</v>
      </c>
      <c r="D618" s="44" t="s">
        <v>44</v>
      </c>
      <c r="E618" s="44" t="s">
        <v>44</v>
      </c>
      <c r="F618" s="44" t="s">
        <v>44</v>
      </c>
    </row>
    <row r="619">
      <c r="A619" s="44" t="s">
        <v>44</v>
      </c>
      <c r="B619" s="44" t="s">
        <v>44</v>
      </c>
      <c r="C619" s="44" t="s">
        <v>44</v>
      </c>
      <c r="D619" s="44" t="s">
        <v>44</v>
      </c>
      <c r="E619" s="44" t="s">
        <v>44</v>
      </c>
      <c r="F619" s="44" t="s">
        <v>44</v>
      </c>
    </row>
    <row r="620">
      <c r="A620" s="44" t="s">
        <v>44</v>
      </c>
      <c r="B620" s="44" t="s">
        <v>44</v>
      </c>
      <c r="C620" s="44" t="s">
        <v>44</v>
      </c>
      <c r="D620" s="44" t="s">
        <v>44</v>
      </c>
      <c r="E620" s="44" t="s">
        <v>44</v>
      </c>
      <c r="F620" s="44" t="s">
        <v>44</v>
      </c>
    </row>
    <row r="621">
      <c r="A621" s="44" t="s">
        <v>44</v>
      </c>
      <c r="B621" s="44" t="s">
        <v>44</v>
      </c>
      <c r="C621" s="44" t="s">
        <v>44</v>
      </c>
      <c r="D621" s="44" t="s">
        <v>44</v>
      </c>
      <c r="E621" s="44" t="s">
        <v>44</v>
      </c>
      <c r="F621" s="44" t="s">
        <v>44</v>
      </c>
    </row>
    <row r="622">
      <c r="A622" s="44" t="s">
        <v>44</v>
      </c>
      <c r="B622" s="44" t="s">
        <v>44</v>
      </c>
      <c r="C622" s="44" t="s">
        <v>44</v>
      </c>
      <c r="D622" s="44" t="s">
        <v>44</v>
      </c>
      <c r="E622" s="44" t="s">
        <v>44</v>
      </c>
      <c r="F622" s="44" t="s">
        <v>44</v>
      </c>
    </row>
    <row r="623">
      <c r="A623" s="44" t="s">
        <v>44</v>
      </c>
      <c r="B623" s="44" t="s">
        <v>44</v>
      </c>
      <c r="C623" s="44" t="s">
        <v>44</v>
      </c>
      <c r="D623" s="44" t="s">
        <v>44</v>
      </c>
      <c r="E623" s="44" t="s">
        <v>44</v>
      </c>
      <c r="F623" s="44" t="s">
        <v>44</v>
      </c>
    </row>
    <row r="624">
      <c r="A624" s="44" t="s">
        <v>44</v>
      </c>
      <c r="B624" s="44" t="s">
        <v>44</v>
      </c>
      <c r="C624" s="44" t="s">
        <v>44</v>
      </c>
      <c r="D624" s="44" t="s">
        <v>44</v>
      </c>
      <c r="E624" s="44" t="s">
        <v>44</v>
      </c>
      <c r="F624" s="44" t="s">
        <v>44</v>
      </c>
    </row>
    <row r="625">
      <c r="A625" s="44" t="s">
        <v>44</v>
      </c>
      <c r="B625" s="44" t="s">
        <v>44</v>
      </c>
      <c r="C625" s="44" t="s">
        <v>44</v>
      </c>
      <c r="D625" s="44" t="s">
        <v>44</v>
      </c>
      <c r="E625" s="44" t="s">
        <v>44</v>
      </c>
      <c r="F625" s="44" t="s">
        <v>44</v>
      </c>
    </row>
    <row r="626">
      <c r="A626" s="44" t="s">
        <v>44</v>
      </c>
      <c r="B626" s="44" t="s">
        <v>44</v>
      </c>
      <c r="C626" s="44" t="s">
        <v>44</v>
      </c>
      <c r="D626" s="44" t="s">
        <v>44</v>
      </c>
      <c r="E626" s="44" t="s">
        <v>44</v>
      </c>
      <c r="F626" s="44" t="s">
        <v>44</v>
      </c>
    </row>
    <row r="627">
      <c r="A627" s="44" t="s">
        <v>44</v>
      </c>
      <c r="B627" s="44" t="s">
        <v>44</v>
      </c>
      <c r="C627" s="44" t="s">
        <v>44</v>
      </c>
      <c r="D627" s="44" t="s">
        <v>44</v>
      </c>
      <c r="E627" s="44" t="s">
        <v>44</v>
      </c>
      <c r="F627" s="44" t="s">
        <v>44</v>
      </c>
    </row>
    <row r="628">
      <c r="A628" s="44" t="s">
        <v>44</v>
      </c>
      <c r="B628" s="44" t="s">
        <v>44</v>
      </c>
      <c r="C628" s="44" t="s">
        <v>44</v>
      </c>
      <c r="D628" s="44" t="s">
        <v>44</v>
      </c>
      <c r="E628" s="44" t="s">
        <v>44</v>
      </c>
      <c r="F628" s="44" t="s">
        <v>44</v>
      </c>
    </row>
    <row r="629">
      <c r="A629" s="44" t="s">
        <v>44</v>
      </c>
      <c r="B629" s="44" t="s">
        <v>44</v>
      </c>
      <c r="C629" s="44" t="s">
        <v>44</v>
      </c>
      <c r="D629" s="44" t="s">
        <v>44</v>
      </c>
      <c r="E629" s="44" t="s">
        <v>44</v>
      </c>
      <c r="F629" s="44" t="s">
        <v>44</v>
      </c>
    </row>
    <row r="630">
      <c r="A630" s="44" t="s">
        <v>44</v>
      </c>
      <c r="B630" s="44" t="s">
        <v>44</v>
      </c>
      <c r="C630" s="44" t="s">
        <v>44</v>
      </c>
      <c r="D630" s="44" t="s">
        <v>44</v>
      </c>
      <c r="E630" s="44" t="s">
        <v>44</v>
      </c>
      <c r="F630" s="44" t="s">
        <v>44</v>
      </c>
    </row>
    <row r="631">
      <c r="A631" s="44" t="s">
        <v>44</v>
      </c>
      <c r="B631" s="44" t="s">
        <v>44</v>
      </c>
      <c r="C631" s="44" t="s">
        <v>44</v>
      </c>
      <c r="D631" s="44" t="s">
        <v>44</v>
      </c>
      <c r="E631" s="44" t="s">
        <v>44</v>
      </c>
      <c r="F631" s="44" t="s">
        <v>44</v>
      </c>
    </row>
    <row r="632">
      <c r="A632" s="44" t="s">
        <v>44</v>
      </c>
      <c r="B632" s="44" t="s">
        <v>44</v>
      </c>
      <c r="C632" s="44" t="s">
        <v>44</v>
      </c>
      <c r="D632" s="44" t="s">
        <v>44</v>
      </c>
      <c r="E632" s="44" t="s">
        <v>44</v>
      </c>
      <c r="F632" s="44" t="s">
        <v>44</v>
      </c>
    </row>
    <row r="633">
      <c r="A633" s="44" t="s">
        <v>44</v>
      </c>
      <c r="B633" s="44" t="s">
        <v>44</v>
      </c>
      <c r="C633" s="44" t="s">
        <v>44</v>
      </c>
      <c r="D633" s="44" t="s">
        <v>44</v>
      </c>
      <c r="E633" s="44" t="s">
        <v>44</v>
      </c>
      <c r="F633" s="44" t="s">
        <v>44</v>
      </c>
    </row>
    <row r="634">
      <c r="A634" s="44" t="s">
        <v>44</v>
      </c>
      <c r="B634" s="44" t="s">
        <v>44</v>
      </c>
      <c r="C634" s="44" t="s">
        <v>44</v>
      </c>
      <c r="D634" s="44" t="s">
        <v>44</v>
      </c>
      <c r="E634" s="44" t="s">
        <v>44</v>
      </c>
      <c r="F634" s="44" t="s">
        <v>44</v>
      </c>
    </row>
    <row r="635">
      <c r="A635" s="44" t="s">
        <v>44</v>
      </c>
      <c r="B635" s="44" t="s">
        <v>44</v>
      </c>
      <c r="C635" s="44" t="s">
        <v>44</v>
      </c>
      <c r="D635" s="44" t="s">
        <v>44</v>
      </c>
      <c r="E635" s="44" t="s">
        <v>44</v>
      </c>
      <c r="F635" s="44" t="s">
        <v>44</v>
      </c>
    </row>
    <row r="636">
      <c r="A636" s="44" t="s">
        <v>44</v>
      </c>
      <c r="B636" s="44" t="s">
        <v>44</v>
      </c>
      <c r="C636" s="44" t="s">
        <v>44</v>
      </c>
      <c r="D636" s="44" t="s">
        <v>44</v>
      </c>
      <c r="E636" s="44" t="s">
        <v>44</v>
      </c>
      <c r="F636" s="44" t="s">
        <v>44</v>
      </c>
    </row>
    <row r="637">
      <c r="A637" s="44" t="s">
        <v>44</v>
      </c>
      <c r="B637" s="44" t="s">
        <v>44</v>
      </c>
      <c r="C637" s="44" t="s">
        <v>44</v>
      </c>
      <c r="D637" s="44" t="s">
        <v>44</v>
      </c>
      <c r="E637" s="44" t="s">
        <v>44</v>
      </c>
      <c r="F637" s="44" t="s">
        <v>44</v>
      </c>
    </row>
    <row r="638">
      <c r="A638" s="44" t="s">
        <v>44</v>
      </c>
      <c r="B638" s="44" t="s">
        <v>44</v>
      </c>
      <c r="C638" s="44" t="s">
        <v>44</v>
      </c>
      <c r="D638" s="44" t="s">
        <v>44</v>
      </c>
      <c r="E638" s="44" t="s">
        <v>44</v>
      </c>
      <c r="F638" s="44" t="s">
        <v>44</v>
      </c>
    </row>
    <row r="639">
      <c r="A639" s="44" t="s">
        <v>44</v>
      </c>
      <c r="B639" s="44" t="s">
        <v>44</v>
      </c>
      <c r="C639" s="44" t="s">
        <v>44</v>
      </c>
      <c r="D639" s="44" t="s">
        <v>44</v>
      </c>
      <c r="E639" s="44" t="s">
        <v>44</v>
      </c>
      <c r="F639" s="44" t="s">
        <v>44</v>
      </c>
    </row>
    <row r="640">
      <c r="A640" s="44" t="s">
        <v>44</v>
      </c>
      <c r="B640" s="44" t="s">
        <v>44</v>
      </c>
      <c r="C640" s="44" t="s">
        <v>44</v>
      </c>
      <c r="D640" s="44" t="s">
        <v>44</v>
      </c>
      <c r="E640" s="44" t="s">
        <v>44</v>
      </c>
      <c r="F640" s="44" t="s">
        <v>44</v>
      </c>
    </row>
    <row r="641">
      <c r="A641" s="44" t="s">
        <v>44</v>
      </c>
      <c r="B641" s="44" t="s">
        <v>44</v>
      </c>
      <c r="C641" s="44" t="s">
        <v>44</v>
      </c>
      <c r="D641" s="44" t="s">
        <v>44</v>
      </c>
      <c r="E641" s="44" t="s">
        <v>44</v>
      </c>
      <c r="F641" s="44" t="s">
        <v>44</v>
      </c>
    </row>
    <row r="642">
      <c r="A642" s="44" t="s">
        <v>44</v>
      </c>
      <c r="B642" s="44" t="s">
        <v>44</v>
      </c>
      <c r="C642" s="44" t="s">
        <v>44</v>
      </c>
      <c r="D642" s="44" t="s">
        <v>44</v>
      </c>
      <c r="E642" s="44" t="s">
        <v>44</v>
      </c>
      <c r="F642" s="44" t="s">
        <v>44</v>
      </c>
    </row>
    <row r="643">
      <c r="A643" s="44" t="s">
        <v>44</v>
      </c>
      <c r="B643" s="44" t="s">
        <v>44</v>
      </c>
      <c r="C643" s="44" t="s">
        <v>44</v>
      </c>
      <c r="D643" s="44" t="s">
        <v>44</v>
      </c>
      <c r="E643" s="44" t="s">
        <v>44</v>
      </c>
      <c r="F643" s="44" t="s">
        <v>44</v>
      </c>
    </row>
    <row r="644">
      <c r="A644" s="44" t="s">
        <v>44</v>
      </c>
      <c r="B644" s="44" t="s">
        <v>44</v>
      </c>
      <c r="C644" s="44" t="s">
        <v>44</v>
      </c>
      <c r="D644" s="44" t="s">
        <v>44</v>
      </c>
      <c r="E644" s="44" t="s">
        <v>44</v>
      </c>
      <c r="F644" s="44" t="s">
        <v>44</v>
      </c>
    </row>
    <row r="645">
      <c r="A645" s="44" t="s">
        <v>44</v>
      </c>
      <c r="B645" s="44" t="s">
        <v>44</v>
      </c>
      <c r="C645" s="44" t="s">
        <v>44</v>
      </c>
      <c r="D645" s="44" t="s">
        <v>44</v>
      </c>
      <c r="E645" s="44" t="s">
        <v>44</v>
      </c>
      <c r="F645" s="44" t="s">
        <v>44</v>
      </c>
    </row>
    <row r="646">
      <c r="A646" s="44" t="s">
        <v>44</v>
      </c>
      <c r="B646" s="44" t="s">
        <v>44</v>
      </c>
      <c r="C646" s="44" t="s">
        <v>44</v>
      </c>
      <c r="D646" s="44" t="s">
        <v>44</v>
      </c>
      <c r="E646" s="44" t="s">
        <v>44</v>
      </c>
      <c r="F646" s="44" t="s">
        <v>44</v>
      </c>
    </row>
    <row r="647">
      <c r="A647" s="44" t="s">
        <v>44</v>
      </c>
      <c r="B647" s="44" t="s">
        <v>44</v>
      </c>
      <c r="C647" s="44" t="s">
        <v>44</v>
      </c>
      <c r="D647" s="44" t="s">
        <v>44</v>
      </c>
      <c r="E647" s="44" t="s">
        <v>44</v>
      </c>
      <c r="F647" s="44" t="s">
        <v>44</v>
      </c>
    </row>
    <row r="648">
      <c r="A648" s="44" t="s">
        <v>44</v>
      </c>
      <c r="B648" s="44" t="s">
        <v>44</v>
      </c>
      <c r="C648" s="44" t="s">
        <v>44</v>
      </c>
      <c r="D648" s="44" t="s">
        <v>44</v>
      </c>
      <c r="E648" s="44" t="s">
        <v>44</v>
      </c>
      <c r="F648" s="44" t="s">
        <v>44</v>
      </c>
    </row>
    <row r="649">
      <c r="A649" s="44" t="s">
        <v>44</v>
      </c>
      <c r="B649" s="44" t="s">
        <v>44</v>
      </c>
      <c r="C649" s="44" t="s">
        <v>44</v>
      </c>
      <c r="D649" s="44" t="s">
        <v>44</v>
      </c>
      <c r="E649" s="44" t="s">
        <v>44</v>
      </c>
      <c r="F649" s="44" t="s">
        <v>44</v>
      </c>
    </row>
    <row r="650">
      <c r="A650" s="44" t="s">
        <v>44</v>
      </c>
      <c r="B650" s="44" t="s">
        <v>44</v>
      </c>
      <c r="C650" s="44" t="s">
        <v>44</v>
      </c>
      <c r="D650" s="44" t="s">
        <v>44</v>
      </c>
      <c r="E650" s="44" t="s">
        <v>44</v>
      </c>
      <c r="F650" s="44" t="s">
        <v>44</v>
      </c>
    </row>
    <row r="651">
      <c r="A651" s="44" t="s">
        <v>44</v>
      </c>
      <c r="B651" s="44" t="s">
        <v>44</v>
      </c>
      <c r="C651" s="44" t="s">
        <v>44</v>
      </c>
      <c r="D651" s="44" t="s">
        <v>44</v>
      </c>
      <c r="E651" s="44" t="s">
        <v>44</v>
      </c>
      <c r="F651" s="44" t="s">
        <v>44</v>
      </c>
    </row>
    <row r="652">
      <c r="A652" s="44" t="s">
        <v>44</v>
      </c>
      <c r="B652" s="44" t="s">
        <v>44</v>
      </c>
      <c r="C652" s="44" t="s">
        <v>44</v>
      </c>
      <c r="D652" s="44" t="s">
        <v>44</v>
      </c>
      <c r="E652" s="44" t="s">
        <v>44</v>
      </c>
      <c r="F652" s="44" t="s">
        <v>44</v>
      </c>
    </row>
    <row r="653">
      <c r="A653" s="44" t="s">
        <v>44</v>
      </c>
      <c r="B653" s="44" t="s">
        <v>44</v>
      </c>
      <c r="C653" s="44" t="s">
        <v>44</v>
      </c>
      <c r="D653" s="44" t="s">
        <v>44</v>
      </c>
      <c r="E653" s="44" t="s">
        <v>44</v>
      </c>
      <c r="F653" s="44" t="s">
        <v>44</v>
      </c>
    </row>
    <row r="654">
      <c r="A654" s="44" t="s">
        <v>44</v>
      </c>
      <c r="B654" s="44" t="s">
        <v>44</v>
      </c>
      <c r="C654" s="44" t="s">
        <v>44</v>
      </c>
      <c r="D654" s="44" t="s">
        <v>44</v>
      </c>
      <c r="E654" s="44" t="s">
        <v>44</v>
      </c>
      <c r="F654" s="44" t="s">
        <v>44</v>
      </c>
    </row>
    <row r="655">
      <c r="A655" s="44" t="s">
        <v>44</v>
      </c>
      <c r="B655" s="44" t="s">
        <v>44</v>
      </c>
      <c r="C655" s="44" t="s">
        <v>44</v>
      </c>
      <c r="D655" s="44" t="s">
        <v>44</v>
      </c>
      <c r="E655" s="44" t="s">
        <v>44</v>
      </c>
      <c r="F655" s="44" t="s">
        <v>44</v>
      </c>
    </row>
    <row r="656">
      <c r="A656" s="44" t="s">
        <v>44</v>
      </c>
      <c r="B656" s="44" t="s">
        <v>44</v>
      </c>
      <c r="C656" s="44" t="s">
        <v>44</v>
      </c>
      <c r="D656" s="44" t="s">
        <v>44</v>
      </c>
      <c r="E656" s="44" t="s">
        <v>44</v>
      </c>
      <c r="F656" s="44" t="s">
        <v>44</v>
      </c>
    </row>
    <row r="657">
      <c r="A657" s="44" t="s">
        <v>44</v>
      </c>
      <c r="B657" s="44" t="s">
        <v>44</v>
      </c>
      <c r="C657" s="44" t="s">
        <v>44</v>
      </c>
      <c r="D657" s="44" t="s">
        <v>44</v>
      </c>
      <c r="E657" s="44" t="s">
        <v>44</v>
      </c>
      <c r="F657" s="44" t="s">
        <v>44</v>
      </c>
    </row>
    <row r="658">
      <c r="A658" s="44" t="s">
        <v>44</v>
      </c>
      <c r="B658" s="44" t="s">
        <v>44</v>
      </c>
      <c r="C658" s="44" t="s">
        <v>44</v>
      </c>
      <c r="D658" s="44" t="s">
        <v>44</v>
      </c>
      <c r="E658" s="44" t="s">
        <v>44</v>
      </c>
      <c r="F658" s="44" t="s">
        <v>44</v>
      </c>
    </row>
    <row r="659">
      <c r="A659" s="44" t="s">
        <v>44</v>
      </c>
      <c r="B659" s="44" t="s">
        <v>44</v>
      </c>
      <c r="C659" s="44" t="s">
        <v>44</v>
      </c>
      <c r="D659" s="44" t="s">
        <v>44</v>
      </c>
      <c r="E659" s="44" t="s">
        <v>44</v>
      </c>
      <c r="F659" s="44" t="s">
        <v>44</v>
      </c>
    </row>
    <row r="660">
      <c r="A660" s="44" t="s">
        <v>44</v>
      </c>
      <c r="B660" s="44" t="s">
        <v>44</v>
      </c>
      <c r="C660" s="44" t="s">
        <v>44</v>
      </c>
      <c r="D660" s="44" t="s">
        <v>44</v>
      </c>
      <c r="E660" s="44" t="s">
        <v>44</v>
      </c>
      <c r="F660" s="44" t="s">
        <v>44</v>
      </c>
    </row>
    <row r="661">
      <c r="A661" s="44" t="s">
        <v>44</v>
      </c>
      <c r="B661" s="44" t="s">
        <v>44</v>
      </c>
      <c r="C661" s="44" t="s">
        <v>44</v>
      </c>
      <c r="D661" s="44" t="s">
        <v>44</v>
      </c>
      <c r="E661" s="44" t="s">
        <v>44</v>
      </c>
      <c r="F661" s="44" t="s">
        <v>44</v>
      </c>
    </row>
    <row r="662">
      <c r="A662" s="44" t="s">
        <v>44</v>
      </c>
      <c r="B662" s="44" t="s">
        <v>44</v>
      </c>
      <c r="C662" s="44" t="s">
        <v>44</v>
      </c>
      <c r="D662" s="44" t="s">
        <v>44</v>
      </c>
      <c r="E662" s="44" t="s">
        <v>44</v>
      </c>
      <c r="F662" s="44" t="s">
        <v>44</v>
      </c>
    </row>
    <row r="663">
      <c r="A663" s="44" t="s">
        <v>44</v>
      </c>
      <c r="B663" s="44" t="s">
        <v>44</v>
      </c>
      <c r="C663" s="44" t="s">
        <v>44</v>
      </c>
      <c r="D663" s="44" t="s">
        <v>44</v>
      </c>
      <c r="E663" s="44" t="s">
        <v>44</v>
      </c>
      <c r="F663" s="44" t="s">
        <v>44</v>
      </c>
    </row>
    <row r="664">
      <c r="A664" s="44" t="s">
        <v>44</v>
      </c>
      <c r="B664" s="44" t="s">
        <v>44</v>
      </c>
      <c r="C664" s="44" t="s">
        <v>44</v>
      </c>
      <c r="D664" s="44" t="s">
        <v>44</v>
      </c>
      <c r="E664" s="44" t="s">
        <v>44</v>
      </c>
      <c r="F664" s="44" t="s">
        <v>44</v>
      </c>
    </row>
    <row r="665">
      <c r="A665" s="44" t="s">
        <v>44</v>
      </c>
      <c r="B665" s="44" t="s">
        <v>44</v>
      </c>
      <c r="C665" s="44" t="s">
        <v>44</v>
      </c>
      <c r="D665" s="44" t="s">
        <v>44</v>
      </c>
      <c r="E665" s="44" t="s">
        <v>44</v>
      </c>
      <c r="F665" s="44" t="s">
        <v>44</v>
      </c>
    </row>
    <row r="666">
      <c r="A666" s="44" t="s">
        <v>44</v>
      </c>
      <c r="B666" s="44" t="s">
        <v>44</v>
      </c>
      <c r="C666" s="44" t="s">
        <v>44</v>
      </c>
      <c r="D666" s="44" t="s">
        <v>44</v>
      </c>
      <c r="E666" s="44" t="s">
        <v>44</v>
      </c>
      <c r="F666" s="44" t="s">
        <v>44</v>
      </c>
    </row>
    <row r="667">
      <c r="A667" s="44" t="s">
        <v>44</v>
      </c>
      <c r="B667" s="44" t="s">
        <v>44</v>
      </c>
      <c r="C667" s="44" t="s">
        <v>44</v>
      </c>
      <c r="D667" s="44" t="s">
        <v>44</v>
      </c>
      <c r="E667" s="44" t="s">
        <v>44</v>
      </c>
      <c r="F667" s="44" t="s">
        <v>44</v>
      </c>
    </row>
    <row r="668">
      <c r="A668" s="44" t="s">
        <v>44</v>
      </c>
      <c r="B668" s="44" t="s">
        <v>44</v>
      </c>
      <c r="C668" s="44" t="s">
        <v>44</v>
      </c>
      <c r="D668" s="44" t="s">
        <v>44</v>
      </c>
      <c r="E668" s="44" t="s">
        <v>44</v>
      </c>
      <c r="F668" s="44" t="s">
        <v>44</v>
      </c>
    </row>
    <row r="669">
      <c r="A669" s="44" t="s">
        <v>44</v>
      </c>
      <c r="B669" s="44" t="s">
        <v>44</v>
      </c>
      <c r="C669" s="44" t="s">
        <v>44</v>
      </c>
      <c r="D669" s="44" t="s">
        <v>44</v>
      </c>
      <c r="E669" s="44" t="s">
        <v>44</v>
      </c>
      <c r="F669" s="44" t="s">
        <v>44</v>
      </c>
    </row>
    <row r="670">
      <c r="A670" s="44" t="s">
        <v>44</v>
      </c>
      <c r="B670" s="44" t="s">
        <v>44</v>
      </c>
      <c r="C670" s="44" t="s">
        <v>44</v>
      </c>
      <c r="D670" s="44" t="s">
        <v>44</v>
      </c>
      <c r="E670" s="44" t="s">
        <v>44</v>
      </c>
      <c r="F670" s="44" t="s">
        <v>44</v>
      </c>
    </row>
    <row r="671">
      <c r="A671" s="44" t="s">
        <v>44</v>
      </c>
      <c r="B671" s="44" t="s">
        <v>44</v>
      </c>
      <c r="C671" s="44" t="s">
        <v>44</v>
      </c>
      <c r="D671" s="44" t="s">
        <v>44</v>
      </c>
      <c r="E671" s="44" t="s">
        <v>44</v>
      </c>
      <c r="F671" s="44" t="s">
        <v>44</v>
      </c>
    </row>
    <row r="672">
      <c r="A672" s="44" t="s">
        <v>44</v>
      </c>
      <c r="B672" s="44" t="s">
        <v>44</v>
      </c>
      <c r="C672" s="44" t="s">
        <v>44</v>
      </c>
      <c r="D672" s="44" t="s">
        <v>44</v>
      </c>
      <c r="E672" s="44" t="s">
        <v>44</v>
      </c>
      <c r="F672" s="44" t="s">
        <v>44</v>
      </c>
    </row>
    <row r="673">
      <c r="A673" s="44" t="s">
        <v>44</v>
      </c>
      <c r="B673" s="44" t="s">
        <v>44</v>
      </c>
      <c r="C673" s="44" t="s">
        <v>44</v>
      </c>
      <c r="D673" s="44" t="s">
        <v>44</v>
      </c>
      <c r="E673" s="44" t="s">
        <v>44</v>
      </c>
      <c r="F673" s="44" t="s">
        <v>44</v>
      </c>
    </row>
    <row r="674">
      <c r="A674" s="44" t="s">
        <v>44</v>
      </c>
      <c r="B674" s="44" t="s">
        <v>44</v>
      </c>
      <c r="C674" s="44" t="s">
        <v>44</v>
      </c>
      <c r="D674" s="44" t="s">
        <v>44</v>
      </c>
      <c r="E674" s="44" t="s">
        <v>44</v>
      </c>
      <c r="F674" s="44" t="s">
        <v>44</v>
      </c>
    </row>
    <row r="675">
      <c r="A675" s="44" t="s">
        <v>44</v>
      </c>
      <c r="B675" s="44" t="s">
        <v>44</v>
      </c>
      <c r="C675" s="44" t="s">
        <v>44</v>
      </c>
      <c r="D675" s="44" t="s">
        <v>44</v>
      </c>
      <c r="E675" s="44" t="s">
        <v>44</v>
      </c>
      <c r="F675" s="44" t="s">
        <v>44</v>
      </c>
    </row>
    <row r="676">
      <c r="A676" s="44" t="s">
        <v>44</v>
      </c>
      <c r="B676" s="44" t="s">
        <v>44</v>
      </c>
      <c r="C676" s="44" t="s">
        <v>44</v>
      </c>
      <c r="D676" s="44" t="s">
        <v>44</v>
      </c>
      <c r="E676" s="44" t="s">
        <v>44</v>
      </c>
      <c r="F676" s="44" t="s">
        <v>44</v>
      </c>
    </row>
    <row r="677">
      <c r="A677" s="44" t="s">
        <v>44</v>
      </c>
      <c r="B677" s="44" t="s">
        <v>44</v>
      </c>
      <c r="C677" s="44" t="s">
        <v>44</v>
      </c>
      <c r="D677" s="44" t="s">
        <v>44</v>
      </c>
      <c r="E677" s="44" t="s">
        <v>44</v>
      </c>
      <c r="F677" s="44" t="s">
        <v>44</v>
      </c>
    </row>
    <row r="678">
      <c r="A678" s="44" t="s">
        <v>44</v>
      </c>
      <c r="B678" s="44" t="s">
        <v>44</v>
      </c>
      <c r="C678" s="44" t="s">
        <v>44</v>
      </c>
      <c r="D678" s="44" t="s">
        <v>44</v>
      </c>
      <c r="E678" s="44" t="s">
        <v>44</v>
      </c>
      <c r="F678" s="44" t="s">
        <v>44</v>
      </c>
    </row>
    <row r="679">
      <c r="A679" s="44" t="s">
        <v>44</v>
      </c>
      <c r="B679" s="44" t="s">
        <v>44</v>
      </c>
      <c r="C679" s="44" t="s">
        <v>44</v>
      </c>
      <c r="D679" s="44" t="s">
        <v>44</v>
      </c>
      <c r="E679" s="44" t="s">
        <v>44</v>
      </c>
      <c r="F679" s="44" t="s">
        <v>44</v>
      </c>
    </row>
    <row r="680">
      <c r="A680" s="44" t="s">
        <v>44</v>
      </c>
      <c r="B680" s="44" t="s">
        <v>44</v>
      </c>
      <c r="C680" s="44" t="s">
        <v>44</v>
      </c>
      <c r="D680" s="44" t="s">
        <v>44</v>
      </c>
      <c r="E680" s="44" t="s">
        <v>44</v>
      </c>
      <c r="F680" s="44" t="s">
        <v>44</v>
      </c>
    </row>
    <row r="681">
      <c r="A681" s="44" t="s">
        <v>44</v>
      </c>
      <c r="B681" s="44" t="s">
        <v>44</v>
      </c>
      <c r="C681" s="44" t="s">
        <v>44</v>
      </c>
      <c r="D681" s="44" t="s">
        <v>44</v>
      </c>
      <c r="E681" s="44" t="s">
        <v>44</v>
      </c>
      <c r="F681" s="44" t="s">
        <v>44</v>
      </c>
    </row>
    <row r="682">
      <c r="A682" s="44" t="s">
        <v>44</v>
      </c>
      <c r="B682" s="44" t="s">
        <v>44</v>
      </c>
      <c r="C682" s="44" t="s">
        <v>44</v>
      </c>
      <c r="D682" s="44" t="s">
        <v>44</v>
      </c>
      <c r="E682" s="44" t="s">
        <v>44</v>
      </c>
      <c r="F682" s="44" t="s">
        <v>44</v>
      </c>
    </row>
    <row r="683">
      <c r="A683" s="44" t="s">
        <v>44</v>
      </c>
      <c r="B683" s="44" t="s">
        <v>44</v>
      </c>
      <c r="C683" s="44" t="s">
        <v>44</v>
      </c>
      <c r="D683" s="44" t="s">
        <v>44</v>
      </c>
      <c r="E683" s="44" t="s">
        <v>44</v>
      </c>
      <c r="F683" s="44" t="s">
        <v>44</v>
      </c>
    </row>
    <row r="684">
      <c r="A684" s="44" t="s">
        <v>44</v>
      </c>
      <c r="B684" s="44" t="s">
        <v>44</v>
      </c>
      <c r="C684" s="44" t="s">
        <v>44</v>
      </c>
      <c r="D684" s="44" t="s">
        <v>44</v>
      </c>
      <c r="E684" s="44" t="s">
        <v>44</v>
      </c>
      <c r="F684" s="44" t="s">
        <v>44</v>
      </c>
    </row>
    <row r="685">
      <c r="A685" s="44" t="s">
        <v>44</v>
      </c>
      <c r="B685" s="44" t="s">
        <v>44</v>
      </c>
      <c r="C685" s="44" t="s">
        <v>44</v>
      </c>
      <c r="D685" s="44" t="s">
        <v>44</v>
      </c>
      <c r="E685" s="44" t="s">
        <v>44</v>
      </c>
      <c r="F685" s="44" t="s">
        <v>44</v>
      </c>
    </row>
    <row r="686">
      <c r="A686" s="44" t="s">
        <v>44</v>
      </c>
      <c r="B686" s="44" t="s">
        <v>44</v>
      </c>
      <c r="C686" s="44" t="s">
        <v>44</v>
      </c>
      <c r="D686" s="44" t="s">
        <v>44</v>
      </c>
      <c r="E686" s="44" t="s">
        <v>44</v>
      </c>
      <c r="F686" s="44" t="s">
        <v>44</v>
      </c>
    </row>
    <row r="687">
      <c r="A687" s="44" t="s">
        <v>44</v>
      </c>
      <c r="B687" s="44" t="s">
        <v>44</v>
      </c>
      <c r="C687" s="44" t="s">
        <v>44</v>
      </c>
      <c r="D687" s="44" t="s">
        <v>44</v>
      </c>
      <c r="E687" s="44" t="s">
        <v>44</v>
      </c>
      <c r="F687" s="44" t="s">
        <v>44</v>
      </c>
    </row>
    <row r="688">
      <c r="A688" s="44" t="s">
        <v>44</v>
      </c>
      <c r="B688" s="44" t="s">
        <v>44</v>
      </c>
      <c r="C688" s="44" t="s">
        <v>44</v>
      </c>
      <c r="D688" s="44" t="s">
        <v>44</v>
      </c>
      <c r="E688" s="44" t="s">
        <v>44</v>
      </c>
      <c r="F688" s="44" t="s">
        <v>44</v>
      </c>
    </row>
    <row r="689">
      <c r="A689" s="44" t="s">
        <v>44</v>
      </c>
      <c r="B689" s="44" t="s">
        <v>44</v>
      </c>
      <c r="C689" s="44" t="s">
        <v>44</v>
      </c>
      <c r="D689" s="44" t="s">
        <v>44</v>
      </c>
      <c r="E689" s="44" t="s">
        <v>44</v>
      </c>
      <c r="F689" s="44" t="s">
        <v>44</v>
      </c>
    </row>
    <row r="690">
      <c r="A690" s="44" t="s">
        <v>44</v>
      </c>
      <c r="B690" s="44" t="s">
        <v>44</v>
      </c>
      <c r="C690" s="44" t="s">
        <v>44</v>
      </c>
      <c r="D690" s="44" t="s">
        <v>44</v>
      </c>
      <c r="E690" s="44" t="s">
        <v>44</v>
      </c>
      <c r="F690" s="44" t="s">
        <v>44</v>
      </c>
    </row>
    <row r="691">
      <c r="A691" s="44" t="s">
        <v>44</v>
      </c>
      <c r="B691" s="44" t="s">
        <v>44</v>
      </c>
      <c r="C691" s="44" t="s">
        <v>44</v>
      </c>
      <c r="D691" s="44" t="s">
        <v>44</v>
      </c>
      <c r="E691" s="44" t="s">
        <v>44</v>
      </c>
      <c r="F691" s="44" t="s">
        <v>44</v>
      </c>
    </row>
    <row r="692">
      <c r="A692" s="44" t="s">
        <v>44</v>
      </c>
      <c r="B692" s="44" t="s">
        <v>44</v>
      </c>
      <c r="C692" s="44" t="s">
        <v>44</v>
      </c>
      <c r="D692" s="44" t="s">
        <v>44</v>
      </c>
      <c r="E692" s="44" t="s">
        <v>44</v>
      </c>
      <c r="F692" s="44" t="s">
        <v>44</v>
      </c>
    </row>
    <row r="693">
      <c r="A693" s="44" t="s">
        <v>44</v>
      </c>
      <c r="B693" s="44" t="s">
        <v>44</v>
      </c>
      <c r="C693" s="44" t="s">
        <v>44</v>
      </c>
      <c r="D693" s="44" t="s">
        <v>44</v>
      </c>
      <c r="E693" s="44" t="s">
        <v>44</v>
      </c>
      <c r="F693" s="44" t="s">
        <v>44</v>
      </c>
    </row>
    <row r="694">
      <c r="A694" s="44" t="s">
        <v>44</v>
      </c>
      <c r="B694" s="44" t="s">
        <v>44</v>
      </c>
      <c r="C694" s="44" t="s">
        <v>44</v>
      </c>
      <c r="D694" s="44" t="s">
        <v>44</v>
      </c>
      <c r="E694" s="44" t="s">
        <v>44</v>
      </c>
      <c r="F694" s="44" t="s">
        <v>44</v>
      </c>
    </row>
    <row r="695">
      <c r="A695" s="44" t="s">
        <v>44</v>
      </c>
      <c r="B695" s="44" t="s">
        <v>44</v>
      </c>
      <c r="C695" s="44" t="s">
        <v>44</v>
      </c>
      <c r="D695" s="44" t="s">
        <v>44</v>
      </c>
      <c r="E695" s="44" t="s">
        <v>44</v>
      </c>
      <c r="F695" s="44" t="s">
        <v>44</v>
      </c>
    </row>
    <row r="696">
      <c r="A696" s="44" t="s">
        <v>44</v>
      </c>
      <c r="B696" s="44" t="s">
        <v>44</v>
      </c>
      <c r="C696" s="44" t="s">
        <v>44</v>
      </c>
      <c r="D696" s="44" t="s">
        <v>44</v>
      </c>
      <c r="E696" s="44" t="s">
        <v>44</v>
      </c>
      <c r="F696" s="44" t="s">
        <v>44</v>
      </c>
    </row>
    <row r="697">
      <c r="A697" s="44" t="s">
        <v>44</v>
      </c>
      <c r="B697" s="44" t="s">
        <v>44</v>
      </c>
      <c r="C697" s="44" t="s">
        <v>44</v>
      </c>
      <c r="D697" s="44" t="s">
        <v>44</v>
      </c>
      <c r="E697" s="44" t="s">
        <v>44</v>
      </c>
      <c r="F697" s="44" t="s">
        <v>44</v>
      </c>
    </row>
    <row r="698">
      <c r="A698" s="44" t="s">
        <v>44</v>
      </c>
      <c r="B698" s="44" t="s">
        <v>44</v>
      </c>
      <c r="C698" s="44" t="s">
        <v>44</v>
      </c>
      <c r="D698" s="44" t="s">
        <v>44</v>
      </c>
      <c r="E698" s="44" t="s">
        <v>44</v>
      </c>
      <c r="F698" s="44" t="s">
        <v>44</v>
      </c>
    </row>
    <row r="699">
      <c r="A699" s="44" t="s">
        <v>44</v>
      </c>
      <c r="B699" s="44" t="s">
        <v>44</v>
      </c>
      <c r="C699" s="44" t="s">
        <v>44</v>
      </c>
      <c r="D699" s="44" t="s">
        <v>44</v>
      </c>
      <c r="E699" s="44" t="s">
        <v>44</v>
      </c>
      <c r="F699" s="44" t="s">
        <v>44</v>
      </c>
    </row>
    <row r="700">
      <c r="A700" s="44" t="s">
        <v>44</v>
      </c>
      <c r="B700" s="44" t="s">
        <v>44</v>
      </c>
      <c r="C700" s="44" t="s">
        <v>44</v>
      </c>
      <c r="D700" s="44" t="s">
        <v>44</v>
      </c>
      <c r="E700" s="44" t="s">
        <v>44</v>
      </c>
      <c r="F700" s="44" t="s">
        <v>44</v>
      </c>
    </row>
    <row r="701">
      <c r="A701" s="44" t="s">
        <v>44</v>
      </c>
      <c r="B701" s="44" t="s">
        <v>44</v>
      </c>
      <c r="C701" s="44" t="s">
        <v>44</v>
      </c>
      <c r="D701" s="44" t="s">
        <v>44</v>
      </c>
      <c r="E701" s="44" t="s">
        <v>44</v>
      </c>
      <c r="F701" s="44" t="s">
        <v>44</v>
      </c>
    </row>
    <row r="702">
      <c r="A702" s="44" t="s">
        <v>44</v>
      </c>
      <c r="B702" s="44" t="s">
        <v>44</v>
      </c>
      <c r="C702" s="44" t="s">
        <v>44</v>
      </c>
      <c r="D702" s="44" t="s">
        <v>44</v>
      </c>
      <c r="E702" s="44" t="s">
        <v>44</v>
      </c>
      <c r="F702" s="44" t="s">
        <v>44</v>
      </c>
    </row>
    <row r="703">
      <c r="A703" s="44" t="s">
        <v>44</v>
      </c>
      <c r="B703" s="44" t="s">
        <v>44</v>
      </c>
      <c r="C703" s="44" t="s">
        <v>44</v>
      </c>
      <c r="D703" s="44" t="s">
        <v>44</v>
      </c>
      <c r="E703" s="44" t="s">
        <v>44</v>
      </c>
      <c r="F703" s="44" t="s">
        <v>44</v>
      </c>
    </row>
    <row r="704">
      <c r="A704" s="44" t="s">
        <v>44</v>
      </c>
      <c r="B704" s="44" t="s">
        <v>44</v>
      </c>
      <c r="C704" s="44" t="s">
        <v>44</v>
      </c>
      <c r="D704" s="44" t="s">
        <v>44</v>
      </c>
      <c r="E704" s="44" t="s">
        <v>44</v>
      </c>
      <c r="F704" s="44" t="s">
        <v>44</v>
      </c>
    </row>
    <row r="705">
      <c r="A705" s="44" t="s">
        <v>44</v>
      </c>
      <c r="B705" s="44" t="s">
        <v>44</v>
      </c>
      <c r="C705" s="44" t="s">
        <v>44</v>
      </c>
      <c r="D705" s="44" t="s">
        <v>44</v>
      </c>
      <c r="E705" s="44" t="s">
        <v>44</v>
      </c>
      <c r="F705" s="44" t="s">
        <v>44</v>
      </c>
    </row>
    <row r="706">
      <c r="A706" s="44" t="s">
        <v>44</v>
      </c>
      <c r="B706" s="44" t="s">
        <v>44</v>
      </c>
      <c r="C706" s="44" t="s">
        <v>44</v>
      </c>
      <c r="D706" s="44" t="s">
        <v>44</v>
      </c>
      <c r="E706" s="44" t="s">
        <v>44</v>
      </c>
      <c r="F706" s="44" t="s">
        <v>44</v>
      </c>
    </row>
    <row r="707">
      <c r="A707" s="44" t="s">
        <v>44</v>
      </c>
      <c r="B707" s="44" t="s">
        <v>44</v>
      </c>
      <c r="C707" s="44" t="s">
        <v>44</v>
      </c>
      <c r="D707" s="44" t="s">
        <v>44</v>
      </c>
      <c r="E707" s="44" t="s">
        <v>44</v>
      </c>
      <c r="F707" s="44" t="s">
        <v>44</v>
      </c>
    </row>
    <row r="708">
      <c r="A708" s="44" t="s">
        <v>44</v>
      </c>
      <c r="B708" s="44" t="s">
        <v>44</v>
      </c>
      <c r="C708" s="44" t="s">
        <v>44</v>
      </c>
      <c r="D708" s="44" t="s">
        <v>44</v>
      </c>
      <c r="E708" s="44" t="s">
        <v>44</v>
      </c>
      <c r="F708" s="44" t="s">
        <v>44</v>
      </c>
    </row>
    <row r="709">
      <c r="A709" s="44" t="s">
        <v>44</v>
      </c>
      <c r="B709" s="44" t="s">
        <v>44</v>
      </c>
      <c r="C709" s="44" t="s">
        <v>44</v>
      </c>
      <c r="D709" s="44" t="s">
        <v>44</v>
      </c>
      <c r="E709" s="44" t="s">
        <v>44</v>
      </c>
      <c r="F709" s="44" t="s">
        <v>44</v>
      </c>
    </row>
    <row r="710">
      <c r="A710" s="44" t="s">
        <v>44</v>
      </c>
      <c r="B710" s="44" t="s">
        <v>44</v>
      </c>
      <c r="C710" s="44" t="s">
        <v>44</v>
      </c>
      <c r="D710" s="44" t="s">
        <v>44</v>
      </c>
      <c r="E710" s="44" t="s">
        <v>44</v>
      </c>
      <c r="F710" s="44" t="s">
        <v>44</v>
      </c>
    </row>
    <row r="711">
      <c r="A711" s="44" t="s">
        <v>44</v>
      </c>
      <c r="B711" s="44" t="s">
        <v>44</v>
      </c>
      <c r="C711" s="44" t="s">
        <v>44</v>
      </c>
      <c r="D711" s="44" t="s">
        <v>44</v>
      </c>
      <c r="E711" s="44" t="s">
        <v>44</v>
      </c>
      <c r="F711" s="44" t="s">
        <v>44</v>
      </c>
    </row>
    <row r="712">
      <c r="A712" s="44" t="s">
        <v>44</v>
      </c>
      <c r="B712" s="44" t="s">
        <v>44</v>
      </c>
      <c r="C712" s="44" t="s">
        <v>44</v>
      </c>
      <c r="D712" s="44" t="s">
        <v>44</v>
      </c>
      <c r="E712" s="44" t="s">
        <v>44</v>
      </c>
      <c r="F712" s="44" t="s">
        <v>44</v>
      </c>
    </row>
    <row r="713">
      <c r="A713" s="44" t="s">
        <v>44</v>
      </c>
      <c r="B713" s="44" t="s">
        <v>44</v>
      </c>
      <c r="C713" s="44" t="s">
        <v>44</v>
      </c>
      <c r="D713" s="44" t="s">
        <v>44</v>
      </c>
      <c r="E713" s="44" t="s">
        <v>44</v>
      </c>
      <c r="F713" s="44" t="s">
        <v>44</v>
      </c>
    </row>
    <row r="714">
      <c r="A714" s="44" t="s">
        <v>44</v>
      </c>
      <c r="B714" s="44" t="s">
        <v>44</v>
      </c>
      <c r="C714" s="44" t="s">
        <v>44</v>
      </c>
      <c r="D714" s="44" t="s">
        <v>44</v>
      </c>
      <c r="E714" s="44" t="s">
        <v>44</v>
      </c>
      <c r="F714" s="44" t="s">
        <v>44</v>
      </c>
    </row>
    <row r="715">
      <c r="A715" s="44" t="s">
        <v>44</v>
      </c>
      <c r="B715" s="44" t="s">
        <v>44</v>
      </c>
      <c r="C715" s="44" t="s">
        <v>44</v>
      </c>
      <c r="D715" s="44" t="s">
        <v>44</v>
      </c>
      <c r="E715" s="44" t="s">
        <v>44</v>
      </c>
      <c r="F715" s="44" t="s">
        <v>44</v>
      </c>
    </row>
    <row r="716">
      <c r="A716" s="44" t="s">
        <v>44</v>
      </c>
      <c r="B716" s="44" t="s">
        <v>44</v>
      </c>
      <c r="C716" s="44" t="s">
        <v>44</v>
      </c>
      <c r="D716" s="44" t="s">
        <v>44</v>
      </c>
      <c r="E716" s="44" t="s">
        <v>44</v>
      </c>
      <c r="F716" s="44" t="s">
        <v>44</v>
      </c>
    </row>
    <row r="717">
      <c r="A717" s="44" t="s">
        <v>44</v>
      </c>
      <c r="B717" s="44" t="s">
        <v>44</v>
      </c>
      <c r="C717" s="44" t="s">
        <v>44</v>
      </c>
      <c r="D717" s="44" t="s">
        <v>44</v>
      </c>
      <c r="E717" s="44" t="s">
        <v>44</v>
      </c>
      <c r="F717" s="44" t="s">
        <v>44</v>
      </c>
    </row>
    <row r="718">
      <c r="A718" s="44" t="s">
        <v>44</v>
      </c>
      <c r="B718" s="44" t="s">
        <v>44</v>
      </c>
      <c r="C718" s="44" t="s">
        <v>44</v>
      </c>
      <c r="D718" s="44" t="s">
        <v>44</v>
      </c>
      <c r="E718" s="44" t="s">
        <v>44</v>
      </c>
      <c r="F718" s="44" t="s">
        <v>44</v>
      </c>
    </row>
    <row r="719">
      <c r="A719" s="44" t="s">
        <v>44</v>
      </c>
      <c r="B719" s="44" t="s">
        <v>44</v>
      </c>
      <c r="C719" s="44" t="s">
        <v>44</v>
      </c>
      <c r="D719" s="44" t="s">
        <v>44</v>
      </c>
      <c r="E719" s="44" t="s">
        <v>44</v>
      </c>
      <c r="F719" s="44" t="s">
        <v>44</v>
      </c>
    </row>
    <row r="720">
      <c r="A720" s="44" t="s">
        <v>44</v>
      </c>
      <c r="B720" s="44" t="s">
        <v>44</v>
      </c>
      <c r="C720" s="44" t="s">
        <v>44</v>
      </c>
      <c r="D720" s="44" t="s">
        <v>44</v>
      </c>
      <c r="E720" s="44" t="s">
        <v>44</v>
      </c>
      <c r="F720" s="44" t="s">
        <v>44</v>
      </c>
    </row>
    <row r="721">
      <c r="A721" s="44" t="s">
        <v>44</v>
      </c>
      <c r="B721" s="44" t="s">
        <v>44</v>
      </c>
      <c r="C721" s="44" t="s">
        <v>44</v>
      </c>
      <c r="D721" s="44" t="s">
        <v>44</v>
      </c>
      <c r="E721" s="44" t="s">
        <v>44</v>
      </c>
      <c r="F721" s="44" t="s">
        <v>44</v>
      </c>
    </row>
    <row r="722">
      <c r="A722" s="44" t="s">
        <v>44</v>
      </c>
      <c r="B722" s="44" t="s">
        <v>44</v>
      </c>
      <c r="C722" s="44" t="s">
        <v>44</v>
      </c>
      <c r="D722" s="44" t="s">
        <v>44</v>
      </c>
      <c r="E722" s="44" t="s">
        <v>44</v>
      </c>
      <c r="F722" s="44" t="s">
        <v>44</v>
      </c>
    </row>
    <row r="723">
      <c r="A723" s="44" t="s">
        <v>44</v>
      </c>
      <c r="B723" s="44" t="s">
        <v>44</v>
      </c>
      <c r="C723" s="44" t="s">
        <v>44</v>
      </c>
      <c r="D723" s="44" t="s">
        <v>44</v>
      </c>
      <c r="E723" s="44" t="s">
        <v>44</v>
      </c>
      <c r="F723" s="44" t="s">
        <v>44</v>
      </c>
    </row>
    <row r="724">
      <c r="A724" s="44" t="s">
        <v>44</v>
      </c>
      <c r="B724" s="44" t="s">
        <v>44</v>
      </c>
      <c r="C724" s="44" t="s">
        <v>44</v>
      </c>
      <c r="D724" s="44" t="s">
        <v>44</v>
      </c>
      <c r="E724" s="44" t="s">
        <v>44</v>
      </c>
      <c r="F724" s="44" t="s">
        <v>44</v>
      </c>
    </row>
    <row r="725">
      <c r="A725" s="44" t="s">
        <v>44</v>
      </c>
      <c r="B725" s="44" t="s">
        <v>44</v>
      </c>
      <c r="C725" s="44" t="s">
        <v>44</v>
      </c>
      <c r="D725" s="44" t="s">
        <v>44</v>
      </c>
      <c r="E725" s="44" t="s">
        <v>44</v>
      </c>
      <c r="F725" s="44" t="s">
        <v>44</v>
      </c>
    </row>
    <row r="726">
      <c r="A726" s="44" t="s">
        <v>44</v>
      </c>
      <c r="B726" s="44" t="s">
        <v>44</v>
      </c>
      <c r="C726" s="44" t="s">
        <v>44</v>
      </c>
      <c r="D726" s="44" t="s">
        <v>44</v>
      </c>
      <c r="E726" s="44" t="s">
        <v>44</v>
      </c>
      <c r="F726" s="44" t="s">
        <v>44</v>
      </c>
    </row>
    <row r="727">
      <c r="A727" s="44" t="s">
        <v>44</v>
      </c>
      <c r="B727" s="44" t="s">
        <v>44</v>
      </c>
      <c r="C727" s="44" t="s">
        <v>44</v>
      </c>
      <c r="D727" s="44" t="s">
        <v>44</v>
      </c>
      <c r="E727" s="44" t="s">
        <v>44</v>
      </c>
      <c r="F727" s="44" t="s">
        <v>44</v>
      </c>
    </row>
    <row r="728">
      <c r="A728" s="44" t="s">
        <v>44</v>
      </c>
      <c r="B728" s="44" t="s">
        <v>44</v>
      </c>
      <c r="C728" s="44" t="s">
        <v>44</v>
      </c>
      <c r="D728" s="44" t="s">
        <v>44</v>
      </c>
      <c r="E728" s="44" t="s">
        <v>44</v>
      </c>
      <c r="F728" s="44" t="s">
        <v>44</v>
      </c>
    </row>
    <row r="729">
      <c r="A729" s="44" t="s">
        <v>44</v>
      </c>
      <c r="B729" s="44" t="s">
        <v>44</v>
      </c>
      <c r="C729" s="44" t="s">
        <v>44</v>
      </c>
      <c r="D729" s="44" t="s">
        <v>44</v>
      </c>
      <c r="E729" s="44" t="s">
        <v>44</v>
      </c>
      <c r="F729" s="44" t="s">
        <v>44</v>
      </c>
    </row>
    <row r="730">
      <c r="A730" s="44" t="s">
        <v>44</v>
      </c>
      <c r="B730" s="44" t="s">
        <v>44</v>
      </c>
      <c r="C730" s="44" t="s">
        <v>44</v>
      </c>
      <c r="D730" s="44" t="s">
        <v>44</v>
      </c>
      <c r="E730" s="44" t="s">
        <v>44</v>
      </c>
      <c r="F730" s="44" t="s">
        <v>44</v>
      </c>
    </row>
    <row r="731">
      <c r="A731" s="44" t="s">
        <v>44</v>
      </c>
      <c r="B731" s="44" t="s">
        <v>44</v>
      </c>
      <c r="C731" s="44" t="s">
        <v>44</v>
      </c>
      <c r="D731" s="44" t="s">
        <v>44</v>
      </c>
      <c r="E731" s="44" t="s">
        <v>44</v>
      </c>
      <c r="F731" s="44" t="s">
        <v>44</v>
      </c>
    </row>
    <row r="732">
      <c r="A732" s="44" t="s">
        <v>44</v>
      </c>
      <c r="B732" s="44" t="s">
        <v>44</v>
      </c>
      <c r="C732" s="44" t="s">
        <v>44</v>
      </c>
      <c r="D732" s="44" t="s">
        <v>44</v>
      </c>
      <c r="E732" s="44" t="s">
        <v>44</v>
      </c>
      <c r="F732" s="44" t="s">
        <v>44</v>
      </c>
    </row>
    <row r="733">
      <c r="A733" s="44" t="s">
        <v>44</v>
      </c>
      <c r="B733" s="44" t="s">
        <v>44</v>
      </c>
      <c r="C733" s="44" t="s">
        <v>44</v>
      </c>
      <c r="D733" s="44" t="s">
        <v>44</v>
      </c>
      <c r="E733" s="44" t="s">
        <v>44</v>
      </c>
      <c r="F733" s="44" t="s">
        <v>44</v>
      </c>
    </row>
    <row r="734">
      <c r="A734" s="44" t="s">
        <v>44</v>
      </c>
      <c r="B734" s="44" t="s">
        <v>44</v>
      </c>
      <c r="C734" s="44" t="s">
        <v>44</v>
      </c>
      <c r="D734" s="44" t="s">
        <v>44</v>
      </c>
      <c r="E734" s="44" t="s">
        <v>44</v>
      </c>
      <c r="F734" s="44" t="s">
        <v>44</v>
      </c>
    </row>
    <row r="735">
      <c r="A735" s="44" t="s">
        <v>44</v>
      </c>
      <c r="B735" s="44" t="s">
        <v>44</v>
      </c>
      <c r="C735" s="44" t="s">
        <v>44</v>
      </c>
      <c r="D735" s="44" t="s">
        <v>44</v>
      </c>
      <c r="E735" s="44" t="s">
        <v>44</v>
      </c>
      <c r="F735" s="44" t="s">
        <v>44</v>
      </c>
    </row>
    <row r="736">
      <c r="A736" s="44" t="s">
        <v>44</v>
      </c>
      <c r="B736" s="44" t="s">
        <v>44</v>
      </c>
      <c r="C736" s="44" t="s">
        <v>44</v>
      </c>
      <c r="D736" s="44" t="s">
        <v>44</v>
      </c>
      <c r="E736" s="44" t="s">
        <v>44</v>
      </c>
      <c r="F736" s="44" t="s">
        <v>44</v>
      </c>
    </row>
    <row r="737">
      <c r="A737" s="44" t="s">
        <v>44</v>
      </c>
      <c r="B737" s="44" t="s">
        <v>44</v>
      </c>
      <c r="C737" s="44" t="s">
        <v>44</v>
      </c>
      <c r="D737" s="44" t="s">
        <v>44</v>
      </c>
      <c r="E737" s="44" t="s">
        <v>44</v>
      </c>
      <c r="F737" s="44" t="s">
        <v>44</v>
      </c>
    </row>
    <row r="738">
      <c r="A738" s="44" t="s">
        <v>44</v>
      </c>
      <c r="B738" s="44" t="s">
        <v>44</v>
      </c>
      <c r="C738" s="44" t="s">
        <v>44</v>
      </c>
      <c r="D738" s="44" t="s">
        <v>44</v>
      </c>
      <c r="E738" s="44" t="s">
        <v>44</v>
      </c>
      <c r="F738" s="44" t="s">
        <v>44</v>
      </c>
    </row>
    <row r="739">
      <c r="A739" s="44" t="s">
        <v>44</v>
      </c>
      <c r="B739" s="44" t="s">
        <v>44</v>
      </c>
      <c r="C739" s="44" t="s">
        <v>44</v>
      </c>
      <c r="D739" s="44" t="s">
        <v>44</v>
      </c>
      <c r="E739" s="44" t="s">
        <v>44</v>
      </c>
      <c r="F739" s="44" t="s">
        <v>44</v>
      </c>
    </row>
    <row r="740">
      <c r="A740" s="44" t="s">
        <v>44</v>
      </c>
      <c r="B740" s="44" t="s">
        <v>44</v>
      </c>
      <c r="C740" s="44" t="s">
        <v>44</v>
      </c>
      <c r="D740" s="44" t="s">
        <v>44</v>
      </c>
      <c r="E740" s="44" t="s">
        <v>44</v>
      </c>
      <c r="F740" s="44" t="s">
        <v>44</v>
      </c>
    </row>
    <row r="741">
      <c r="A741" s="44" t="s">
        <v>44</v>
      </c>
      <c r="B741" s="44" t="s">
        <v>44</v>
      </c>
      <c r="C741" s="44" t="s">
        <v>44</v>
      </c>
      <c r="D741" s="44" t="s">
        <v>44</v>
      </c>
      <c r="E741" s="44" t="s">
        <v>44</v>
      </c>
      <c r="F741" s="44" t="s">
        <v>44</v>
      </c>
    </row>
    <row r="742">
      <c r="A742" s="44" t="s">
        <v>44</v>
      </c>
      <c r="B742" s="44" t="s">
        <v>44</v>
      </c>
      <c r="C742" s="44" t="s">
        <v>44</v>
      </c>
      <c r="D742" s="44" t="s">
        <v>44</v>
      </c>
      <c r="E742" s="44" t="s">
        <v>44</v>
      </c>
      <c r="F742" s="44" t="s">
        <v>44</v>
      </c>
    </row>
    <row r="743">
      <c r="A743" s="44" t="s">
        <v>44</v>
      </c>
      <c r="B743" s="44" t="s">
        <v>44</v>
      </c>
      <c r="C743" s="44" t="s">
        <v>44</v>
      </c>
      <c r="D743" s="44" t="s">
        <v>44</v>
      </c>
      <c r="E743" s="44" t="s">
        <v>44</v>
      </c>
      <c r="F743" s="44" t="s">
        <v>44</v>
      </c>
    </row>
    <row r="744">
      <c r="A744" s="44" t="s">
        <v>44</v>
      </c>
      <c r="B744" s="44" t="s">
        <v>44</v>
      </c>
      <c r="C744" s="44" t="s">
        <v>44</v>
      </c>
      <c r="D744" s="44" t="s">
        <v>44</v>
      </c>
      <c r="E744" s="44" t="s">
        <v>44</v>
      </c>
      <c r="F744" s="44" t="s">
        <v>44</v>
      </c>
    </row>
    <row r="745">
      <c r="A745" s="44" t="s">
        <v>44</v>
      </c>
      <c r="B745" s="44" t="s">
        <v>44</v>
      </c>
      <c r="C745" s="44" t="s">
        <v>44</v>
      </c>
      <c r="D745" s="44" t="s">
        <v>44</v>
      </c>
      <c r="E745" s="44" t="s">
        <v>44</v>
      </c>
      <c r="F745" s="44" t="s">
        <v>44</v>
      </c>
    </row>
    <row r="746">
      <c r="A746" s="44" t="s">
        <v>44</v>
      </c>
      <c r="B746" s="44" t="s">
        <v>44</v>
      </c>
      <c r="C746" s="44" t="s">
        <v>44</v>
      </c>
      <c r="D746" s="44" t="s">
        <v>44</v>
      </c>
      <c r="E746" s="44" t="s">
        <v>44</v>
      </c>
      <c r="F746" s="44" t="s">
        <v>44</v>
      </c>
    </row>
    <row r="747">
      <c r="A747" s="44" t="s">
        <v>44</v>
      </c>
      <c r="B747" s="44" t="s">
        <v>44</v>
      </c>
      <c r="C747" s="44" t="s">
        <v>44</v>
      </c>
      <c r="D747" s="44" t="s">
        <v>44</v>
      </c>
      <c r="E747" s="44" t="s">
        <v>44</v>
      </c>
      <c r="F747" s="44" t="s">
        <v>44</v>
      </c>
    </row>
    <row r="748">
      <c r="A748" s="44" t="s">
        <v>44</v>
      </c>
      <c r="B748" s="44" t="s">
        <v>44</v>
      </c>
      <c r="C748" s="44" t="s">
        <v>44</v>
      </c>
      <c r="D748" s="44" t="s">
        <v>44</v>
      </c>
      <c r="E748" s="44" t="s">
        <v>44</v>
      </c>
      <c r="F748" s="44" t="s">
        <v>44</v>
      </c>
    </row>
    <row r="749">
      <c r="A749" s="44" t="s">
        <v>44</v>
      </c>
      <c r="B749" s="44" t="s">
        <v>44</v>
      </c>
      <c r="C749" s="44" t="s">
        <v>44</v>
      </c>
      <c r="D749" s="44" t="s">
        <v>44</v>
      </c>
      <c r="E749" s="44" t="s">
        <v>44</v>
      </c>
      <c r="F749" s="44" t="s">
        <v>44</v>
      </c>
    </row>
    <row r="750">
      <c r="A750" s="44" t="s">
        <v>44</v>
      </c>
      <c r="B750" s="44" t="s">
        <v>44</v>
      </c>
      <c r="C750" s="44" t="s">
        <v>44</v>
      </c>
      <c r="D750" s="44" t="s">
        <v>44</v>
      </c>
      <c r="E750" s="44" t="s">
        <v>44</v>
      </c>
      <c r="F750" s="44" t="s">
        <v>44</v>
      </c>
    </row>
    <row r="751">
      <c r="A751" s="44" t="s">
        <v>44</v>
      </c>
      <c r="B751" s="44" t="s">
        <v>44</v>
      </c>
      <c r="C751" s="44" t="s">
        <v>44</v>
      </c>
      <c r="D751" s="44" t="s">
        <v>44</v>
      </c>
      <c r="E751" s="44" t="s">
        <v>44</v>
      </c>
      <c r="F751" s="44" t="s">
        <v>44</v>
      </c>
    </row>
    <row r="752">
      <c r="A752" s="44" t="s">
        <v>44</v>
      </c>
      <c r="B752" s="44" t="s">
        <v>44</v>
      </c>
      <c r="C752" s="44" t="s">
        <v>44</v>
      </c>
      <c r="D752" s="44" t="s">
        <v>44</v>
      </c>
      <c r="E752" s="44" t="s">
        <v>44</v>
      </c>
      <c r="F752" s="44" t="s">
        <v>44</v>
      </c>
    </row>
    <row r="753">
      <c r="A753" s="44" t="s">
        <v>44</v>
      </c>
      <c r="B753" s="44" t="s">
        <v>44</v>
      </c>
      <c r="C753" s="44" t="s">
        <v>44</v>
      </c>
      <c r="D753" s="44" t="s">
        <v>44</v>
      </c>
      <c r="E753" s="44" t="s">
        <v>44</v>
      </c>
      <c r="F753" s="44" t="s">
        <v>44</v>
      </c>
    </row>
    <row r="754">
      <c r="A754" s="44" t="s">
        <v>44</v>
      </c>
      <c r="B754" s="44" t="s">
        <v>44</v>
      </c>
      <c r="C754" s="44" t="s">
        <v>44</v>
      </c>
      <c r="D754" s="44" t="s">
        <v>44</v>
      </c>
      <c r="E754" s="44" t="s">
        <v>44</v>
      </c>
      <c r="F754" s="44" t="s">
        <v>44</v>
      </c>
    </row>
    <row r="755">
      <c r="A755" s="44" t="s">
        <v>44</v>
      </c>
      <c r="B755" s="44" t="s">
        <v>44</v>
      </c>
      <c r="C755" s="44" t="s">
        <v>44</v>
      </c>
      <c r="D755" s="44" t="s">
        <v>44</v>
      </c>
      <c r="E755" s="44" t="s">
        <v>44</v>
      </c>
      <c r="F755" s="44" t="s">
        <v>44</v>
      </c>
    </row>
    <row r="756">
      <c r="A756" s="44" t="s">
        <v>44</v>
      </c>
      <c r="B756" s="44" t="s">
        <v>44</v>
      </c>
      <c r="C756" s="44" t="s">
        <v>44</v>
      </c>
      <c r="D756" s="44" t="s">
        <v>44</v>
      </c>
      <c r="E756" s="44" t="s">
        <v>44</v>
      </c>
      <c r="F756" s="44" t="s">
        <v>44</v>
      </c>
    </row>
    <row r="757">
      <c r="A757" s="44" t="s">
        <v>44</v>
      </c>
      <c r="B757" s="44" t="s">
        <v>44</v>
      </c>
      <c r="C757" s="44" t="s">
        <v>44</v>
      </c>
      <c r="D757" s="44" t="s">
        <v>44</v>
      </c>
      <c r="E757" s="44" t="s">
        <v>44</v>
      </c>
      <c r="F757" s="44" t="s">
        <v>44</v>
      </c>
    </row>
    <row r="758">
      <c r="A758" s="44" t="s">
        <v>44</v>
      </c>
      <c r="B758" s="44" t="s">
        <v>44</v>
      </c>
      <c r="C758" s="44" t="s">
        <v>44</v>
      </c>
      <c r="D758" s="44" t="s">
        <v>44</v>
      </c>
      <c r="E758" s="44" t="s">
        <v>44</v>
      </c>
      <c r="F758" s="44" t="s">
        <v>44</v>
      </c>
    </row>
    <row r="759">
      <c r="A759" s="44" t="s">
        <v>44</v>
      </c>
      <c r="B759" s="44" t="s">
        <v>44</v>
      </c>
      <c r="C759" s="44" t="s">
        <v>44</v>
      </c>
      <c r="D759" s="44" t="s">
        <v>44</v>
      </c>
      <c r="E759" s="44" t="s">
        <v>44</v>
      </c>
      <c r="F759" s="44" t="s">
        <v>44</v>
      </c>
    </row>
    <row r="760">
      <c r="A760" s="44" t="s">
        <v>44</v>
      </c>
      <c r="B760" s="44" t="s">
        <v>44</v>
      </c>
      <c r="C760" s="44" t="s">
        <v>44</v>
      </c>
      <c r="D760" s="44" t="s">
        <v>44</v>
      </c>
      <c r="E760" s="44" t="s">
        <v>44</v>
      </c>
      <c r="F760" s="44" t="s">
        <v>44</v>
      </c>
    </row>
    <row r="761">
      <c r="A761" s="44" t="s">
        <v>44</v>
      </c>
      <c r="B761" s="44" t="s">
        <v>44</v>
      </c>
      <c r="C761" s="44" t="s">
        <v>44</v>
      </c>
      <c r="D761" s="44" t="s">
        <v>44</v>
      </c>
      <c r="E761" s="44" t="s">
        <v>44</v>
      </c>
      <c r="F761" s="44" t="s">
        <v>44</v>
      </c>
    </row>
    <row r="762">
      <c r="A762" s="44" t="s">
        <v>44</v>
      </c>
      <c r="B762" s="44" t="s">
        <v>44</v>
      </c>
      <c r="C762" s="44" t="s">
        <v>44</v>
      </c>
      <c r="D762" s="44" t="s">
        <v>44</v>
      </c>
      <c r="E762" s="44" t="s">
        <v>44</v>
      </c>
      <c r="F762" s="44" t="s">
        <v>44</v>
      </c>
    </row>
    <row r="763">
      <c r="A763" s="44" t="s">
        <v>44</v>
      </c>
      <c r="B763" s="44" t="s">
        <v>44</v>
      </c>
      <c r="C763" s="44" t="s">
        <v>44</v>
      </c>
      <c r="D763" s="44" t="s">
        <v>44</v>
      </c>
      <c r="E763" s="44" t="s">
        <v>44</v>
      </c>
      <c r="F763" s="44" t="s">
        <v>44</v>
      </c>
    </row>
    <row r="764">
      <c r="A764" s="44" t="s">
        <v>44</v>
      </c>
      <c r="B764" s="44" t="s">
        <v>44</v>
      </c>
      <c r="C764" s="44" t="s">
        <v>44</v>
      </c>
      <c r="D764" s="44" t="s">
        <v>44</v>
      </c>
      <c r="E764" s="44" t="s">
        <v>44</v>
      </c>
      <c r="F764" s="44" t="s">
        <v>44</v>
      </c>
    </row>
    <row r="765">
      <c r="A765" s="44" t="s">
        <v>44</v>
      </c>
      <c r="B765" s="44" t="s">
        <v>44</v>
      </c>
      <c r="C765" s="44" t="s">
        <v>44</v>
      </c>
      <c r="D765" s="44" t="s">
        <v>44</v>
      </c>
      <c r="E765" s="44" t="s">
        <v>44</v>
      </c>
      <c r="F765" s="44" t="s">
        <v>44</v>
      </c>
    </row>
    <row r="766">
      <c r="A766" s="44" t="s">
        <v>44</v>
      </c>
      <c r="B766" s="44" t="s">
        <v>44</v>
      </c>
      <c r="C766" s="44" t="s">
        <v>44</v>
      </c>
      <c r="D766" s="44" t="s">
        <v>44</v>
      </c>
      <c r="E766" s="44" t="s">
        <v>44</v>
      </c>
      <c r="F766" s="44" t="s">
        <v>44</v>
      </c>
    </row>
    <row r="767">
      <c r="A767" s="44" t="s">
        <v>44</v>
      </c>
      <c r="B767" s="44" t="s">
        <v>44</v>
      </c>
      <c r="C767" s="44" t="s">
        <v>44</v>
      </c>
      <c r="D767" s="44" t="s">
        <v>44</v>
      </c>
      <c r="E767" s="44" t="s">
        <v>44</v>
      </c>
      <c r="F767" s="44" t="s">
        <v>44</v>
      </c>
    </row>
    <row r="768">
      <c r="A768" s="44" t="s">
        <v>44</v>
      </c>
      <c r="B768" s="44" t="s">
        <v>44</v>
      </c>
      <c r="C768" s="44" t="s">
        <v>44</v>
      </c>
      <c r="D768" s="44" t="s">
        <v>44</v>
      </c>
      <c r="E768" s="44" t="s">
        <v>44</v>
      </c>
      <c r="F768" s="44" t="s">
        <v>44</v>
      </c>
    </row>
    <row r="769">
      <c r="A769" s="44" t="s">
        <v>44</v>
      </c>
      <c r="B769" s="44" t="s">
        <v>44</v>
      </c>
      <c r="C769" s="44" t="s">
        <v>44</v>
      </c>
      <c r="D769" s="44" t="s">
        <v>44</v>
      </c>
      <c r="E769" s="44" t="s">
        <v>44</v>
      </c>
      <c r="F769" s="44" t="s">
        <v>44</v>
      </c>
    </row>
    <row r="770">
      <c r="A770" s="44" t="s">
        <v>44</v>
      </c>
      <c r="B770" s="44" t="s">
        <v>44</v>
      </c>
      <c r="C770" s="44" t="s">
        <v>44</v>
      </c>
      <c r="D770" s="44" t="s">
        <v>44</v>
      </c>
      <c r="E770" s="44" t="s">
        <v>44</v>
      </c>
      <c r="F770" s="44" t="s">
        <v>44</v>
      </c>
    </row>
    <row r="771">
      <c r="A771" s="44" t="s">
        <v>44</v>
      </c>
      <c r="B771" s="44" t="s">
        <v>44</v>
      </c>
      <c r="C771" s="44" t="s">
        <v>44</v>
      </c>
      <c r="D771" s="44" t="s">
        <v>44</v>
      </c>
      <c r="E771" s="44" t="s">
        <v>44</v>
      </c>
      <c r="F771" s="44" t="s">
        <v>44</v>
      </c>
    </row>
    <row r="772">
      <c r="A772" s="44" t="s">
        <v>44</v>
      </c>
      <c r="B772" s="44" t="s">
        <v>44</v>
      </c>
      <c r="C772" s="44" t="s">
        <v>44</v>
      </c>
      <c r="D772" s="44" t="s">
        <v>44</v>
      </c>
      <c r="E772" s="44" t="s">
        <v>44</v>
      </c>
      <c r="F772" s="44" t="s">
        <v>44</v>
      </c>
    </row>
    <row r="773">
      <c r="A773" s="44" t="s">
        <v>44</v>
      </c>
      <c r="B773" s="44" t="s">
        <v>44</v>
      </c>
      <c r="C773" s="44" t="s">
        <v>44</v>
      </c>
      <c r="D773" s="44" t="s">
        <v>44</v>
      </c>
      <c r="E773" s="44" t="s">
        <v>44</v>
      </c>
      <c r="F773" s="44" t="s">
        <v>44</v>
      </c>
    </row>
    <row r="774">
      <c r="A774" s="44" t="s">
        <v>44</v>
      </c>
      <c r="B774" s="44" t="s">
        <v>44</v>
      </c>
      <c r="C774" s="44" t="s">
        <v>44</v>
      </c>
      <c r="D774" s="44" t="s">
        <v>44</v>
      </c>
      <c r="E774" s="44" t="s">
        <v>44</v>
      </c>
      <c r="F774" s="44" t="s">
        <v>44</v>
      </c>
    </row>
    <row r="775">
      <c r="A775" s="44" t="s">
        <v>44</v>
      </c>
      <c r="B775" s="44" t="s">
        <v>44</v>
      </c>
      <c r="C775" s="44" t="s">
        <v>44</v>
      </c>
      <c r="D775" s="44" t="s">
        <v>44</v>
      </c>
      <c r="E775" s="44" t="s">
        <v>44</v>
      </c>
      <c r="F775" s="44" t="s">
        <v>44</v>
      </c>
    </row>
    <row r="776">
      <c r="A776" s="44" t="s">
        <v>44</v>
      </c>
      <c r="B776" s="44" t="s">
        <v>44</v>
      </c>
      <c r="C776" s="44" t="s">
        <v>44</v>
      </c>
      <c r="D776" s="44" t="s">
        <v>44</v>
      </c>
      <c r="E776" s="44" t="s">
        <v>44</v>
      </c>
      <c r="F776" s="44" t="s">
        <v>44</v>
      </c>
    </row>
    <row r="777">
      <c r="A777" s="44" t="s">
        <v>44</v>
      </c>
      <c r="B777" s="44" t="s">
        <v>44</v>
      </c>
      <c r="C777" s="44" t="s">
        <v>44</v>
      </c>
      <c r="D777" s="44" t="s">
        <v>44</v>
      </c>
      <c r="E777" s="44" t="s">
        <v>44</v>
      </c>
      <c r="F777" s="44" t="s">
        <v>44</v>
      </c>
    </row>
    <row r="778">
      <c r="A778" s="44" t="s">
        <v>44</v>
      </c>
      <c r="B778" s="44" t="s">
        <v>44</v>
      </c>
      <c r="C778" s="44" t="s">
        <v>44</v>
      </c>
      <c r="D778" s="44" t="s">
        <v>44</v>
      </c>
      <c r="E778" s="44" t="s">
        <v>44</v>
      </c>
      <c r="F778" s="44" t="s">
        <v>44</v>
      </c>
    </row>
    <row r="779">
      <c r="A779" s="44" t="s">
        <v>44</v>
      </c>
      <c r="B779" s="44" t="s">
        <v>44</v>
      </c>
      <c r="C779" s="44" t="s">
        <v>44</v>
      </c>
      <c r="D779" s="44" t="s">
        <v>44</v>
      </c>
      <c r="E779" s="44" t="s">
        <v>44</v>
      </c>
      <c r="F779" s="44" t="s">
        <v>44</v>
      </c>
    </row>
    <row r="780">
      <c r="A780" s="44" t="s">
        <v>44</v>
      </c>
      <c r="B780" s="44" t="s">
        <v>44</v>
      </c>
      <c r="C780" s="44" t="s">
        <v>44</v>
      </c>
      <c r="D780" s="44" t="s">
        <v>44</v>
      </c>
      <c r="E780" s="44" t="s">
        <v>44</v>
      </c>
      <c r="F780" s="44" t="s">
        <v>44</v>
      </c>
    </row>
    <row r="781">
      <c r="A781" s="44" t="s">
        <v>44</v>
      </c>
      <c r="B781" s="44" t="s">
        <v>44</v>
      </c>
      <c r="C781" s="44" t="s">
        <v>44</v>
      </c>
      <c r="D781" s="44" t="s">
        <v>44</v>
      </c>
      <c r="E781" s="44" t="s">
        <v>44</v>
      </c>
      <c r="F781" s="44" t="s">
        <v>44</v>
      </c>
    </row>
    <row r="782">
      <c r="A782" s="44" t="s">
        <v>44</v>
      </c>
      <c r="B782" s="44" t="s">
        <v>44</v>
      </c>
      <c r="C782" s="44" t="s">
        <v>44</v>
      </c>
      <c r="D782" s="44" t="s">
        <v>44</v>
      </c>
      <c r="E782" s="44" t="s">
        <v>44</v>
      </c>
      <c r="F782" s="44" t="s">
        <v>44</v>
      </c>
    </row>
    <row r="783">
      <c r="A783" s="44" t="s">
        <v>44</v>
      </c>
      <c r="B783" s="44" t="s">
        <v>44</v>
      </c>
      <c r="C783" s="44" t="s">
        <v>44</v>
      </c>
      <c r="D783" s="44" t="s">
        <v>44</v>
      </c>
      <c r="E783" s="44" t="s">
        <v>44</v>
      </c>
      <c r="F783" s="44" t="s">
        <v>44</v>
      </c>
    </row>
    <row r="784">
      <c r="A784" s="44" t="s">
        <v>44</v>
      </c>
      <c r="B784" s="44" t="s">
        <v>44</v>
      </c>
      <c r="C784" s="44" t="s">
        <v>44</v>
      </c>
      <c r="D784" s="44" t="s">
        <v>44</v>
      </c>
      <c r="E784" s="44" t="s">
        <v>44</v>
      </c>
      <c r="F784" s="44" t="s">
        <v>44</v>
      </c>
    </row>
    <row r="785">
      <c r="A785" s="44" t="s">
        <v>44</v>
      </c>
      <c r="B785" s="44" t="s">
        <v>44</v>
      </c>
      <c r="C785" s="44" t="s">
        <v>44</v>
      </c>
      <c r="D785" s="44" t="s">
        <v>44</v>
      </c>
      <c r="E785" s="44" t="s">
        <v>44</v>
      </c>
      <c r="F785" s="44" t="s">
        <v>44</v>
      </c>
    </row>
    <row r="786">
      <c r="A786" s="44" t="s">
        <v>44</v>
      </c>
      <c r="B786" s="44" t="s">
        <v>44</v>
      </c>
      <c r="C786" s="44" t="s">
        <v>44</v>
      </c>
      <c r="D786" s="44" t="s">
        <v>44</v>
      </c>
      <c r="E786" s="44" t="s">
        <v>44</v>
      </c>
      <c r="F786" s="44" t="s">
        <v>44</v>
      </c>
    </row>
    <row r="787">
      <c r="A787" s="44" t="s">
        <v>44</v>
      </c>
      <c r="B787" s="44" t="s">
        <v>44</v>
      </c>
      <c r="C787" s="44" t="s">
        <v>44</v>
      </c>
      <c r="D787" s="44" t="s">
        <v>44</v>
      </c>
      <c r="E787" s="44" t="s">
        <v>44</v>
      </c>
      <c r="F787" s="44" t="s">
        <v>44</v>
      </c>
    </row>
    <row r="788">
      <c r="A788" s="44" t="s">
        <v>44</v>
      </c>
      <c r="B788" s="44" t="s">
        <v>44</v>
      </c>
      <c r="C788" s="44" t="s">
        <v>44</v>
      </c>
      <c r="D788" s="44" t="s">
        <v>44</v>
      </c>
      <c r="E788" s="44" t="s">
        <v>44</v>
      </c>
      <c r="F788" s="44" t="s">
        <v>44</v>
      </c>
    </row>
    <row r="789">
      <c r="A789" s="44" t="s">
        <v>44</v>
      </c>
      <c r="B789" s="44" t="s">
        <v>44</v>
      </c>
      <c r="C789" s="44" t="s">
        <v>44</v>
      </c>
      <c r="D789" s="44" t="s">
        <v>44</v>
      </c>
      <c r="E789" s="44" t="s">
        <v>44</v>
      </c>
      <c r="F789" s="44" t="s">
        <v>44</v>
      </c>
    </row>
    <row r="790">
      <c r="A790" s="44" t="s">
        <v>44</v>
      </c>
      <c r="B790" s="44" t="s">
        <v>44</v>
      </c>
      <c r="C790" s="44" t="s">
        <v>44</v>
      </c>
      <c r="D790" s="44" t="s">
        <v>44</v>
      </c>
      <c r="E790" s="44" t="s">
        <v>44</v>
      </c>
      <c r="F790" s="44" t="s">
        <v>44</v>
      </c>
    </row>
    <row r="791">
      <c r="A791" s="44" t="s">
        <v>44</v>
      </c>
      <c r="B791" s="44" t="s">
        <v>44</v>
      </c>
      <c r="C791" s="44" t="s">
        <v>44</v>
      </c>
      <c r="D791" s="44" t="s">
        <v>44</v>
      </c>
      <c r="E791" s="44" t="s">
        <v>44</v>
      </c>
      <c r="F791" s="44" t="s">
        <v>44</v>
      </c>
    </row>
    <row r="792">
      <c r="A792" s="44" t="s">
        <v>44</v>
      </c>
      <c r="B792" s="44" t="s">
        <v>44</v>
      </c>
      <c r="C792" s="44" t="s">
        <v>44</v>
      </c>
      <c r="D792" s="44" t="s">
        <v>44</v>
      </c>
      <c r="E792" s="44" t="s">
        <v>44</v>
      </c>
      <c r="F792" s="44" t="s">
        <v>44</v>
      </c>
    </row>
    <row r="793">
      <c r="A793" s="44" t="s">
        <v>44</v>
      </c>
      <c r="B793" s="44" t="s">
        <v>44</v>
      </c>
      <c r="C793" s="44" t="s">
        <v>44</v>
      </c>
      <c r="D793" s="44" t="s">
        <v>44</v>
      </c>
      <c r="E793" s="44" t="s">
        <v>44</v>
      </c>
      <c r="F793" s="44" t="s">
        <v>44</v>
      </c>
    </row>
    <row r="794">
      <c r="A794" s="44" t="s">
        <v>44</v>
      </c>
      <c r="B794" s="44" t="s">
        <v>44</v>
      </c>
      <c r="C794" s="44" t="s">
        <v>44</v>
      </c>
      <c r="D794" s="44" t="s">
        <v>44</v>
      </c>
      <c r="E794" s="44" t="s">
        <v>44</v>
      </c>
      <c r="F794" s="44" t="s">
        <v>44</v>
      </c>
    </row>
    <row r="795">
      <c r="A795" s="44" t="s">
        <v>44</v>
      </c>
      <c r="B795" s="44" t="s">
        <v>44</v>
      </c>
      <c r="C795" s="44" t="s">
        <v>44</v>
      </c>
      <c r="D795" s="44" t="s">
        <v>44</v>
      </c>
      <c r="E795" s="44" t="s">
        <v>44</v>
      </c>
      <c r="F795" s="44" t="s">
        <v>44</v>
      </c>
    </row>
    <row r="796">
      <c r="A796" s="44" t="s">
        <v>44</v>
      </c>
      <c r="B796" s="44" t="s">
        <v>44</v>
      </c>
      <c r="C796" s="44" t="s">
        <v>44</v>
      </c>
      <c r="D796" s="44" t="s">
        <v>44</v>
      </c>
      <c r="E796" s="44" t="s">
        <v>44</v>
      </c>
      <c r="F796" s="44" t="s">
        <v>44</v>
      </c>
    </row>
    <row r="797">
      <c r="A797" s="44" t="s">
        <v>44</v>
      </c>
      <c r="B797" s="44" t="s">
        <v>44</v>
      </c>
      <c r="C797" s="44" t="s">
        <v>44</v>
      </c>
      <c r="D797" s="44" t="s">
        <v>44</v>
      </c>
      <c r="E797" s="44" t="s">
        <v>44</v>
      </c>
      <c r="F797" s="44" t="s">
        <v>44</v>
      </c>
    </row>
    <row r="798">
      <c r="A798" s="44" t="s">
        <v>44</v>
      </c>
      <c r="B798" s="44" t="s">
        <v>44</v>
      </c>
      <c r="C798" s="44" t="s">
        <v>44</v>
      </c>
      <c r="D798" s="44" t="s">
        <v>44</v>
      </c>
      <c r="E798" s="44" t="s">
        <v>44</v>
      </c>
      <c r="F798" s="44" t="s">
        <v>44</v>
      </c>
    </row>
    <row r="799">
      <c r="A799" s="44" t="s">
        <v>44</v>
      </c>
      <c r="B799" s="44" t="s">
        <v>44</v>
      </c>
      <c r="C799" s="44" t="s">
        <v>44</v>
      </c>
      <c r="D799" s="44" t="s">
        <v>44</v>
      </c>
      <c r="E799" s="44" t="s">
        <v>44</v>
      </c>
      <c r="F799" s="44" t="s">
        <v>44</v>
      </c>
    </row>
    <row r="800">
      <c r="A800" s="44" t="s">
        <v>44</v>
      </c>
      <c r="B800" s="44" t="s">
        <v>44</v>
      </c>
      <c r="C800" s="44" t="s">
        <v>44</v>
      </c>
      <c r="D800" s="44" t="s">
        <v>44</v>
      </c>
      <c r="E800" s="44" t="s">
        <v>44</v>
      </c>
      <c r="F800" s="44" t="s">
        <v>44</v>
      </c>
    </row>
    <row r="801">
      <c r="A801" s="44" t="s">
        <v>44</v>
      </c>
      <c r="B801" s="44" t="s">
        <v>44</v>
      </c>
      <c r="C801" s="44" t="s">
        <v>44</v>
      </c>
      <c r="D801" s="44" t="s">
        <v>44</v>
      </c>
      <c r="E801" s="44" t="s">
        <v>44</v>
      </c>
      <c r="F801" s="44" t="s">
        <v>44</v>
      </c>
    </row>
    <row r="802">
      <c r="A802" s="44" t="s">
        <v>44</v>
      </c>
      <c r="B802" s="44" t="s">
        <v>44</v>
      </c>
      <c r="C802" s="44" t="s">
        <v>44</v>
      </c>
      <c r="D802" s="44" t="s">
        <v>44</v>
      </c>
      <c r="E802" s="44" t="s">
        <v>44</v>
      </c>
      <c r="F802" s="44" t="s">
        <v>44</v>
      </c>
    </row>
    <row r="803">
      <c r="A803" s="44" t="s">
        <v>44</v>
      </c>
      <c r="B803" s="44" t="s">
        <v>44</v>
      </c>
      <c r="C803" s="44" t="s">
        <v>44</v>
      </c>
      <c r="D803" s="44" t="s">
        <v>44</v>
      </c>
      <c r="E803" s="44" t="s">
        <v>44</v>
      </c>
      <c r="F803" s="44" t="s">
        <v>44</v>
      </c>
    </row>
    <row r="804">
      <c r="A804" s="44" t="s">
        <v>44</v>
      </c>
      <c r="B804" s="44" t="s">
        <v>44</v>
      </c>
      <c r="C804" s="44" t="s">
        <v>44</v>
      </c>
      <c r="D804" s="44" t="s">
        <v>44</v>
      </c>
      <c r="E804" s="44" t="s">
        <v>44</v>
      </c>
      <c r="F804" s="44" t="s">
        <v>44</v>
      </c>
    </row>
    <row r="805">
      <c r="A805" s="44" t="s">
        <v>44</v>
      </c>
      <c r="B805" s="44" t="s">
        <v>44</v>
      </c>
      <c r="C805" s="44" t="s">
        <v>44</v>
      </c>
      <c r="D805" s="44" t="s">
        <v>44</v>
      </c>
      <c r="E805" s="44" t="s">
        <v>44</v>
      </c>
      <c r="F805" s="44" t="s">
        <v>44</v>
      </c>
    </row>
    <row r="806">
      <c r="A806" s="44" t="s">
        <v>44</v>
      </c>
      <c r="B806" s="44" t="s">
        <v>44</v>
      </c>
      <c r="C806" s="44" t="s">
        <v>44</v>
      </c>
      <c r="D806" s="44" t="s">
        <v>44</v>
      </c>
      <c r="E806" s="44" t="s">
        <v>44</v>
      </c>
      <c r="F806" s="44" t="s">
        <v>44</v>
      </c>
    </row>
    <row r="807">
      <c r="A807" s="44" t="s">
        <v>44</v>
      </c>
      <c r="B807" s="44" t="s">
        <v>44</v>
      </c>
      <c r="C807" s="44" t="s">
        <v>44</v>
      </c>
      <c r="D807" s="44" t="s">
        <v>44</v>
      </c>
      <c r="E807" s="44" t="s">
        <v>44</v>
      </c>
      <c r="F807" s="44" t="s">
        <v>44</v>
      </c>
    </row>
    <row r="808">
      <c r="A808" s="44" t="s">
        <v>44</v>
      </c>
      <c r="B808" s="44" t="s">
        <v>44</v>
      </c>
      <c r="C808" s="44" t="s">
        <v>44</v>
      </c>
      <c r="D808" s="44" t="s">
        <v>44</v>
      </c>
      <c r="E808" s="44" t="s">
        <v>44</v>
      </c>
      <c r="F808" s="44" t="s">
        <v>44</v>
      </c>
    </row>
    <row r="809">
      <c r="A809" s="44" t="s">
        <v>44</v>
      </c>
      <c r="B809" s="44" t="s">
        <v>44</v>
      </c>
      <c r="C809" s="44" t="s">
        <v>44</v>
      </c>
      <c r="D809" s="44" t="s">
        <v>44</v>
      </c>
      <c r="E809" s="44" t="s">
        <v>44</v>
      </c>
      <c r="F809" s="44" t="s">
        <v>44</v>
      </c>
    </row>
    <row r="810">
      <c r="A810" s="44" t="s">
        <v>44</v>
      </c>
      <c r="B810" s="44" t="s">
        <v>44</v>
      </c>
      <c r="C810" s="44" t="s">
        <v>44</v>
      </c>
      <c r="D810" s="44" t="s">
        <v>44</v>
      </c>
      <c r="E810" s="44" t="s">
        <v>44</v>
      </c>
      <c r="F810" s="44" t="s">
        <v>44</v>
      </c>
    </row>
    <row r="811">
      <c r="A811" s="44" t="s">
        <v>44</v>
      </c>
      <c r="B811" s="44" t="s">
        <v>44</v>
      </c>
      <c r="C811" s="44" t="s">
        <v>44</v>
      </c>
      <c r="D811" s="44" t="s">
        <v>44</v>
      </c>
      <c r="E811" s="44" t="s">
        <v>44</v>
      </c>
      <c r="F811" s="44" t="s">
        <v>44</v>
      </c>
    </row>
    <row r="812">
      <c r="A812" s="44" t="s">
        <v>44</v>
      </c>
      <c r="B812" s="44" t="s">
        <v>44</v>
      </c>
      <c r="C812" s="44" t="s">
        <v>44</v>
      </c>
      <c r="D812" s="44" t="s">
        <v>44</v>
      </c>
      <c r="E812" s="44" t="s">
        <v>44</v>
      </c>
      <c r="F812" s="44" t="s">
        <v>44</v>
      </c>
    </row>
    <row r="813">
      <c r="A813" s="44" t="s">
        <v>44</v>
      </c>
      <c r="B813" s="44" t="s">
        <v>44</v>
      </c>
      <c r="C813" s="44" t="s">
        <v>44</v>
      </c>
      <c r="D813" s="44" t="s">
        <v>44</v>
      </c>
      <c r="E813" s="44" t="s">
        <v>44</v>
      </c>
      <c r="F813" s="44" t="s">
        <v>44</v>
      </c>
    </row>
    <row r="814">
      <c r="A814" s="44" t="s">
        <v>44</v>
      </c>
      <c r="B814" s="44" t="s">
        <v>44</v>
      </c>
      <c r="C814" s="44" t="s">
        <v>44</v>
      </c>
      <c r="D814" s="44" t="s">
        <v>44</v>
      </c>
      <c r="E814" s="44" t="s">
        <v>44</v>
      </c>
      <c r="F814" s="44" t="s">
        <v>44</v>
      </c>
    </row>
    <row r="815">
      <c r="A815" s="44" t="s">
        <v>44</v>
      </c>
      <c r="B815" s="44" t="s">
        <v>44</v>
      </c>
      <c r="C815" s="44" t="s">
        <v>44</v>
      </c>
      <c r="D815" s="44" t="s">
        <v>44</v>
      </c>
      <c r="E815" s="44" t="s">
        <v>44</v>
      </c>
      <c r="F815" s="44" t="s">
        <v>44</v>
      </c>
    </row>
    <row r="816">
      <c r="A816" s="44" t="s">
        <v>44</v>
      </c>
      <c r="B816" s="44" t="s">
        <v>44</v>
      </c>
      <c r="C816" s="44" t="s">
        <v>44</v>
      </c>
      <c r="D816" s="44" t="s">
        <v>44</v>
      </c>
      <c r="E816" s="44" t="s">
        <v>44</v>
      </c>
      <c r="F816" s="44" t="s">
        <v>44</v>
      </c>
    </row>
    <row r="817">
      <c r="A817" s="44" t="s">
        <v>44</v>
      </c>
      <c r="B817" s="44" t="s">
        <v>44</v>
      </c>
      <c r="C817" s="44" t="s">
        <v>44</v>
      </c>
      <c r="D817" s="44" t="s">
        <v>44</v>
      </c>
      <c r="E817" s="44" t="s">
        <v>44</v>
      </c>
      <c r="F817" s="44" t="s">
        <v>44</v>
      </c>
    </row>
    <row r="818">
      <c r="A818" s="44" t="s">
        <v>44</v>
      </c>
      <c r="B818" s="44" t="s">
        <v>44</v>
      </c>
      <c r="C818" s="44" t="s">
        <v>44</v>
      </c>
      <c r="D818" s="44" t="s">
        <v>44</v>
      </c>
      <c r="E818" s="44" t="s">
        <v>44</v>
      </c>
      <c r="F818" s="44" t="s">
        <v>44</v>
      </c>
    </row>
    <row r="819">
      <c r="A819" s="44" t="s">
        <v>44</v>
      </c>
      <c r="B819" s="44" t="s">
        <v>44</v>
      </c>
      <c r="C819" s="44" t="s">
        <v>44</v>
      </c>
      <c r="D819" s="44" t="s">
        <v>44</v>
      </c>
      <c r="E819" s="44" t="s">
        <v>44</v>
      </c>
      <c r="F819" s="44" t="s">
        <v>44</v>
      </c>
    </row>
    <row r="820">
      <c r="A820" s="44" t="s">
        <v>44</v>
      </c>
      <c r="B820" s="44" t="s">
        <v>44</v>
      </c>
      <c r="C820" s="44" t="s">
        <v>44</v>
      </c>
      <c r="D820" s="44" t="s">
        <v>44</v>
      </c>
      <c r="E820" s="44" t="s">
        <v>44</v>
      </c>
      <c r="F820" s="44" t="s">
        <v>44</v>
      </c>
    </row>
    <row r="821">
      <c r="A821" s="44" t="s">
        <v>44</v>
      </c>
      <c r="B821" s="44" t="s">
        <v>44</v>
      </c>
      <c r="C821" s="44" t="s">
        <v>44</v>
      </c>
      <c r="D821" s="44" t="s">
        <v>44</v>
      </c>
      <c r="E821" s="44" t="s">
        <v>44</v>
      </c>
      <c r="F821" s="44" t="s">
        <v>44</v>
      </c>
    </row>
    <row r="822">
      <c r="A822" s="44" t="s">
        <v>44</v>
      </c>
      <c r="B822" s="44" t="s">
        <v>44</v>
      </c>
      <c r="C822" s="44" t="s">
        <v>44</v>
      </c>
      <c r="D822" s="44" t="s">
        <v>44</v>
      </c>
      <c r="E822" s="44" t="s">
        <v>44</v>
      </c>
      <c r="F822" s="44" t="s">
        <v>44</v>
      </c>
    </row>
    <row r="823">
      <c r="A823" s="44" t="s">
        <v>44</v>
      </c>
      <c r="B823" s="44" t="s">
        <v>44</v>
      </c>
      <c r="C823" s="44" t="s">
        <v>44</v>
      </c>
      <c r="D823" s="44" t="s">
        <v>44</v>
      </c>
      <c r="E823" s="44" t="s">
        <v>44</v>
      </c>
      <c r="F823" s="44" t="s">
        <v>44</v>
      </c>
    </row>
    <row r="824">
      <c r="A824" s="44" t="s">
        <v>44</v>
      </c>
      <c r="B824" s="44" t="s">
        <v>44</v>
      </c>
      <c r="C824" s="44" t="s">
        <v>44</v>
      </c>
      <c r="D824" s="44" t="s">
        <v>44</v>
      </c>
      <c r="E824" s="44" t="s">
        <v>44</v>
      </c>
      <c r="F824" s="44" t="s">
        <v>44</v>
      </c>
    </row>
    <row r="825">
      <c r="A825" s="44" t="s">
        <v>44</v>
      </c>
      <c r="B825" s="44" t="s">
        <v>44</v>
      </c>
      <c r="C825" s="44" t="s">
        <v>44</v>
      </c>
      <c r="D825" s="44" t="s">
        <v>44</v>
      </c>
      <c r="E825" s="44" t="s">
        <v>44</v>
      </c>
      <c r="F825" s="44" t="s">
        <v>44</v>
      </c>
    </row>
    <row r="826">
      <c r="A826" s="44" t="s">
        <v>44</v>
      </c>
      <c r="B826" s="44" t="s">
        <v>44</v>
      </c>
      <c r="C826" s="44" t="s">
        <v>44</v>
      </c>
      <c r="D826" s="44" t="s">
        <v>44</v>
      </c>
      <c r="E826" s="44" t="s">
        <v>44</v>
      </c>
      <c r="F826" s="44" t="s">
        <v>44</v>
      </c>
    </row>
    <row r="827">
      <c r="A827" s="44" t="s">
        <v>44</v>
      </c>
      <c r="B827" s="44" t="s">
        <v>44</v>
      </c>
      <c r="C827" s="44" t="s">
        <v>44</v>
      </c>
      <c r="D827" s="44" t="s">
        <v>44</v>
      </c>
      <c r="E827" s="44" t="s">
        <v>44</v>
      </c>
      <c r="F827" s="44" t="s">
        <v>44</v>
      </c>
    </row>
    <row r="828">
      <c r="A828" s="44" t="s">
        <v>44</v>
      </c>
      <c r="B828" s="44" t="s">
        <v>44</v>
      </c>
      <c r="C828" s="44" t="s">
        <v>44</v>
      </c>
      <c r="D828" s="44" t="s">
        <v>44</v>
      </c>
      <c r="E828" s="44" t="s">
        <v>44</v>
      </c>
      <c r="F828" s="44" t="s">
        <v>44</v>
      </c>
    </row>
    <row r="829">
      <c r="A829" s="44" t="s">
        <v>44</v>
      </c>
      <c r="B829" s="44" t="s">
        <v>44</v>
      </c>
      <c r="C829" s="44" t="s">
        <v>44</v>
      </c>
      <c r="D829" s="44" t="s">
        <v>44</v>
      </c>
      <c r="E829" s="44" t="s">
        <v>44</v>
      </c>
      <c r="F829" s="44" t="s">
        <v>44</v>
      </c>
    </row>
    <row r="830">
      <c r="A830" s="44" t="s">
        <v>44</v>
      </c>
      <c r="B830" s="44" t="s">
        <v>44</v>
      </c>
      <c r="C830" s="44" t="s">
        <v>44</v>
      </c>
      <c r="D830" s="44" t="s">
        <v>44</v>
      </c>
      <c r="E830" s="44" t="s">
        <v>44</v>
      </c>
      <c r="F830" s="44" t="s">
        <v>44</v>
      </c>
    </row>
    <row r="831">
      <c r="A831" s="44" t="s">
        <v>44</v>
      </c>
      <c r="B831" s="44" t="s">
        <v>44</v>
      </c>
      <c r="C831" s="44" t="s">
        <v>44</v>
      </c>
      <c r="D831" s="44" t="s">
        <v>44</v>
      </c>
      <c r="E831" s="44" t="s">
        <v>44</v>
      </c>
      <c r="F831" s="44" t="s">
        <v>44</v>
      </c>
    </row>
    <row r="832">
      <c r="A832" s="44" t="s">
        <v>44</v>
      </c>
      <c r="B832" s="44" t="s">
        <v>44</v>
      </c>
      <c r="C832" s="44" t="s">
        <v>44</v>
      </c>
      <c r="D832" s="44" t="s">
        <v>44</v>
      </c>
      <c r="E832" s="44" t="s">
        <v>44</v>
      </c>
      <c r="F832" s="44" t="s">
        <v>44</v>
      </c>
    </row>
    <row r="833">
      <c r="A833" s="44" t="s">
        <v>44</v>
      </c>
      <c r="B833" s="44" t="s">
        <v>44</v>
      </c>
      <c r="C833" s="44" t="s">
        <v>44</v>
      </c>
      <c r="D833" s="44" t="s">
        <v>44</v>
      </c>
      <c r="E833" s="44" t="s">
        <v>44</v>
      </c>
      <c r="F833" s="44" t="s">
        <v>44</v>
      </c>
    </row>
    <row r="834">
      <c r="A834" s="44" t="s">
        <v>44</v>
      </c>
      <c r="B834" s="44" t="s">
        <v>44</v>
      </c>
      <c r="C834" s="44" t="s">
        <v>44</v>
      </c>
      <c r="D834" s="44" t="s">
        <v>44</v>
      </c>
      <c r="E834" s="44" t="s">
        <v>44</v>
      </c>
      <c r="F834" s="44" t="s">
        <v>44</v>
      </c>
    </row>
    <row r="835">
      <c r="A835" s="44" t="s">
        <v>44</v>
      </c>
      <c r="B835" s="44" t="s">
        <v>44</v>
      </c>
      <c r="C835" s="44" t="s">
        <v>44</v>
      </c>
      <c r="D835" s="44" t="s">
        <v>44</v>
      </c>
      <c r="E835" s="44" t="s">
        <v>44</v>
      </c>
      <c r="F835" s="44" t="s">
        <v>44</v>
      </c>
    </row>
    <row r="836">
      <c r="A836" s="44" t="s">
        <v>44</v>
      </c>
      <c r="B836" s="44" t="s">
        <v>44</v>
      </c>
      <c r="C836" s="44" t="s">
        <v>44</v>
      </c>
      <c r="D836" s="44" t="s">
        <v>44</v>
      </c>
      <c r="E836" s="44" t="s">
        <v>44</v>
      </c>
      <c r="F836" s="44" t="s">
        <v>44</v>
      </c>
    </row>
    <row r="837">
      <c r="A837" s="44" t="s">
        <v>44</v>
      </c>
      <c r="B837" s="44" t="s">
        <v>44</v>
      </c>
      <c r="C837" s="44" t="s">
        <v>44</v>
      </c>
      <c r="D837" s="44" t="s">
        <v>44</v>
      </c>
      <c r="E837" s="44" t="s">
        <v>44</v>
      </c>
      <c r="F837" s="44" t="s">
        <v>44</v>
      </c>
    </row>
    <row r="838">
      <c r="A838" s="44" t="s">
        <v>44</v>
      </c>
      <c r="B838" s="44" t="s">
        <v>44</v>
      </c>
      <c r="C838" s="44" t="s">
        <v>44</v>
      </c>
      <c r="D838" s="44" t="s">
        <v>44</v>
      </c>
      <c r="E838" s="44" t="s">
        <v>44</v>
      </c>
      <c r="F838" s="44" t="s">
        <v>44</v>
      </c>
    </row>
    <row r="839">
      <c r="A839" s="44" t="s">
        <v>44</v>
      </c>
      <c r="B839" s="44" t="s">
        <v>44</v>
      </c>
      <c r="C839" s="44" t="s">
        <v>44</v>
      </c>
      <c r="D839" s="44" t="s">
        <v>44</v>
      </c>
      <c r="E839" s="44" t="s">
        <v>44</v>
      </c>
      <c r="F839" s="44" t="s">
        <v>44</v>
      </c>
    </row>
    <row r="840">
      <c r="A840" s="44" t="s">
        <v>44</v>
      </c>
      <c r="B840" s="44" t="s">
        <v>44</v>
      </c>
      <c r="C840" s="44" t="s">
        <v>44</v>
      </c>
      <c r="D840" s="44" t="s">
        <v>44</v>
      </c>
      <c r="E840" s="44" t="s">
        <v>44</v>
      </c>
      <c r="F840" s="44" t="s">
        <v>44</v>
      </c>
    </row>
    <row r="841">
      <c r="A841" s="44" t="s">
        <v>44</v>
      </c>
      <c r="B841" s="44" t="s">
        <v>44</v>
      </c>
      <c r="C841" s="44" t="s">
        <v>44</v>
      </c>
      <c r="D841" s="44" t="s">
        <v>44</v>
      </c>
      <c r="E841" s="44" t="s">
        <v>44</v>
      </c>
      <c r="F841" s="44" t="s">
        <v>44</v>
      </c>
    </row>
    <row r="842">
      <c r="A842" s="44" t="s">
        <v>44</v>
      </c>
      <c r="B842" s="44" t="s">
        <v>44</v>
      </c>
      <c r="C842" s="44" t="s">
        <v>44</v>
      </c>
      <c r="D842" s="44" t="s">
        <v>44</v>
      </c>
      <c r="E842" s="44" t="s">
        <v>44</v>
      </c>
      <c r="F842" s="44" t="s">
        <v>44</v>
      </c>
    </row>
    <row r="843">
      <c r="A843" s="44" t="s">
        <v>44</v>
      </c>
      <c r="B843" s="44" t="s">
        <v>44</v>
      </c>
      <c r="C843" s="44" t="s">
        <v>44</v>
      </c>
      <c r="D843" s="44" t="s">
        <v>44</v>
      </c>
      <c r="E843" s="44" t="s">
        <v>44</v>
      </c>
      <c r="F843" s="44" t="s">
        <v>44</v>
      </c>
    </row>
    <row r="844">
      <c r="A844" s="44" t="s">
        <v>44</v>
      </c>
      <c r="B844" s="44" t="s">
        <v>44</v>
      </c>
      <c r="C844" s="44" t="s">
        <v>44</v>
      </c>
      <c r="D844" s="44" t="s">
        <v>44</v>
      </c>
      <c r="E844" s="44" t="s">
        <v>44</v>
      </c>
      <c r="F844" s="44" t="s">
        <v>44</v>
      </c>
    </row>
    <row r="845">
      <c r="A845" s="44" t="s">
        <v>44</v>
      </c>
      <c r="B845" s="44" t="s">
        <v>44</v>
      </c>
      <c r="C845" s="44" t="s">
        <v>44</v>
      </c>
      <c r="D845" s="44" t="s">
        <v>44</v>
      </c>
      <c r="E845" s="44" t="s">
        <v>44</v>
      </c>
      <c r="F845" s="44" t="s">
        <v>44</v>
      </c>
    </row>
    <row r="846">
      <c r="A846" s="44" t="s">
        <v>44</v>
      </c>
      <c r="B846" s="44" t="s">
        <v>44</v>
      </c>
      <c r="C846" s="44" t="s">
        <v>44</v>
      </c>
      <c r="D846" s="44" t="s">
        <v>44</v>
      </c>
      <c r="E846" s="44" t="s">
        <v>44</v>
      </c>
      <c r="F846" s="44" t="s">
        <v>44</v>
      </c>
    </row>
    <row r="847">
      <c r="A847" s="44" t="s">
        <v>44</v>
      </c>
      <c r="B847" s="44" t="s">
        <v>44</v>
      </c>
      <c r="C847" s="44" t="s">
        <v>44</v>
      </c>
      <c r="D847" s="44" t="s">
        <v>44</v>
      </c>
      <c r="E847" s="44" t="s">
        <v>44</v>
      </c>
      <c r="F847" s="44" t="s">
        <v>44</v>
      </c>
    </row>
    <row r="848">
      <c r="A848" s="44" t="s">
        <v>44</v>
      </c>
      <c r="B848" s="44" t="s">
        <v>44</v>
      </c>
      <c r="C848" s="44" t="s">
        <v>44</v>
      </c>
      <c r="D848" s="44" t="s">
        <v>44</v>
      </c>
      <c r="E848" s="44" t="s">
        <v>44</v>
      </c>
      <c r="F848" s="44" t="s">
        <v>44</v>
      </c>
    </row>
    <row r="849">
      <c r="A849" s="44" t="s">
        <v>44</v>
      </c>
      <c r="B849" s="44" t="s">
        <v>44</v>
      </c>
      <c r="C849" s="44" t="s">
        <v>44</v>
      </c>
      <c r="D849" s="44" t="s">
        <v>44</v>
      </c>
      <c r="E849" s="44" t="s">
        <v>44</v>
      </c>
      <c r="F849" s="44" t="s">
        <v>44</v>
      </c>
    </row>
    <row r="850">
      <c r="A850" s="44" t="s">
        <v>44</v>
      </c>
      <c r="B850" s="44" t="s">
        <v>44</v>
      </c>
      <c r="C850" s="44" t="s">
        <v>44</v>
      </c>
      <c r="D850" s="44" t="s">
        <v>44</v>
      </c>
      <c r="E850" s="44" t="s">
        <v>44</v>
      </c>
      <c r="F850" s="44" t="s">
        <v>44</v>
      </c>
    </row>
    <row r="851">
      <c r="A851" s="44" t="s">
        <v>44</v>
      </c>
      <c r="B851" s="44" t="s">
        <v>44</v>
      </c>
      <c r="C851" s="44" t="s">
        <v>44</v>
      </c>
      <c r="D851" s="44" t="s">
        <v>44</v>
      </c>
      <c r="E851" s="44" t="s">
        <v>44</v>
      </c>
      <c r="F851" s="44" t="s">
        <v>44</v>
      </c>
    </row>
    <row r="852">
      <c r="A852" s="44" t="s">
        <v>44</v>
      </c>
      <c r="B852" s="44" t="s">
        <v>44</v>
      </c>
      <c r="C852" s="44" t="s">
        <v>44</v>
      </c>
      <c r="D852" s="44" t="s">
        <v>44</v>
      </c>
      <c r="E852" s="44" t="s">
        <v>44</v>
      </c>
      <c r="F852" s="44" t="s">
        <v>44</v>
      </c>
    </row>
    <row r="853">
      <c r="A853" s="44" t="s">
        <v>44</v>
      </c>
      <c r="B853" s="44" t="s">
        <v>44</v>
      </c>
      <c r="C853" s="44" t="s">
        <v>44</v>
      </c>
      <c r="D853" s="44" t="s">
        <v>44</v>
      </c>
      <c r="E853" s="44" t="s">
        <v>44</v>
      </c>
      <c r="F853" s="44" t="s">
        <v>44</v>
      </c>
    </row>
    <row r="854">
      <c r="A854" s="44" t="s">
        <v>44</v>
      </c>
      <c r="B854" s="44" t="s">
        <v>44</v>
      </c>
      <c r="C854" s="44" t="s">
        <v>44</v>
      </c>
      <c r="D854" s="44" t="s">
        <v>44</v>
      </c>
      <c r="E854" s="44" t="s">
        <v>44</v>
      </c>
      <c r="F854" s="44" t="s">
        <v>44</v>
      </c>
    </row>
    <row r="855">
      <c r="A855" s="44" t="s">
        <v>44</v>
      </c>
      <c r="B855" s="44" t="s">
        <v>44</v>
      </c>
      <c r="C855" s="44" t="s">
        <v>44</v>
      </c>
      <c r="D855" s="44" t="s">
        <v>44</v>
      </c>
      <c r="E855" s="44" t="s">
        <v>44</v>
      </c>
      <c r="F855" s="44" t="s">
        <v>44</v>
      </c>
    </row>
    <row r="856">
      <c r="A856" s="44" t="s">
        <v>44</v>
      </c>
      <c r="B856" s="44" t="s">
        <v>44</v>
      </c>
      <c r="C856" s="44" t="s">
        <v>44</v>
      </c>
      <c r="D856" s="44" t="s">
        <v>44</v>
      </c>
      <c r="E856" s="44" t="s">
        <v>44</v>
      </c>
      <c r="F856" s="44" t="s">
        <v>44</v>
      </c>
    </row>
    <row r="857">
      <c r="A857" s="44" t="s">
        <v>44</v>
      </c>
      <c r="B857" s="44" t="s">
        <v>44</v>
      </c>
      <c r="C857" s="44" t="s">
        <v>44</v>
      </c>
      <c r="D857" s="44" t="s">
        <v>44</v>
      </c>
      <c r="E857" s="44" t="s">
        <v>44</v>
      </c>
      <c r="F857" s="44" t="s">
        <v>44</v>
      </c>
    </row>
    <row r="858">
      <c r="A858" s="44" t="s">
        <v>44</v>
      </c>
      <c r="B858" s="44" t="s">
        <v>44</v>
      </c>
      <c r="C858" s="44" t="s">
        <v>44</v>
      </c>
      <c r="D858" s="44" t="s">
        <v>44</v>
      </c>
      <c r="E858" s="44" t="s">
        <v>44</v>
      </c>
      <c r="F858" s="44" t="s">
        <v>44</v>
      </c>
    </row>
    <row r="859">
      <c r="A859" s="44" t="s">
        <v>44</v>
      </c>
      <c r="B859" s="44" t="s">
        <v>44</v>
      </c>
      <c r="C859" s="44" t="s">
        <v>44</v>
      </c>
      <c r="D859" s="44" t="s">
        <v>44</v>
      </c>
      <c r="E859" s="44" t="s">
        <v>44</v>
      </c>
      <c r="F859" s="44" t="s">
        <v>44</v>
      </c>
    </row>
    <row r="860">
      <c r="A860" s="44" t="s">
        <v>44</v>
      </c>
      <c r="B860" s="44" t="s">
        <v>44</v>
      </c>
      <c r="C860" s="44" t="s">
        <v>44</v>
      </c>
      <c r="D860" s="44" t="s">
        <v>44</v>
      </c>
      <c r="E860" s="44" t="s">
        <v>44</v>
      </c>
      <c r="F860" s="44" t="s">
        <v>44</v>
      </c>
    </row>
    <row r="861">
      <c r="A861" s="44" t="s">
        <v>44</v>
      </c>
      <c r="B861" s="44" t="s">
        <v>44</v>
      </c>
      <c r="C861" s="44" t="s">
        <v>44</v>
      </c>
      <c r="D861" s="44" t="s">
        <v>44</v>
      </c>
      <c r="E861" s="44" t="s">
        <v>44</v>
      </c>
      <c r="F861" s="44" t="s">
        <v>44</v>
      </c>
    </row>
    <row r="862">
      <c r="A862" s="44" t="s">
        <v>44</v>
      </c>
      <c r="B862" s="44" t="s">
        <v>44</v>
      </c>
      <c r="C862" s="44" t="s">
        <v>44</v>
      </c>
      <c r="D862" s="44" t="s">
        <v>44</v>
      </c>
      <c r="E862" s="44" t="s">
        <v>44</v>
      </c>
      <c r="F862" s="44" t="s">
        <v>44</v>
      </c>
    </row>
    <row r="863">
      <c r="A863" s="44" t="s">
        <v>44</v>
      </c>
      <c r="B863" s="44" t="s">
        <v>44</v>
      </c>
      <c r="C863" s="44" t="s">
        <v>44</v>
      </c>
      <c r="D863" s="44" t="s">
        <v>44</v>
      </c>
      <c r="E863" s="44" t="s">
        <v>44</v>
      </c>
      <c r="F863" s="44" t="s">
        <v>44</v>
      </c>
    </row>
    <row r="864">
      <c r="A864" s="44" t="s">
        <v>44</v>
      </c>
      <c r="B864" s="44" t="s">
        <v>44</v>
      </c>
      <c r="C864" s="44" t="s">
        <v>44</v>
      </c>
      <c r="D864" s="44" t="s">
        <v>44</v>
      </c>
      <c r="E864" s="44" t="s">
        <v>44</v>
      </c>
      <c r="F864" s="44" t="s">
        <v>44</v>
      </c>
    </row>
    <row r="865">
      <c r="A865" s="44" t="s">
        <v>44</v>
      </c>
      <c r="B865" s="44" t="s">
        <v>44</v>
      </c>
      <c r="C865" s="44" t="s">
        <v>44</v>
      </c>
      <c r="D865" s="44" t="s">
        <v>44</v>
      </c>
      <c r="E865" s="44" t="s">
        <v>44</v>
      </c>
      <c r="F865" s="44" t="s">
        <v>44</v>
      </c>
    </row>
    <row r="866">
      <c r="A866" s="44" t="s">
        <v>44</v>
      </c>
      <c r="B866" s="44" t="s">
        <v>44</v>
      </c>
      <c r="C866" s="44" t="s">
        <v>44</v>
      </c>
      <c r="D866" s="44" t="s">
        <v>44</v>
      </c>
      <c r="E866" s="44" t="s">
        <v>44</v>
      </c>
      <c r="F866" s="44" t="s">
        <v>44</v>
      </c>
    </row>
    <row r="867">
      <c r="A867" s="44" t="s">
        <v>44</v>
      </c>
      <c r="B867" s="44" t="s">
        <v>44</v>
      </c>
      <c r="C867" s="44" t="s">
        <v>44</v>
      </c>
      <c r="D867" s="44" t="s">
        <v>44</v>
      </c>
      <c r="E867" s="44" t="s">
        <v>44</v>
      </c>
      <c r="F867" s="44" t="s">
        <v>44</v>
      </c>
    </row>
    <row r="868">
      <c r="A868" s="44" t="s">
        <v>44</v>
      </c>
      <c r="B868" s="44" t="s">
        <v>44</v>
      </c>
      <c r="C868" s="44" t="s">
        <v>44</v>
      </c>
      <c r="D868" s="44" t="s">
        <v>44</v>
      </c>
      <c r="E868" s="44" t="s">
        <v>44</v>
      </c>
      <c r="F868" s="44" t="s">
        <v>44</v>
      </c>
    </row>
    <row r="869">
      <c r="A869" s="44" t="s">
        <v>44</v>
      </c>
      <c r="B869" s="44" t="s">
        <v>44</v>
      </c>
      <c r="C869" s="44" t="s">
        <v>44</v>
      </c>
      <c r="D869" s="44" t="s">
        <v>44</v>
      </c>
      <c r="E869" s="44" t="s">
        <v>44</v>
      </c>
      <c r="F869" s="44" t="s">
        <v>44</v>
      </c>
    </row>
    <row r="870">
      <c r="A870" s="44" t="s">
        <v>44</v>
      </c>
      <c r="B870" s="44" t="s">
        <v>44</v>
      </c>
      <c r="C870" s="44" t="s">
        <v>44</v>
      </c>
      <c r="D870" s="44" t="s">
        <v>44</v>
      </c>
      <c r="E870" s="44" t="s">
        <v>44</v>
      </c>
      <c r="F870" s="44" t="s">
        <v>44</v>
      </c>
    </row>
    <row r="871">
      <c r="A871" s="44" t="s">
        <v>44</v>
      </c>
      <c r="B871" s="44" t="s">
        <v>44</v>
      </c>
      <c r="C871" s="44" t="s">
        <v>44</v>
      </c>
      <c r="D871" s="44" t="s">
        <v>44</v>
      </c>
      <c r="E871" s="44" t="s">
        <v>44</v>
      </c>
      <c r="F871" s="44" t="s">
        <v>44</v>
      </c>
    </row>
    <row r="872">
      <c r="A872" s="44" t="s">
        <v>44</v>
      </c>
      <c r="B872" s="44" t="s">
        <v>44</v>
      </c>
      <c r="C872" s="44" t="s">
        <v>44</v>
      </c>
      <c r="D872" s="44" t="s">
        <v>44</v>
      </c>
      <c r="E872" s="44" t="s">
        <v>44</v>
      </c>
      <c r="F872" s="44" t="s">
        <v>44</v>
      </c>
    </row>
    <row r="873">
      <c r="A873" s="44" t="s">
        <v>44</v>
      </c>
      <c r="B873" s="44" t="s">
        <v>44</v>
      </c>
      <c r="C873" s="44" t="s">
        <v>44</v>
      </c>
      <c r="D873" s="44" t="s">
        <v>44</v>
      </c>
      <c r="E873" s="44" t="s">
        <v>44</v>
      </c>
      <c r="F873" s="44" t="s">
        <v>44</v>
      </c>
    </row>
    <row r="874">
      <c r="A874" s="44" t="s">
        <v>44</v>
      </c>
      <c r="B874" s="44" t="s">
        <v>44</v>
      </c>
      <c r="C874" s="44" t="s">
        <v>44</v>
      </c>
      <c r="D874" s="44" t="s">
        <v>44</v>
      </c>
      <c r="E874" s="44" t="s">
        <v>44</v>
      </c>
      <c r="F874" s="44" t="s">
        <v>44</v>
      </c>
    </row>
    <row r="875">
      <c r="A875" s="44" t="s">
        <v>44</v>
      </c>
      <c r="B875" s="44" t="s">
        <v>44</v>
      </c>
      <c r="C875" s="44" t="s">
        <v>44</v>
      </c>
      <c r="D875" s="44" t="s">
        <v>44</v>
      </c>
      <c r="E875" s="44" t="s">
        <v>44</v>
      </c>
      <c r="F875" s="44" t="s">
        <v>44</v>
      </c>
    </row>
    <row r="876">
      <c r="A876" s="44" t="s">
        <v>44</v>
      </c>
      <c r="B876" s="44" t="s">
        <v>44</v>
      </c>
      <c r="C876" s="44" t="s">
        <v>44</v>
      </c>
      <c r="D876" s="44" t="s">
        <v>44</v>
      </c>
      <c r="E876" s="44" t="s">
        <v>44</v>
      </c>
      <c r="F876" s="44" t="s">
        <v>44</v>
      </c>
    </row>
    <row r="877">
      <c r="A877" s="44" t="s">
        <v>44</v>
      </c>
      <c r="B877" s="44" t="s">
        <v>44</v>
      </c>
      <c r="C877" s="44" t="s">
        <v>44</v>
      </c>
      <c r="D877" s="44" t="s">
        <v>44</v>
      </c>
      <c r="E877" s="44" t="s">
        <v>44</v>
      </c>
      <c r="F877" s="44" t="s">
        <v>44</v>
      </c>
    </row>
    <row r="878">
      <c r="A878" s="44" t="s">
        <v>44</v>
      </c>
      <c r="B878" s="44" t="s">
        <v>44</v>
      </c>
      <c r="C878" s="44" t="s">
        <v>44</v>
      </c>
      <c r="D878" s="44" t="s">
        <v>44</v>
      </c>
      <c r="E878" s="44" t="s">
        <v>44</v>
      </c>
      <c r="F878" s="44" t="s">
        <v>44</v>
      </c>
    </row>
    <row r="879">
      <c r="A879" s="44" t="s">
        <v>44</v>
      </c>
      <c r="B879" s="44" t="s">
        <v>44</v>
      </c>
      <c r="C879" s="44" t="s">
        <v>44</v>
      </c>
      <c r="D879" s="44" t="s">
        <v>44</v>
      </c>
      <c r="E879" s="44" t="s">
        <v>44</v>
      </c>
      <c r="F879" s="44" t="s">
        <v>44</v>
      </c>
    </row>
    <row r="880">
      <c r="A880" s="44" t="s">
        <v>44</v>
      </c>
      <c r="B880" s="44" t="s">
        <v>44</v>
      </c>
      <c r="C880" s="44" t="s">
        <v>44</v>
      </c>
      <c r="D880" s="44" t="s">
        <v>44</v>
      </c>
      <c r="E880" s="44" t="s">
        <v>44</v>
      </c>
      <c r="F880" s="44" t="s">
        <v>44</v>
      </c>
    </row>
    <row r="881">
      <c r="A881" s="44" t="s">
        <v>44</v>
      </c>
      <c r="B881" s="44" t="s">
        <v>44</v>
      </c>
      <c r="C881" s="44" t="s">
        <v>44</v>
      </c>
      <c r="D881" s="44" t="s">
        <v>44</v>
      </c>
      <c r="E881" s="44" t="s">
        <v>44</v>
      </c>
      <c r="F881" s="44" t="s">
        <v>44</v>
      </c>
    </row>
    <row r="882">
      <c r="A882" s="44" t="s">
        <v>44</v>
      </c>
      <c r="B882" s="44" t="s">
        <v>44</v>
      </c>
      <c r="C882" s="44" t="s">
        <v>44</v>
      </c>
      <c r="D882" s="44" t="s">
        <v>44</v>
      </c>
      <c r="E882" s="44" t="s">
        <v>44</v>
      </c>
      <c r="F882" s="44" t="s">
        <v>44</v>
      </c>
    </row>
    <row r="883">
      <c r="A883" s="44" t="s">
        <v>44</v>
      </c>
      <c r="B883" s="44" t="s">
        <v>44</v>
      </c>
      <c r="C883" s="44" t="s">
        <v>44</v>
      </c>
      <c r="D883" s="44" t="s">
        <v>44</v>
      </c>
      <c r="E883" s="44" t="s">
        <v>44</v>
      </c>
      <c r="F883" s="44" t="s">
        <v>44</v>
      </c>
    </row>
    <row r="884">
      <c r="A884" s="44" t="s">
        <v>44</v>
      </c>
      <c r="B884" s="44" t="s">
        <v>44</v>
      </c>
      <c r="C884" s="44" t="s">
        <v>44</v>
      </c>
      <c r="D884" s="44" t="s">
        <v>44</v>
      </c>
      <c r="E884" s="44" t="s">
        <v>44</v>
      </c>
      <c r="F884" s="44" t="s">
        <v>44</v>
      </c>
    </row>
    <row r="885">
      <c r="A885" s="44" t="s">
        <v>44</v>
      </c>
      <c r="B885" s="44" t="s">
        <v>44</v>
      </c>
      <c r="C885" s="44" t="s">
        <v>44</v>
      </c>
      <c r="D885" s="44" t="s">
        <v>44</v>
      </c>
      <c r="E885" s="44" t="s">
        <v>44</v>
      </c>
      <c r="F885" s="44" t="s">
        <v>44</v>
      </c>
    </row>
    <row r="886">
      <c r="A886" s="44" t="s">
        <v>44</v>
      </c>
      <c r="B886" s="44" t="s">
        <v>44</v>
      </c>
      <c r="C886" s="44" t="s">
        <v>44</v>
      </c>
      <c r="D886" s="44" t="s">
        <v>44</v>
      </c>
      <c r="E886" s="44" t="s">
        <v>44</v>
      </c>
      <c r="F886" s="44" t="s">
        <v>44</v>
      </c>
    </row>
    <row r="887">
      <c r="A887" s="44" t="s">
        <v>44</v>
      </c>
      <c r="B887" s="44" t="s">
        <v>44</v>
      </c>
      <c r="C887" s="44" t="s">
        <v>44</v>
      </c>
      <c r="D887" s="44" t="s">
        <v>44</v>
      </c>
      <c r="E887" s="44" t="s">
        <v>44</v>
      </c>
      <c r="F887" s="44" t="s">
        <v>44</v>
      </c>
    </row>
    <row r="888">
      <c r="A888" s="44" t="s">
        <v>44</v>
      </c>
      <c r="B888" s="44" t="s">
        <v>44</v>
      </c>
      <c r="C888" s="44" t="s">
        <v>44</v>
      </c>
      <c r="D888" s="44" t="s">
        <v>44</v>
      </c>
      <c r="E888" s="44" t="s">
        <v>44</v>
      </c>
      <c r="F888" s="44" t="s">
        <v>44</v>
      </c>
    </row>
    <row r="889">
      <c r="A889" s="44" t="s">
        <v>44</v>
      </c>
      <c r="B889" s="44" t="s">
        <v>44</v>
      </c>
      <c r="C889" s="44" t="s">
        <v>44</v>
      </c>
      <c r="D889" s="44" t="s">
        <v>44</v>
      </c>
      <c r="E889" s="44" t="s">
        <v>44</v>
      </c>
      <c r="F889" s="44" t="s">
        <v>44</v>
      </c>
    </row>
    <row r="890">
      <c r="A890" s="44" t="s">
        <v>44</v>
      </c>
      <c r="B890" s="44" t="s">
        <v>44</v>
      </c>
      <c r="C890" s="44" t="s">
        <v>44</v>
      </c>
      <c r="D890" s="44" t="s">
        <v>44</v>
      </c>
      <c r="E890" s="44" t="s">
        <v>44</v>
      </c>
      <c r="F890" s="44" t="s">
        <v>44</v>
      </c>
    </row>
    <row r="891">
      <c r="A891" s="44" t="s">
        <v>44</v>
      </c>
      <c r="B891" s="44" t="s">
        <v>44</v>
      </c>
      <c r="C891" s="44" t="s">
        <v>44</v>
      </c>
      <c r="D891" s="44" t="s">
        <v>44</v>
      </c>
      <c r="E891" s="44" t="s">
        <v>44</v>
      </c>
      <c r="F891" s="44" t="s">
        <v>44</v>
      </c>
    </row>
    <row r="892">
      <c r="A892" s="44" t="s">
        <v>44</v>
      </c>
      <c r="B892" s="44" t="s">
        <v>44</v>
      </c>
      <c r="C892" s="44" t="s">
        <v>44</v>
      </c>
      <c r="D892" s="44" t="s">
        <v>44</v>
      </c>
      <c r="E892" s="44" t="s">
        <v>44</v>
      </c>
      <c r="F892" s="44" t="s">
        <v>44</v>
      </c>
    </row>
    <row r="893">
      <c r="A893" s="44" t="s">
        <v>44</v>
      </c>
      <c r="B893" s="44" t="s">
        <v>44</v>
      </c>
      <c r="C893" s="44" t="s">
        <v>44</v>
      </c>
      <c r="D893" s="44" t="s">
        <v>44</v>
      </c>
      <c r="E893" s="44" t="s">
        <v>44</v>
      </c>
      <c r="F893" s="44" t="s">
        <v>44</v>
      </c>
    </row>
    <row r="894">
      <c r="A894" s="44" t="s">
        <v>44</v>
      </c>
      <c r="B894" s="44" t="s">
        <v>44</v>
      </c>
      <c r="C894" s="44" t="s">
        <v>44</v>
      </c>
      <c r="D894" s="44" t="s">
        <v>44</v>
      </c>
      <c r="E894" s="44" t="s">
        <v>44</v>
      </c>
      <c r="F894" s="44" t="s">
        <v>44</v>
      </c>
    </row>
    <row r="895">
      <c r="A895" s="44" t="s">
        <v>44</v>
      </c>
      <c r="B895" s="44" t="s">
        <v>44</v>
      </c>
      <c r="C895" s="44" t="s">
        <v>44</v>
      </c>
      <c r="D895" s="44" t="s">
        <v>44</v>
      </c>
      <c r="E895" s="44" t="s">
        <v>44</v>
      </c>
      <c r="F895" s="44" t="s">
        <v>44</v>
      </c>
    </row>
    <row r="896">
      <c r="A896" s="44" t="s">
        <v>44</v>
      </c>
      <c r="B896" s="44" t="s">
        <v>44</v>
      </c>
      <c r="C896" s="44" t="s">
        <v>44</v>
      </c>
      <c r="D896" s="44" t="s">
        <v>44</v>
      </c>
      <c r="E896" s="44" t="s">
        <v>44</v>
      </c>
      <c r="F896" s="44" t="s">
        <v>44</v>
      </c>
    </row>
    <row r="897">
      <c r="A897" s="44" t="s">
        <v>44</v>
      </c>
      <c r="B897" s="44" t="s">
        <v>44</v>
      </c>
      <c r="C897" s="44" t="s">
        <v>44</v>
      </c>
      <c r="D897" s="44" t="s">
        <v>44</v>
      </c>
      <c r="E897" s="44" t="s">
        <v>44</v>
      </c>
      <c r="F897" s="44" t="s">
        <v>44</v>
      </c>
    </row>
    <row r="898">
      <c r="A898" s="44" t="s">
        <v>44</v>
      </c>
      <c r="B898" s="44" t="s">
        <v>44</v>
      </c>
      <c r="C898" s="44" t="s">
        <v>44</v>
      </c>
      <c r="D898" s="44" t="s">
        <v>44</v>
      </c>
      <c r="E898" s="44" t="s">
        <v>44</v>
      </c>
      <c r="F898" s="44" t="s">
        <v>44</v>
      </c>
    </row>
    <row r="899">
      <c r="A899" s="44" t="s">
        <v>44</v>
      </c>
      <c r="B899" s="44" t="s">
        <v>44</v>
      </c>
      <c r="C899" s="44" t="s">
        <v>44</v>
      </c>
      <c r="D899" s="44" t="s">
        <v>44</v>
      </c>
      <c r="E899" s="44" t="s">
        <v>44</v>
      </c>
      <c r="F899" s="44" t="s">
        <v>44</v>
      </c>
    </row>
    <row r="900">
      <c r="A900" s="44" t="s">
        <v>44</v>
      </c>
      <c r="B900" s="44" t="s">
        <v>44</v>
      </c>
      <c r="C900" s="44" t="s">
        <v>44</v>
      </c>
      <c r="D900" s="44" t="s">
        <v>44</v>
      </c>
      <c r="E900" s="44" t="s">
        <v>44</v>
      </c>
      <c r="F900" s="44" t="s">
        <v>44</v>
      </c>
    </row>
    <row r="901">
      <c r="A901" s="44" t="s">
        <v>44</v>
      </c>
      <c r="B901" s="44" t="s">
        <v>44</v>
      </c>
      <c r="C901" s="44" t="s">
        <v>44</v>
      </c>
      <c r="D901" s="44" t="s">
        <v>44</v>
      </c>
      <c r="E901" s="44" t="s">
        <v>44</v>
      </c>
      <c r="F901" s="44" t="s">
        <v>44</v>
      </c>
    </row>
    <row r="902">
      <c r="A902" s="44" t="s">
        <v>44</v>
      </c>
      <c r="B902" s="44" t="s">
        <v>44</v>
      </c>
      <c r="C902" s="44" t="s">
        <v>44</v>
      </c>
      <c r="D902" s="44" t="s">
        <v>44</v>
      </c>
      <c r="E902" s="44" t="s">
        <v>44</v>
      </c>
      <c r="F902" s="44" t="s">
        <v>44</v>
      </c>
    </row>
    <row r="903">
      <c r="A903" s="44" t="s">
        <v>44</v>
      </c>
      <c r="B903" s="44" t="s">
        <v>44</v>
      </c>
      <c r="C903" s="44" t="s">
        <v>44</v>
      </c>
      <c r="D903" s="44" t="s">
        <v>44</v>
      </c>
      <c r="E903" s="44" t="s">
        <v>44</v>
      </c>
      <c r="F903" s="44" t="s">
        <v>44</v>
      </c>
    </row>
    <row r="904">
      <c r="A904" s="44" t="s">
        <v>44</v>
      </c>
      <c r="B904" s="44" t="s">
        <v>44</v>
      </c>
      <c r="C904" s="44" t="s">
        <v>44</v>
      </c>
      <c r="D904" s="44" t="s">
        <v>44</v>
      </c>
      <c r="E904" s="44" t="s">
        <v>44</v>
      </c>
      <c r="F904" s="44" t="s">
        <v>44</v>
      </c>
    </row>
    <row r="905">
      <c r="A905" s="44" t="s">
        <v>44</v>
      </c>
      <c r="B905" s="44" t="s">
        <v>44</v>
      </c>
      <c r="C905" s="44" t="s">
        <v>44</v>
      </c>
      <c r="D905" s="44" t="s">
        <v>44</v>
      </c>
      <c r="E905" s="44" t="s">
        <v>44</v>
      </c>
      <c r="F905" s="44" t="s">
        <v>44</v>
      </c>
    </row>
    <row r="906">
      <c r="A906" s="44" t="s">
        <v>44</v>
      </c>
      <c r="B906" s="44" t="s">
        <v>44</v>
      </c>
      <c r="C906" s="44" t="s">
        <v>44</v>
      </c>
      <c r="D906" s="44" t="s">
        <v>44</v>
      </c>
      <c r="E906" s="44" t="s">
        <v>44</v>
      </c>
      <c r="F906" s="44" t="s">
        <v>44</v>
      </c>
    </row>
    <row r="907">
      <c r="A907" s="44" t="s">
        <v>44</v>
      </c>
      <c r="B907" s="44" t="s">
        <v>44</v>
      </c>
      <c r="C907" s="44" t="s">
        <v>44</v>
      </c>
      <c r="D907" s="44" t="s">
        <v>44</v>
      </c>
      <c r="E907" s="44" t="s">
        <v>44</v>
      </c>
      <c r="F907" s="44" t="s">
        <v>44</v>
      </c>
    </row>
    <row r="908">
      <c r="A908" s="44" t="s">
        <v>44</v>
      </c>
      <c r="B908" s="44" t="s">
        <v>44</v>
      </c>
      <c r="C908" s="44" t="s">
        <v>44</v>
      </c>
      <c r="D908" s="44" t="s">
        <v>44</v>
      </c>
      <c r="E908" s="44" t="s">
        <v>44</v>
      </c>
      <c r="F908" s="44" t="s">
        <v>44</v>
      </c>
    </row>
    <row r="909">
      <c r="A909" s="44" t="s">
        <v>44</v>
      </c>
      <c r="B909" s="44" t="s">
        <v>44</v>
      </c>
      <c r="C909" s="44" t="s">
        <v>44</v>
      </c>
      <c r="D909" s="44" t="s">
        <v>44</v>
      </c>
      <c r="E909" s="44" t="s">
        <v>44</v>
      </c>
      <c r="F909" s="44" t="s">
        <v>44</v>
      </c>
    </row>
    <row r="910">
      <c r="A910" s="44" t="s">
        <v>44</v>
      </c>
      <c r="B910" s="44" t="s">
        <v>44</v>
      </c>
      <c r="C910" s="44" t="s">
        <v>44</v>
      </c>
      <c r="D910" s="44" t="s">
        <v>44</v>
      </c>
      <c r="E910" s="44" t="s">
        <v>44</v>
      </c>
      <c r="F910" s="44" t="s">
        <v>44</v>
      </c>
    </row>
    <row r="911">
      <c r="A911" s="44" t="s">
        <v>44</v>
      </c>
      <c r="B911" s="44" t="s">
        <v>44</v>
      </c>
      <c r="C911" s="44" t="s">
        <v>44</v>
      </c>
      <c r="D911" s="44" t="s">
        <v>44</v>
      </c>
      <c r="E911" s="44" t="s">
        <v>44</v>
      </c>
      <c r="F911" s="44" t="s">
        <v>44</v>
      </c>
    </row>
    <row r="912">
      <c r="A912" s="44" t="s">
        <v>44</v>
      </c>
      <c r="B912" s="44" t="s">
        <v>44</v>
      </c>
      <c r="C912" s="44" t="s">
        <v>44</v>
      </c>
      <c r="D912" s="44" t="s">
        <v>44</v>
      </c>
      <c r="E912" s="44" t="s">
        <v>44</v>
      </c>
      <c r="F912" s="44" t="s">
        <v>44</v>
      </c>
    </row>
    <row r="913">
      <c r="A913" s="44" t="s">
        <v>44</v>
      </c>
      <c r="B913" s="44" t="s">
        <v>44</v>
      </c>
      <c r="C913" s="44" t="s">
        <v>44</v>
      </c>
      <c r="D913" s="44" t="s">
        <v>44</v>
      </c>
      <c r="E913" s="44" t="s">
        <v>44</v>
      </c>
      <c r="F913" s="44" t="s">
        <v>44</v>
      </c>
    </row>
    <row r="914">
      <c r="A914" s="44" t="s">
        <v>44</v>
      </c>
      <c r="B914" s="44" t="s">
        <v>44</v>
      </c>
      <c r="C914" s="44" t="s">
        <v>44</v>
      </c>
      <c r="D914" s="44" t="s">
        <v>44</v>
      </c>
      <c r="E914" s="44" t="s">
        <v>44</v>
      </c>
      <c r="F914" s="44" t="s">
        <v>44</v>
      </c>
    </row>
    <row r="915">
      <c r="A915" s="44" t="s">
        <v>44</v>
      </c>
      <c r="B915" s="44" t="s">
        <v>44</v>
      </c>
      <c r="C915" s="44" t="s">
        <v>44</v>
      </c>
      <c r="D915" s="44" t="s">
        <v>44</v>
      </c>
      <c r="E915" s="44" t="s">
        <v>44</v>
      </c>
      <c r="F915" s="44" t="s">
        <v>44</v>
      </c>
    </row>
    <row r="916">
      <c r="A916" s="44" t="s">
        <v>44</v>
      </c>
      <c r="B916" s="44" t="s">
        <v>44</v>
      </c>
      <c r="C916" s="44" t="s">
        <v>44</v>
      </c>
      <c r="D916" s="44" t="s">
        <v>44</v>
      </c>
      <c r="E916" s="44" t="s">
        <v>44</v>
      </c>
      <c r="F916" s="44" t="s">
        <v>44</v>
      </c>
    </row>
    <row r="917">
      <c r="A917" s="44" t="s">
        <v>44</v>
      </c>
      <c r="B917" s="44" t="s">
        <v>44</v>
      </c>
      <c r="C917" s="44" t="s">
        <v>44</v>
      </c>
      <c r="D917" s="44" t="s">
        <v>44</v>
      </c>
      <c r="E917" s="44" t="s">
        <v>44</v>
      </c>
      <c r="F917" s="44" t="s">
        <v>44</v>
      </c>
    </row>
    <row r="918">
      <c r="A918" s="44" t="s">
        <v>44</v>
      </c>
      <c r="B918" s="44" t="s">
        <v>44</v>
      </c>
      <c r="C918" s="44" t="s">
        <v>44</v>
      </c>
      <c r="D918" s="44" t="s">
        <v>44</v>
      </c>
      <c r="E918" s="44" t="s">
        <v>44</v>
      </c>
      <c r="F918" s="44" t="s">
        <v>44</v>
      </c>
    </row>
    <row r="919">
      <c r="A919" s="44" t="s">
        <v>44</v>
      </c>
      <c r="B919" s="44" t="s">
        <v>44</v>
      </c>
      <c r="C919" s="44" t="s">
        <v>44</v>
      </c>
      <c r="D919" s="44" t="s">
        <v>44</v>
      </c>
      <c r="E919" s="44" t="s">
        <v>44</v>
      </c>
      <c r="F919" s="44" t="s">
        <v>44</v>
      </c>
    </row>
    <row r="920">
      <c r="A920" s="44" t="s">
        <v>44</v>
      </c>
      <c r="B920" s="44" t="s">
        <v>44</v>
      </c>
      <c r="C920" s="44" t="s">
        <v>44</v>
      </c>
      <c r="D920" s="44" t="s">
        <v>44</v>
      </c>
      <c r="E920" s="44" t="s">
        <v>44</v>
      </c>
      <c r="F920" s="44" t="s">
        <v>44</v>
      </c>
    </row>
    <row r="921">
      <c r="A921" s="44" t="s">
        <v>44</v>
      </c>
      <c r="B921" s="44" t="s">
        <v>44</v>
      </c>
      <c r="C921" s="44" t="s">
        <v>44</v>
      </c>
      <c r="D921" s="44" t="s">
        <v>44</v>
      </c>
      <c r="E921" s="44" t="s">
        <v>44</v>
      </c>
      <c r="F921" s="44" t="s">
        <v>44</v>
      </c>
    </row>
    <row r="922">
      <c r="A922" s="44" t="s">
        <v>44</v>
      </c>
      <c r="B922" s="44" t="s">
        <v>44</v>
      </c>
      <c r="C922" s="44" t="s">
        <v>44</v>
      </c>
      <c r="D922" s="44" t="s">
        <v>44</v>
      </c>
      <c r="E922" s="44" t="s">
        <v>44</v>
      </c>
      <c r="F922" s="44" t="s">
        <v>44</v>
      </c>
    </row>
    <row r="923">
      <c r="A923" s="44" t="s">
        <v>44</v>
      </c>
      <c r="B923" s="44" t="s">
        <v>44</v>
      </c>
      <c r="C923" s="44" t="s">
        <v>44</v>
      </c>
      <c r="D923" s="44" t="s">
        <v>44</v>
      </c>
      <c r="E923" s="44" t="s">
        <v>44</v>
      </c>
      <c r="F923" s="44" t="s">
        <v>44</v>
      </c>
    </row>
    <row r="924">
      <c r="A924" s="44" t="s">
        <v>44</v>
      </c>
      <c r="B924" s="44" t="s">
        <v>44</v>
      </c>
      <c r="C924" s="44" t="s">
        <v>44</v>
      </c>
      <c r="D924" s="44" t="s">
        <v>44</v>
      </c>
      <c r="E924" s="44" t="s">
        <v>44</v>
      </c>
      <c r="F924" s="44" t="s">
        <v>44</v>
      </c>
    </row>
    <row r="925">
      <c r="A925" s="44" t="s">
        <v>44</v>
      </c>
      <c r="B925" s="44" t="s">
        <v>44</v>
      </c>
      <c r="C925" s="44" t="s">
        <v>44</v>
      </c>
      <c r="D925" s="44" t="s">
        <v>44</v>
      </c>
      <c r="E925" s="44" t="s">
        <v>44</v>
      </c>
      <c r="F925" s="44" t="s">
        <v>44</v>
      </c>
    </row>
    <row r="926">
      <c r="A926" s="44" t="s">
        <v>44</v>
      </c>
      <c r="B926" s="44" t="s">
        <v>44</v>
      </c>
      <c r="C926" s="44" t="s">
        <v>44</v>
      </c>
      <c r="D926" s="44" t="s">
        <v>44</v>
      </c>
      <c r="E926" s="44" t="s">
        <v>44</v>
      </c>
      <c r="F926" s="44" t="s">
        <v>44</v>
      </c>
    </row>
    <row r="927">
      <c r="A927" s="44" t="s">
        <v>44</v>
      </c>
      <c r="B927" s="44" t="s">
        <v>44</v>
      </c>
      <c r="C927" s="44" t="s">
        <v>44</v>
      </c>
      <c r="D927" s="44" t="s">
        <v>44</v>
      </c>
      <c r="E927" s="44" t="s">
        <v>44</v>
      </c>
      <c r="F927" s="44" t="s">
        <v>44</v>
      </c>
    </row>
    <row r="928">
      <c r="A928" s="44" t="s">
        <v>44</v>
      </c>
      <c r="B928" s="44" t="s">
        <v>44</v>
      </c>
      <c r="C928" s="44" t="s">
        <v>44</v>
      </c>
      <c r="D928" s="44" t="s">
        <v>44</v>
      </c>
      <c r="E928" s="44" t="s">
        <v>44</v>
      </c>
      <c r="F928" s="44" t="s">
        <v>44</v>
      </c>
    </row>
    <row r="929">
      <c r="A929" s="44" t="s">
        <v>44</v>
      </c>
      <c r="B929" s="44" t="s">
        <v>44</v>
      </c>
      <c r="C929" s="44" t="s">
        <v>44</v>
      </c>
      <c r="D929" s="44" t="s">
        <v>44</v>
      </c>
      <c r="E929" s="44" t="s">
        <v>44</v>
      </c>
      <c r="F929" s="44" t="s">
        <v>44</v>
      </c>
    </row>
    <row r="930">
      <c r="A930" s="44" t="s">
        <v>44</v>
      </c>
      <c r="B930" s="44" t="s">
        <v>44</v>
      </c>
      <c r="C930" s="44" t="s">
        <v>44</v>
      </c>
      <c r="D930" s="44" t="s">
        <v>44</v>
      </c>
      <c r="E930" s="44" t="s">
        <v>44</v>
      </c>
      <c r="F930" s="44" t="s">
        <v>44</v>
      </c>
    </row>
    <row r="931">
      <c r="A931" s="44" t="s">
        <v>44</v>
      </c>
      <c r="B931" s="44" t="s">
        <v>44</v>
      </c>
      <c r="C931" s="44" t="s">
        <v>44</v>
      </c>
      <c r="D931" s="44" t="s">
        <v>44</v>
      </c>
      <c r="E931" s="44" t="s">
        <v>44</v>
      </c>
      <c r="F931" s="44" t="s">
        <v>44</v>
      </c>
    </row>
    <row r="932">
      <c r="A932" s="44" t="s">
        <v>44</v>
      </c>
      <c r="B932" s="44" t="s">
        <v>44</v>
      </c>
      <c r="C932" s="44" t="s">
        <v>44</v>
      </c>
      <c r="D932" s="44" t="s">
        <v>44</v>
      </c>
      <c r="E932" s="44" t="s">
        <v>44</v>
      </c>
      <c r="F932" s="44" t="s">
        <v>44</v>
      </c>
    </row>
    <row r="933">
      <c r="A933" s="44" t="s">
        <v>44</v>
      </c>
      <c r="B933" s="44" t="s">
        <v>44</v>
      </c>
      <c r="C933" s="44" t="s">
        <v>44</v>
      </c>
      <c r="D933" s="44" t="s">
        <v>44</v>
      </c>
      <c r="E933" s="44" t="s">
        <v>44</v>
      </c>
      <c r="F933" s="44" t="s">
        <v>44</v>
      </c>
    </row>
    <row r="934">
      <c r="A934" s="44" t="s">
        <v>44</v>
      </c>
      <c r="B934" s="44" t="s">
        <v>44</v>
      </c>
      <c r="C934" s="44" t="s">
        <v>44</v>
      </c>
      <c r="D934" s="44" t="s">
        <v>44</v>
      </c>
      <c r="E934" s="44" t="s">
        <v>44</v>
      </c>
      <c r="F934" s="44" t="s">
        <v>44</v>
      </c>
    </row>
    <row r="935">
      <c r="A935" s="44" t="s">
        <v>44</v>
      </c>
      <c r="B935" s="44" t="s">
        <v>44</v>
      </c>
      <c r="C935" s="44" t="s">
        <v>44</v>
      </c>
      <c r="D935" s="44" t="s">
        <v>44</v>
      </c>
      <c r="E935" s="44" t="s">
        <v>44</v>
      </c>
      <c r="F935" s="44" t="s">
        <v>44</v>
      </c>
    </row>
    <row r="936">
      <c r="A936" s="44" t="s">
        <v>44</v>
      </c>
      <c r="B936" s="44" t="s">
        <v>44</v>
      </c>
      <c r="C936" s="44" t="s">
        <v>44</v>
      </c>
      <c r="D936" s="44" t="s">
        <v>44</v>
      </c>
      <c r="E936" s="44" t="s">
        <v>44</v>
      </c>
      <c r="F936" s="44" t="s">
        <v>44</v>
      </c>
    </row>
    <row r="937">
      <c r="A937" s="44" t="s">
        <v>44</v>
      </c>
      <c r="B937" s="44" t="s">
        <v>44</v>
      </c>
      <c r="C937" s="44" t="s">
        <v>44</v>
      </c>
      <c r="D937" s="44" t="s">
        <v>44</v>
      </c>
      <c r="E937" s="44" t="s">
        <v>44</v>
      </c>
      <c r="F937" s="44" t="s">
        <v>44</v>
      </c>
    </row>
    <row r="938">
      <c r="A938" s="44" t="s">
        <v>44</v>
      </c>
      <c r="B938" s="44" t="s">
        <v>44</v>
      </c>
      <c r="C938" s="44" t="s">
        <v>44</v>
      </c>
      <c r="D938" s="44" t="s">
        <v>44</v>
      </c>
      <c r="E938" s="44" t="s">
        <v>44</v>
      </c>
      <c r="F938" s="44" t="s">
        <v>44</v>
      </c>
    </row>
    <row r="939">
      <c r="A939" s="44" t="s">
        <v>44</v>
      </c>
      <c r="B939" s="44" t="s">
        <v>44</v>
      </c>
      <c r="C939" s="44" t="s">
        <v>44</v>
      </c>
      <c r="D939" s="44" t="s">
        <v>44</v>
      </c>
      <c r="E939" s="44" t="s">
        <v>44</v>
      </c>
      <c r="F939" s="44" t="s">
        <v>44</v>
      </c>
    </row>
    <row r="940">
      <c r="A940" s="44" t="s">
        <v>44</v>
      </c>
      <c r="B940" s="44" t="s">
        <v>44</v>
      </c>
      <c r="C940" s="44" t="s">
        <v>44</v>
      </c>
      <c r="D940" s="44" t="s">
        <v>44</v>
      </c>
      <c r="E940" s="44" t="s">
        <v>44</v>
      </c>
      <c r="F940" s="44" t="s">
        <v>44</v>
      </c>
    </row>
    <row r="941">
      <c r="A941" s="44" t="s">
        <v>44</v>
      </c>
      <c r="B941" s="44" t="s">
        <v>44</v>
      </c>
      <c r="C941" s="44" t="s">
        <v>44</v>
      </c>
      <c r="D941" s="44" t="s">
        <v>44</v>
      </c>
      <c r="E941" s="44" t="s">
        <v>44</v>
      </c>
      <c r="F941" s="44" t="s">
        <v>44</v>
      </c>
    </row>
    <row r="942">
      <c r="A942" s="44" t="s">
        <v>44</v>
      </c>
      <c r="B942" s="44" t="s">
        <v>44</v>
      </c>
      <c r="C942" s="44" t="s">
        <v>44</v>
      </c>
      <c r="D942" s="44" t="s">
        <v>44</v>
      </c>
      <c r="E942" s="44" t="s">
        <v>44</v>
      </c>
      <c r="F942" s="44" t="s">
        <v>44</v>
      </c>
    </row>
    <row r="943">
      <c r="A943" s="44" t="s">
        <v>44</v>
      </c>
      <c r="B943" s="44" t="s">
        <v>44</v>
      </c>
      <c r="C943" s="44" t="s">
        <v>44</v>
      </c>
      <c r="D943" s="44" t="s">
        <v>44</v>
      </c>
      <c r="E943" s="44" t="s">
        <v>44</v>
      </c>
      <c r="F943" s="44" t="s">
        <v>44</v>
      </c>
    </row>
    <row r="944">
      <c r="A944" s="44" t="s">
        <v>44</v>
      </c>
      <c r="B944" s="44" t="s">
        <v>44</v>
      </c>
      <c r="C944" s="44" t="s">
        <v>44</v>
      </c>
      <c r="D944" s="44" t="s">
        <v>44</v>
      </c>
      <c r="E944" s="44" t="s">
        <v>44</v>
      </c>
      <c r="F944" s="44" t="s">
        <v>44</v>
      </c>
    </row>
    <row r="945">
      <c r="A945" s="44" t="s">
        <v>44</v>
      </c>
      <c r="B945" s="44" t="s">
        <v>44</v>
      </c>
      <c r="C945" s="44" t="s">
        <v>44</v>
      </c>
      <c r="D945" s="44" t="s">
        <v>44</v>
      </c>
      <c r="E945" s="44" t="s">
        <v>44</v>
      </c>
      <c r="F945" s="44" t="s">
        <v>44</v>
      </c>
    </row>
    <row r="946">
      <c r="A946" s="44" t="s">
        <v>44</v>
      </c>
      <c r="B946" s="44" t="s">
        <v>44</v>
      </c>
      <c r="C946" s="44" t="s">
        <v>44</v>
      </c>
      <c r="D946" s="44" t="s">
        <v>44</v>
      </c>
      <c r="E946" s="44" t="s">
        <v>44</v>
      </c>
      <c r="F946" s="44" t="s">
        <v>44</v>
      </c>
    </row>
    <row r="947">
      <c r="A947" s="44" t="s">
        <v>44</v>
      </c>
      <c r="B947" s="44" t="s">
        <v>44</v>
      </c>
      <c r="C947" s="44" t="s">
        <v>44</v>
      </c>
      <c r="D947" s="44" t="s">
        <v>44</v>
      </c>
      <c r="E947" s="44" t="s">
        <v>44</v>
      </c>
      <c r="F947" s="44" t="s">
        <v>44</v>
      </c>
    </row>
    <row r="948">
      <c r="A948" s="44" t="s">
        <v>44</v>
      </c>
      <c r="B948" s="44" t="s">
        <v>44</v>
      </c>
      <c r="C948" s="44" t="s">
        <v>44</v>
      </c>
      <c r="D948" s="44" t="s">
        <v>44</v>
      </c>
      <c r="E948" s="44" t="s">
        <v>44</v>
      </c>
      <c r="F948" s="44" t="s">
        <v>44</v>
      </c>
    </row>
    <row r="949">
      <c r="A949" s="44" t="s">
        <v>44</v>
      </c>
      <c r="B949" s="44" t="s">
        <v>44</v>
      </c>
      <c r="C949" s="44" t="s">
        <v>44</v>
      </c>
      <c r="D949" s="44" t="s">
        <v>44</v>
      </c>
      <c r="E949" s="44" t="s">
        <v>44</v>
      </c>
      <c r="F949" s="44" t="s">
        <v>44</v>
      </c>
    </row>
    <row r="950">
      <c r="A950" s="44" t="s">
        <v>44</v>
      </c>
      <c r="B950" s="44" t="s">
        <v>44</v>
      </c>
      <c r="C950" s="44" t="s">
        <v>44</v>
      </c>
      <c r="D950" s="44" t="s">
        <v>44</v>
      </c>
      <c r="E950" s="44" t="s">
        <v>44</v>
      </c>
      <c r="F950" s="44" t="s">
        <v>44</v>
      </c>
    </row>
    <row r="951">
      <c r="A951" s="44" t="s">
        <v>44</v>
      </c>
      <c r="B951" s="44" t="s">
        <v>44</v>
      </c>
      <c r="C951" s="44" t="s">
        <v>44</v>
      </c>
      <c r="D951" s="44" t="s">
        <v>44</v>
      </c>
      <c r="E951" s="44" t="s">
        <v>44</v>
      </c>
      <c r="F951" s="44" t="s">
        <v>44</v>
      </c>
    </row>
    <row r="952">
      <c r="A952" s="44" t="s">
        <v>44</v>
      </c>
      <c r="B952" s="44" t="s">
        <v>44</v>
      </c>
      <c r="C952" s="44" t="s">
        <v>44</v>
      </c>
      <c r="D952" s="44" t="s">
        <v>44</v>
      </c>
      <c r="E952" s="44" t="s">
        <v>44</v>
      </c>
      <c r="F952" s="44" t="s">
        <v>44</v>
      </c>
    </row>
    <row r="953">
      <c r="A953" s="44" t="s">
        <v>44</v>
      </c>
      <c r="B953" s="44" t="s">
        <v>44</v>
      </c>
      <c r="C953" s="44" t="s">
        <v>44</v>
      </c>
      <c r="D953" s="44" t="s">
        <v>44</v>
      </c>
      <c r="E953" s="44" t="s">
        <v>44</v>
      </c>
      <c r="F953" s="44" t="s">
        <v>44</v>
      </c>
    </row>
    <row r="954">
      <c r="A954" s="44" t="s">
        <v>44</v>
      </c>
      <c r="B954" s="44" t="s">
        <v>44</v>
      </c>
      <c r="C954" s="44" t="s">
        <v>44</v>
      </c>
      <c r="D954" s="44" t="s">
        <v>44</v>
      </c>
      <c r="E954" s="44" t="s">
        <v>44</v>
      </c>
      <c r="F954" s="44" t="s">
        <v>44</v>
      </c>
    </row>
    <row r="955">
      <c r="A955" s="44" t="s">
        <v>44</v>
      </c>
      <c r="B955" s="44" t="s">
        <v>44</v>
      </c>
      <c r="C955" s="44" t="s">
        <v>44</v>
      </c>
      <c r="D955" s="44" t="s">
        <v>44</v>
      </c>
      <c r="E955" s="44" t="s">
        <v>44</v>
      </c>
      <c r="F955" s="44" t="s">
        <v>44</v>
      </c>
    </row>
    <row r="956">
      <c r="A956" s="44" t="s">
        <v>44</v>
      </c>
      <c r="B956" s="44" t="s">
        <v>44</v>
      </c>
      <c r="C956" s="44" t="s">
        <v>44</v>
      </c>
      <c r="D956" s="44" t="s">
        <v>44</v>
      </c>
      <c r="E956" s="44" t="s">
        <v>44</v>
      </c>
      <c r="F956" s="44" t="s">
        <v>44</v>
      </c>
    </row>
    <row r="957">
      <c r="A957" s="44" t="s">
        <v>44</v>
      </c>
      <c r="B957" s="44" t="s">
        <v>44</v>
      </c>
      <c r="C957" s="44" t="s">
        <v>44</v>
      </c>
      <c r="D957" s="44" t="s">
        <v>44</v>
      </c>
      <c r="E957" s="44" t="s">
        <v>44</v>
      </c>
      <c r="F957" s="44" t="s">
        <v>44</v>
      </c>
    </row>
    <row r="958">
      <c r="A958" s="44" t="s">
        <v>44</v>
      </c>
      <c r="B958" s="44" t="s">
        <v>44</v>
      </c>
      <c r="C958" s="44" t="s">
        <v>44</v>
      </c>
      <c r="D958" s="44" t="s">
        <v>44</v>
      </c>
      <c r="E958" s="44" t="s">
        <v>44</v>
      </c>
      <c r="F958" s="44" t="s">
        <v>44</v>
      </c>
    </row>
    <row r="959">
      <c r="A959" s="44" t="s">
        <v>44</v>
      </c>
      <c r="B959" s="44" t="s">
        <v>44</v>
      </c>
      <c r="C959" s="44" t="s">
        <v>44</v>
      </c>
      <c r="D959" s="44" t="s">
        <v>44</v>
      </c>
      <c r="E959" s="44" t="s">
        <v>44</v>
      </c>
      <c r="F959" s="44" t="s">
        <v>44</v>
      </c>
    </row>
    <row r="960">
      <c r="A960" s="44" t="s">
        <v>44</v>
      </c>
      <c r="B960" s="44" t="s">
        <v>44</v>
      </c>
      <c r="C960" s="44" t="s">
        <v>44</v>
      </c>
      <c r="D960" s="44" t="s">
        <v>44</v>
      </c>
      <c r="E960" s="44" t="s">
        <v>44</v>
      </c>
      <c r="F960" s="44" t="s">
        <v>44</v>
      </c>
    </row>
    <row r="961">
      <c r="A961" s="44" t="s">
        <v>44</v>
      </c>
      <c r="B961" s="44" t="s">
        <v>44</v>
      </c>
      <c r="C961" s="44" t="s">
        <v>44</v>
      </c>
      <c r="D961" s="44" t="s">
        <v>44</v>
      </c>
      <c r="E961" s="44" t="s">
        <v>44</v>
      </c>
      <c r="F961" s="44" t="s">
        <v>44</v>
      </c>
    </row>
    <row r="962">
      <c r="A962" s="44" t="s">
        <v>44</v>
      </c>
      <c r="B962" s="44" t="s">
        <v>44</v>
      </c>
      <c r="C962" s="44" t="s">
        <v>44</v>
      </c>
      <c r="D962" s="44" t="s">
        <v>44</v>
      </c>
      <c r="E962" s="44" t="s">
        <v>44</v>
      </c>
      <c r="F962" s="44" t="s">
        <v>44</v>
      </c>
    </row>
    <row r="963">
      <c r="A963" s="44" t="s">
        <v>44</v>
      </c>
      <c r="B963" s="44" t="s">
        <v>44</v>
      </c>
      <c r="C963" s="44" t="s">
        <v>44</v>
      </c>
      <c r="D963" s="44" t="s">
        <v>44</v>
      </c>
      <c r="E963" s="44" t="s">
        <v>44</v>
      </c>
      <c r="F963" s="44" t="s">
        <v>44</v>
      </c>
    </row>
    <row r="964">
      <c r="A964" s="44" t="s">
        <v>44</v>
      </c>
      <c r="B964" s="44" t="s">
        <v>44</v>
      </c>
      <c r="C964" s="44" t="s">
        <v>44</v>
      </c>
      <c r="D964" s="44" t="s">
        <v>44</v>
      </c>
      <c r="E964" s="44" t="s">
        <v>44</v>
      </c>
      <c r="F964" s="44" t="s">
        <v>44</v>
      </c>
    </row>
    <row r="965">
      <c r="A965" s="44" t="s">
        <v>44</v>
      </c>
      <c r="B965" s="44" t="s">
        <v>44</v>
      </c>
      <c r="C965" s="44" t="s">
        <v>44</v>
      </c>
      <c r="D965" s="44" t="s">
        <v>44</v>
      </c>
      <c r="E965" s="44" t="s">
        <v>44</v>
      </c>
      <c r="F965" s="44" t="s">
        <v>44</v>
      </c>
    </row>
    <row r="966">
      <c r="A966" s="44" t="s">
        <v>44</v>
      </c>
      <c r="B966" s="44" t="s">
        <v>44</v>
      </c>
      <c r="C966" s="44" t="s">
        <v>44</v>
      </c>
      <c r="D966" s="44" t="s">
        <v>44</v>
      </c>
      <c r="E966" s="44" t="s">
        <v>44</v>
      </c>
      <c r="F966" s="44" t="s">
        <v>44</v>
      </c>
    </row>
    <row r="967">
      <c r="A967" s="44" t="s">
        <v>44</v>
      </c>
      <c r="B967" s="44" t="s">
        <v>44</v>
      </c>
      <c r="C967" s="44" t="s">
        <v>44</v>
      </c>
      <c r="D967" s="44" t="s">
        <v>44</v>
      </c>
      <c r="E967" s="44" t="s">
        <v>44</v>
      </c>
      <c r="F967" s="44" t="s">
        <v>44</v>
      </c>
    </row>
    <row r="968">
      <c r="A968" s="44" t="s">
        <v>44</v>
      </c>
      <c r="B968" s="44" t="s">
        <v>44</v>
      </c>
      <c r="C968" s="44" t="s">
        <v>44</v>
      </c>
      <c r="D968" s="44" t="s">
        <v>44</v>
      </c>
      <c r="E968" s="44" t="s">
        <v>44</v>
      </c>
      <c r="F968" s="44" t="s">
        <v>44</v>
      </c>
    </row>
    <row r="969">
      <c r="A969" s="44" t="s">
        <v>44</v>
      </c>
      <c r="B969" s="44" t="s">
        <v>44</v>
      </c>
      <c r="C969" s="44" t="s">
        <v>44</v>
      </c>
      <c r="D969" s="44" t="s">
        <v>44</v>
      </c>
      <c r="E969" s="44" t="s">
        <v>44</v>
      </c>
      <c r="F969" s="44" t="s">
        <v>44</v>
      </c>
    </row>
    <row r="970">
      <c r="A970" s="44" t="s">
        <v>44</v>
      </c>
      <c r="B970" s="44" t="s">
        <v>44</v>
      </c>
      <c r="C970" s="44" t="s">
        <v>44</v>
      </c>
      <c r="D970" s="44" t="s">
        <v>44</v>
      </c>
      <c r="E970" s="44" t="s">
        <v>44</v>
      </c>
      <c r="F970" s="44" t="s">
        <v>44</v>
      </c>
    </row>
    <row r="971">
      <c r="A971" s="44" t="s">
        <v>44</v>
      </c>
      <c r="B971" s="44" t="s">
        <v>44</v>
      </c>
      <c r="C971" s="44" t="s">
        <v>44</v>
      </c>
      <c r="D971" s="44" t="s">
        <v>44</v>
      </c>
      <c r="E971" s="44" t="s">
        <v>44</v>
      </c>
      <c r="F971" s="44" t="s">
        <v>44</v>
      </c>
    </row>
    <row r="972">
      <c r="A972" s="44" t="s">
        <v>44</v>
      </c>
      <c r="B972" s="44" t="s">
        <v>44</v>
      </c>
      <c r="C972" s="44" t="s">
        <v>44</v>
      </c>
      <c r="D972" s="44" t="s">
        <v>44</v>
      </c>
      <c r="E972" s="44" t="s">
        <v>44</v>
      </c>
      <c r="F972" s="44" t="s">
        <v>44</v>
      </c>
    </row>
    <row r="973">
      <c r="A973" s="44" t="s">
        <v>44</v>
      </c>
      <c r="B973" s="44" t="s">
        <v>44</v>
      </c>
      <c r="C973" s="44" t="s">
        <v>44</v>
      </c>
      <c r="D973" s="44" t="s">
        <v>44</v>
      </c>
      <c r="E973" s="44" t="s">
        <v>44</v>
      </c>
      <c r="F973" s="44" t="s">
        <v>44</v>
      </c>
    </row>
    <row r="974">
      <c r="A974" s="44" t="s">
        <v>44</v>
      </c>
      <c r="B974" s="44" t="s">
        <v>44</v>
      </c>
      <c r="C974" s="44" t="s">
        <v>44</v>
      </c>
      <c r="D974" s="44" t="s">
        <v>44</v>
      </c>
      <c r="E974" s="44" t="s">
        <v>44</v>
      </c>
      <c r="F974" s="44" t="s">
        <v>44</v>
      </c>
    </row>
    <row r="975">
      <c r="A975" s="44" t="s">
        <v>44</v>
      </c>
      <c r="B975" s="44" t="s">
        <v>44</v>
      </c>
      <c r="C975" s="44" t="s">
        <v>44</v>
      </c>
      <c r="D975" s="44" t="s">
        <v>44</v>
      </c>
      <c r="E975" s="44" t="s">
        <v>44</v>
      </c>
      <c r="F975" s="44" t="s">
        <v>44</v>
      </c>
    </row>
    <row r="976">
      <c r="A976" s="44" t="s">
        <v>44</v>
      </c>
      <c r="B976" s="44" t="s">
        <v>44</v>
      </c>
      <c r="C976" s="44" t="s">
        <v>44</v>
      </c>
      <c r="D976" s="44" t="s">
        <v>44</v>
      </c>
      <c r="E976" s="44" t="s">
        <v>44</v>
      </c>
      <c r="F976" s="44" t="s">
        <v>44</v>
      </c>
    </row>
    <row r="977">
      <c r="A977" s="44" t="s">
        <v>44</v>
      </c>
      <c r="B977" s="44" t="s">
        <v>44</v>
      </c>
      <c r="C977" s="44" t="s">
        <v>44</v>
      </c>
      <c r="D977" s="44" t="s">
        <v>44</v>
      </c>
      <c r="E977" s="44" t="s">
        <v>44</v>
      </c>
      <c r="F977" s="44" t="s">
        <v>44</v>
      </c>
    </row>
    <row r="978">
      <c r="A978" s="44" t="s">
        <v>44</v>
      </c>
      <c r="B978" s="44" t="s">
        <v>44</v>
      </c>
      <c r="C978" s="44" t="s">
        <v>44</v>
      </c>
      <c r="D978" s="44" t="s">
        <v>44</v>
      </c>
      <c r="E978" s="44" t="s">
        <v>44</v>
      </c>
      <c r="F978" s="44" t="s">
        <v>44</v>
      </c>
    </row>
    <row r="979">
      <c r="A979" s="44" t="s">
        <v>44</v>
      </c>
      <c r="B979" s="44" t="s">
        <v>44</v>
      </c>
      <c r="C979" s="44" t="s">
        <v>44</v>
      </c>
      <c r="D979" s="44" t="s">
        <v>44</v>
      </c>
      <c r="E979" s="44" t="s">
        <v>44</v>
      </c>
      <c r="F979" s="44" t="s">
        <v>44</v>
      </c>
    </row>
    <row r="980">
      <c r="A980" s="44" t="s">
        <v>44</v>
      </c>
      <c r="B980" s="44" t="s">
        <v>44</v>
      </c>
      <c r="C980" s="44" t="s">
        <v>44</v>
      </c>
      <c r="D980" s="44" t="s">
        <v>44</v>
      </c>
      <c r="E980" s="44" t="s">
        <v>44</v>
      </c>
      <c r="F980" s="44" t="s">
        <v>44</v>
      </c>
    </row>
    <row r="981">
      <c r="A981" s="44" t="s">
        <v>44</v>
      </c>
      <c r="B981" s="44" t="s">
        <v>44</v>
      </c>
      <c r="C981" s="44" t="s">
        <v>44</v>
      </c>
      <c r="D981" s="44" t="s">
        <v>44</v>
      </c>
      <c r="E981" s="44" t="s">
        <v>44</v>
      </c>
      <c r="F981" s="44" t="s">
        <v>44</v>
      </c>
    </row>
    <row r="982">
      <c r="A982" s="44" t="s">
        <v>44</v>
      </c>
      <c r="B982" s="44" t="s">
        <v>44</v>
      </c>
      <c r="C982" s="44" t="s">
        <v>44</v>
      </c>
      <c r="D982" s="44" t="s">
        <v>44</v>
      </c>
      <c r="E982" s="44" t="s">
        <v>44</v>
      </c>
      <c r="F982" s="44" t="s">
        <v>44</v>
      </c>
    </row>
    <row r="983">
      <c r="A983" s="44" t="s">
        <v>44</v>
      </c>
      <c r="B983" s="44" t="s">
        <v>44</v>
      </c>
      <c r="C983" s="44" t="s">
        <v>44</v>
      </c>
      <c r="D983" s="44" t="s">
        <v>44</v>
      </c>
      <c r="E983" s="44" t="s">
        <v>44</v>
      </c>
      <c r="F983" s="44" t="s">
        <v>44</v>
      </c>
    </row>
    <row r="984">
      <c r="A984" s="44" t="s">
        <v>44</v>
      </c>
      <c r="B984" s="44" t="s">
        <v>44</v>
      </c>
      <c r="C984" s="44" t="s">
        <v>44</v>
      </c>
      <c r="D984" s="44" t="s">
        <v>44</v>
      </c>
      <c r="E984" s="44" t="s">
        <v>44</v>
      </c>
      <c r="F984" s="44" t="s">
        <v>44</v>
      </c>
    </row>
    <row r="985">
      <c r="A985" s="44" t="s">
        <v>44</v>
      </c>
      <c r="B985" s="44" t="s">
        <v>44</v>
      </c>
      <c r="C985" s="44" t="s">
        <v>44</v>
      </c>
      <c r="D985" s="44" t="s">
        <v>44</v>
      </c>
      <c r="E985" s="44" t="s">
        <v>44</v>
      </c>
      <c r="F985" s="44" t="s">
        <v>44</v>
      </c>
    </row>
    <row r="986">
      <c r="A986" s="44" t="s">
        <v>44</v>
      </c>
      <c r="B986" s="44" t="s">
        <v>44</v>
      </c>
      <c r="C986" s="44" t="s">
        <v>44</v>
      </c>
      <c r="D986" s="44" t="s">
        <v>44</v>
      </c>
      <c r="E986" s="44" t="s">
        <v>44</v>
      </c>
      <c r="F986" s="44" t="s">
        <v>44</v>
      </c>
    </row>
    <row r="987">
      <c r="A987" s="44" t="s">
        <v>44</v>
      </c>
      <c r="B987" s="44" t="s">
        <v>44</v>
      </c>
      <c r="C987" s="44" t="s">
        <v>44</v>
      </c>
      <c r="D987" s="44" t="s">
        <v>44</v>
      </c>
      <c r="E987" s="44" t="s">
        <v>44</v>
      </c>
      <c r="F987" s="44" t="s">
        <v>44</v>
      </c>
    </row>
    <row r="988">
      <c r="A988" s="44" t="s">
        <v>44</v>
      </c>
      <c r="B988" s="44" t="s">
        <v>44</v>
      </c>
      <c r="C988" s="44" t="s">
        <v>44</v>
      </c>
      <c r="D988" s="44" t="s">
        <v>44</v>
      </c>
      <c r="E988" s="44" t="s">
        <v>44</v>
      </c>
      <c r="F988" s="44" t="s">
        <v>44</v>
      </c>
    </row>
    <row r="989">
      <c r="A989" s="44" t="s">
        <v>44</v>
      </c>
      <c r="B989" s="44" t="s">
        <v>44</v>
      </c>
      <c r="C989" s="44" t="s">
        <v>44</v>
      </c>
      <c r="D989" s="44" t="s">
        <v>44</v>
      </c>
      <c r="E989" s="44" t="s">
        <v>44</v>
      </c>
      <c r="F989" s="44" t="s">
        <v>44</v>
      </c>
    </row>
    <row r="990">
      <c r="A990" s="44" t="s">
        <v>44</v>
      </c>
      <c r="B990" s="44" t="s">
        <v>44</v>
      </c>
      <c r="C990" s="44" t="s">
        <v>44</v>
      </c>
      <c r="D990" s="44" t="s">
        <v>44</v>
      </c>
      <c r="E990" s="44" t="s">
        <v>44</v>
      </c>
      <c r="F990" s="44" t="s">
        <v>44</v>
      </c>
    </row>
    <row r="991">
      <c r="A991" s="44" t="s">
        <v>44</v>
      </c>
      <c r="B991" s="44" t="s">
        <v>44</v>
      </c>
      <c r="C991" s="44" t="s">
        <v>44</v>
      </c>
      <c r="D991" s="44" t="s">
        <v>44</v>
      </c>
      <c r="E991" s="44" t="s">
        <v>44</v>
      </c>
      <c r="F991" s="44" t="s">
        <v>44</v>
      </c>
    </row>
    <row r="992">
      <c r="A992" s="44" t="s">
        <v>44</v>
      </c>
      <c r="B992" s="44" t="s">
        <v>44</v>
      </c>
      <c r="C992" s="44" t="s">
        <v>44</v>
      </c>
      <c r="D992" s="44" t="s">
        <v>44</v>
      </c>
      <c r="E992" s="44" t="s">
        <v>44</v>
      </c>
      <c r="F992" s="44" t="s">
        <v>44</v>
      </c>
    </row>
    <row r="993">
      <c r="A993" s="44" t="s">
        <v>44</v>
      </c>
      <c r="B993" s="44" t="s">
        <v>44</v>
      </c>
      <c r="C993" s="44" t="s">
        <v>44</v>
      </c>
      <c r="D993" s="44" t="s">
        <v>44</v>
      </c>
      <c r="E993" s="44" t="s">
        <v>44</v>
      </c>
      <c r="F993" s="44" t="s">
        <v>44</v>
      </c>
    </row>
    <row r="994">
      <c r="A994" s="44" t="s">
        <v>44</v>
      </c>
      <c r="B994" s="44" t="s">
        <v>44</v>
      </c>
      <c r="C994" s="44" t="s">
        <v>44</v>
      </c>
      <c r="D994" s="44" t="s">
        <v>44</v>
      </c>
      <c r="E994" s="44" t="s">
        <v>44</v>
      </c>
      <c r="F994" s="44" t="s">
        <v>44</v>
      </c>
    </row>
    <row r="995">
      <c r="A995" s="44" t="s">
        <v>44</v>
      </c>
      <c r="B995" s="44" t="s">
        <v>44</v>
      </c>
      <c r="C995" s="44" t="s">
        <v>44</v>
      </c>
      <c r="D995" s="44" t="s">
        <v>44</v>
      </c>
      <c r="E995" s="44" t="s">
        <v>44</v>
      </c>
      <c r="F995" s="44" t="s">
        <v>44</v>
      </c>
    </row>
    <row r="996">
      <c r="A996" s="44" t="s">
        <v>44</v>
      </c>
      <c r="B996" s="44" t="s">
        <v>44</v>
      </c>
      <c r="C996" s="44" t="s">
        <v>44</v>
      </c>
      <c r="D996" s="44" t="s">
        <v>44</v>
      </c>
      <c r="E996" s="44" t="s">
        <v>44</v>
      </c>
      <c r="F996" s="44" t="s">
        <v>44</v>
      </c>
    </row>
    <row r="997">
      <c r="A997" s="44" t="s">
        <v>44</v>
      </c>
      <c r="B997" s="44" t="s">
        <v>44</v>
      </c>
      <c r="C997" s="44" t="s">
        <v>44</v>
      </c>
      <c r="D997" s="44" t="s">
        <v>44</v>
      </c>
      <c r="E997" s="44" t="s">
        <v>44</v>
      </c>
      <c r="F997" s="44" t="s">
        <v>44</v>
      </c>
    </row>
    <row r="998">
      <c r="A998" s="44" t="s">
        <v>44</v>
      </c>
      <c r="B998" s="44" t="s">
        <v>44</v>
      </c>
      <c r="C998" s="44" t="s">
        <v>44</v>
      </c>
      <c r="D998" s="44" t="s">
        <v>44</v>
      </c>
      <c r="E998" s="44" t="s">
        <v>44</v>
      </c>
      <c r="F998" s="44" t="s">
        <v>44</v>
      </c>
    </row>
    <row r="999">
      <c r="A999" s="44" t="s">
        <v>44</v>
      </c>
      <c r="B999" s="44" t="s">
        <v>44</v>
      </c>
      <c r="C999" s="44" t="s">
        <v>44</v>
      </c>
      <c r="D999" s="44" t="s">
        <v>44</v>
      </c>
      <c r="E999" s="44" t="s">
        <v>44</v>
      </c>
      <c r="F999" s="44" t="s">
        <v>44</v>
      </c>
    </row>
    <row r="1000">
      <c r="A1000" s="44" t="s">
        <v>44</v>
      </c>
      <c r="B1000" s="44" t="s">
        <v>44</v>
      </c>
      <c r="C1000" s="44" t="s">
        <v>44</v>
      </c>
      <c r="D1000" s="44" t="s">
        <v>44</v>
      </c>
      <c r="E1000" s="44" t="s">
        <v>44</v>
      </c>
      <c r="F1000" s="44" t="s">
        <v>44</v>
      </c>
    </row>
  </sheetData>
  <mergeCells count="2">
    <mergeCell ref="A1:F1"/>
    <mergeCell ref="A2:F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8.57"/>
    <col customWidth="1" min="2" max="2" width="9.14"/>
    <col customWidth="1" min="3" max="3" width="35.14"/>
    <col customWidth="1" min="4" max="4" width="12.57"/>
    <col customWidth="1" min="5" max="5" width="12.14"/>
    <col customWidth="1" min="6" max="7" width="13.43"/>
    <col customWidth="1" min="8" max="8" width="14.86"/>
    <col customWidth="1" min="9" max="9" width="15.86"/>
    <col customWidth="1" min="10" max="10" width="13.14"/>
    <col customWidth="1" min="11" max="11" width="22.14"/>
    <col customWidth="1" min="12" max="12" width="24.14"/>
  </cols>
  <sheetData>
    <row r="1" ht="16.5" customHeight="1">
      <c r="A1" s="137" t="s">
        <v>211</v>
      </c>
      <c r="C1" s="343" t="s">
        <v>416</v>
      </c>
    </row>
    <row r="2" ht="16.5" customHeight="1">
      <c r="C2" s="344" t="s">
        <v>1655</v>
      </c>
    </row>
    <row r="3" ht="18.0" customHeight="1">
      <c r="A3" s="18" t="s">
        <v>1656</v>
      </c>
      <c r="B3" s="345"/>
      <c r="C3" s="18" t="s">
        <v>1657</v>
      </c>
      <c r="D3" s="346"/>
      <c r="E3" s="18" t="s">
        <v>1658</v>
      </c>
      <c r="F3" s="345"/>
      <c r="G3" s="18" t="s">
        <v>1659</v>
      </c>
      <c r="H3" s="345"/>
      <c r="I3" s="18" t="s">
        <v>1660</v>
      </c>
      <c r="J3" s="345"/>
      <c r="K3" s="18" t="s">
        <v>1661</v>
      </c>
      <c r="L3" s="345"/>
    </row>
    <row r="4" ht="19.5" customHeight="1">
      <c r="A4" s="347">
        <f>COUNTIF($J$6:$J$500,"Pendente")</f>
        <v>0</v>
      </c>
      <c r="B4" s="347"/>
      <c r="C4" s="347">
        <f>COUNTIF($J$6:$J$500,"Em cotacao")</f>
        <v>0</v>
      </c>
      <c r="D4" s="348"/>
      <c r="E4" s="347">
        <f>COUNTIF($J$6:$J$500,"Aprovada")</f>
        <v>0</v>
      </c>
      <c r="F4" s="347"/>
      <c r="G4" s="347">
        <f>COUNTIF($J$6:$J$500,"Comprada")</f>
        <v>1</v>
      </c>
      <c r="H4" s="347"/>
      <c r="I4" s="347">
        <f>COUNTIF($J$6:$J$500,"Entregue")</f>
        <v>6</v>
      </c>
      <c r="J4" s="347"/>
      <c r="K4" s="349">
        <f>SUM($I$6:$I$500)</f>
        <v>0</v>
      </c>
      <c r="L4" s="347"/>
    </row>
    <row r="5" ht="27.0" customHeight="1">
      <c r="A5" s="350" t="s">
        <v>17</v>
      </c>
      <c r="B5" s="350" t="s">
        <v>36</v>
      </c>
      <c r="C5" s="350" t="s">
        <v>1662</v>
      </c>
      <c r="D5" s="351" t="s">
        <v>1663</v>
      </c>
      <c r="E5" s="350" t="s">
        <v>1664</v>
      </c>
      <c r="F5" s="350" t="s">
        <v>1665</v>
      </c>
      <c r="G5" s="350" t="s">
        <v>1666</v>
      </c>
      <c r="H5" s="350" t="s">
        <v>1667</v>
      </c>
      <c r="I5" s="350" t="s">
        <v>1668</v>
      </c>
      <c r="J5" s="350" t="s">
        <v>1669</v>
      </c>
      <c r="K5" s="350" t="s">
        <v>1670</v>
      </c>
      <c r="L5" s="350" t="s">
        <v>432</v>
      </c>
    </row>
    <row r="6" ht="24.0" customHeight="1">
      <c r="A6" s="352" t="s">
        <v>37</v>
      </c>
      <c r="B6" s="353">
        <v>46300.0</v>
      </c>
      <c r="C6" s="354" t="s">
        <v>1671</v>
      </c>
      <c r="D6" s="355">
        <v>318.0</v>
      </c>
      <c r="E6" s="356" t="s">
        <v>1672</v>
      </c>
      <c r="F6" s="357">
        <v>318.0</v>
      </c>
      <c r="G6" s="358">
        <v>0.0</v>
      </c>
      <c r="H6" s="359">
        <v>4.89</v>
      </c>
      <c r="I6" s="359">
        <v>0.0</v>
      </c>
      <c r="J6" s="360" t="s">
        <v>1673</v>
      </c>
      <c r="K6" s="360" t="s">
        <v>1674</v>
      </c>
      <c r="L6" s="354" t="s">
        <v>1675</v>
      </c>
    </row>
    <row r="7" ht="24.0" customHeight="1">
      <c r="A7" s="352" t="s">
        <v>37</v>
      </c>
      <c r="B7" s="353">
        <v>46300.0</v>
      </c>
      <c r="C7" s="354" t="s">
        <v>1676</v>
      </c>
      <c r="D7" s="355">
        <v>50.0</v>
      </c>
      <c r="E7" s="356" t="s">
        <v>1672</v>
      </c>
      <c r="F7" s="357">
        <v>50.0</v>
      </c>
      <c r="G7" s="356">
        <v>0.0</v>
      </c>
      <c r="H7" s="359">
        <v>42.99</v>
      </c>
      <c r="I7" s="359">
        <v>0.0</v>
      </c>
      <c r="J7" s="360" t="s">
        <v>1673</v>
      </c>
      <c r="K7" s="360" t="s">
        <v>1674</v>
      </c>
      <c r="L7" s="361"/>
    </row>
    <row r="8" ht="24.0" customHeight="1">
      <c r="A8" s="352" t="s">
        <v>37</v>
      </c>
      <c r="B8" s="356" t="s">
        <v>109</v>
      </c>
      <c r="C8" s="354" t="s">
        <v>1677</v>
      </c>
      <c r="D8" s="355">
        <v>334.0</v>
      </c>
      <c r="E8" s="356" t="s">
        <v>1672</v>
      </c>
      <c r="F8" s="357">
        <v>334.0</v>
      </c>
      <c r="G8" s="356">
        <v>0.0</v>
      </c>
      <c r="H8" s="359">
        <v>4.89</v>
      </c>
      <c r="I8" s="359">
        <v>0.0</v>
      </c>
      <c r="J8" s="360" t="s">
        <v>1673</v>
      </c>
      <c r="K8" s="360" t="s">
        <v>1678</v>
      </c>
      <c r="L8" s="354" t="s">
        <v>1679</v>
      </c>
    </row>
    <row r="9" ht="24.0" customHeight="1">
      <c r="A9" s="352" t="s">
        <v>37</v>
      </c>
      <c r="B9" s="356" t="s">
        <v>109</v>
      </c>
      <c r="C9" s="354" t="s">
        <v>1680</v>
      </c>
      <c r="D9" s="355">
        <v>111.0</v>
      </c>
      <c r="E9" s="356" t="s">
        <v>1107</v>
      </c>
      <c r="F9" s="357">
        <v>111.0</v>
      </c>
      <c r="G9" s="356">
        <v>0.0</v>
      </c>
      <c r="H9" s="359">
        <v>2.57</v>
      </c>
      <c r="I9" s="359">
        <v>0.0</v>
      </c>
      <c r="J9" s="360" t="s">
        <v>1673</v>
      </c>
      <c r="K9" s="360" t="s">
        <v>1678</v>
      </c>
      <c r="L9" s="354" t="s">
        <v>1681</v>
      </c>
    </row>
    <row r="10" ht="24.0" customHeight="1">
      <c r="A10" s="352" t="s">
        <v>37</v>
      </c>
      <c r="B10" s="353">
        <v>46300.0</v>
      </c>
      <c r="C10" s="354" t="s">
        <v>1682</v>
      </c>
      <c r="D10" s="355">
        <v>166.0</v>
      </c>
      <c r="E10" s="356" t="s">
        <v>1107</v>
      </c>
      <c r="F10" s="357">
        <v>166.0</v>
      </c>
      <c r="G10" s="356">
        <v>0.0</v>
      </c>
      <c r="H10" s="359">
        <v>7.49</v>
      </c>
      <c r="I10" s="359">
        <v>0.0</v>
      </c>
      <c r="J10" s="360" t="s">
        <v>1673</v>
      </c>
      <c r="K10" s="360" t="s">
        <v>1678</v>
      </c>
      <c r="L10" s="354" t="s">
        <v>1683</v>
      </c>
    </row>
    <row r="11" ht="24.0" customHeight="1">
      <c r="A11" s="352" t="s">
        <v>37</v>
      </c>
      <c r="B11" s="353">
        <v>46300.0</v>
      </c>
      <c r="C11" s="354" t="s">
        <v>1684</v>
      </c>
      <c r="D11" s="355">
        <v>10.0</v>
      </c>
      <c r="E11" s="356" t="s">
        <v>1107</v>
      </c>
      <c r="F11" s="357">
        <v>10.0</v>
      </c>
      <c r="G11" s="356">
        <v>0.0</v>
      </c>
      <c r="H11" s="362"/>
      <c r="I11" s="362"/>
      <c r="J11" s="360" t="s">
        <v>1673</v>
      </c>
      <c r="K11" s="363"/>
      <c r="L11" s="361"/>
    </row>
    <row r="12" ht="24.0" customHeight="1">
      <c r="A12" s="352" t="s">
        <v>37</v>
      </c>
      <c r="B12" s="353">
        <v>46300.0</v>
      </c>
      <c r="C12" s="354" t="s">
        <v>1685</v>
      </c>
      <c r="D12" s="355">
        <v>75.0</v>
      </c>
      <c r="E12" s="356" t="s">
        <v>1107</v>
      </c>
      <c r="F12" s="357">
        <v>40.0</v>
      </c>
      <c r="G12" s="356">
        <v>25.0</v>
      </c>
      <c r="H12" s="359">
        <v>100.75</v>
      </c>
      <c r="I12" s="359">
        <v>0.0</v>
      </c>
      <c r="J12" s="360" t="s">
        <v>1686</v>
      </c>
      <c r="K12" s="354" t="s">
        <v>1687</v>
      </c>
      <c r="L12" s="354"/>
    </row>
    <row r="13" ht="24.0" customHeight="1">
      <c r="A13" s="352"/>
      <c r="B13" s="364"/>
      <c r="C13" s="354"/>
      <c r="D13" s="355"/>
      <c r="E13" s="356"/>
      <c r="F13" s="357"/>
      <c r="G13" s="356"/>
      <c r="H13" s="362"/>
      <c r="I13" s="362"/>
      <c r="J13" s="360"/>
      <c r="K13" s="360"/>
      <c r="L13" s="361"/>
    </row>
    <row r="14" ht="24.0" customHeight="1">
      <c r="A14" s="352"/>
      <c r="B14" s="364"/>
      <c r="C14" s="354"/>
      <c r="D14" s="355"/>
      <c r="E14" s="356"/>
      <c r="F14" s="357"/>
      <c r="G14" s="356"/>
      <c r="H14" s="362"/>
      <c r="I14" s="362"/>
      <c r="J14" s="360"/>
      <c r="K14" s="363"/>
      <c r="L14" s="361"/>
    </row>
    <row r="15" ht="24.0" customHeight="1">
      <c r="A15" s="352"/>
      <c r="B15" s="364"/>
      <c r="C15" s="354"/>
      <c r="D15" s="355"/>
      <c r="E15" s="356"/>
      <c r="F15" s="357"/>
      <c r="G15" s="356"/>
      <c r="H15" s="362"/>
      <c r="I15" s="362"/>
      <c r="J15" s="363"/>
      <c r="K15" s="363"/>
      <c r="L15" s="361"/>
    </row>
    <row r="16" ht="24.0" customHeight="1">
      <c r="A16" s="365"/>
      <c r="B16" s="364"/>
      <c r="C16" s="361"/>
      <c r="D16" s="366"/>
      <c r="E16" s="364"/>
      <c r="F16" s="367"/>
      <c r="G16" s="364"/>
      <c r="H16" s="362"/>
      <c r="I16" s="362"/>
      <c r="J16" s="363"/>
      <c r="K16" s="363"/>
      <c r="L16" s="361"/>
    </row>
    <row r="17" ht="24.0" customHeight="1">
      <c r="A17" s="365"/>
      <c r="B17" s="364"/>
      <c r="C17" s="361"/>
      <c r="D17" s="366"/>
      <c r="E17" s="364"/>
      <c r="F17" s="367"/>
      <c r="G17" s="364"/>
      <c r="H17" s="362"/>
      <c r="I17" s="362"/>
      <c r="J17" s="363"/>
      <c r="K17" s="363"/>
      <c r="L17" s="361"/>
    </row>
    <row r="18" ht="24.0" customHeight="1">
      <c r="A18" s="365"/>
      <c r="B18" s="364"/>
      <c r="C18" s="361"/>
      <c r="D18" s="366"/>
      <c r="E18" s="364"/>
      <c r="F18" s="367"/>
      <c r="G18" s="364"/>
      <c r="H18" s="362"/>
      <c r="I18" s="362"/>
      <c r="J18" s="363"/>
      <c r="K18" s="363"/>
      <c r="L18" s="361"/>
    </row>
    <row r="19" ht="24.0" customHeight="1">
      <c r="A19" s="365"/>
      <c r="B19" s="364"/>
      <c r="C19" s="361"/>
      <c r="D19" s="366"/>
      <c r="E19" s="364"/>
      <c r="F19" s="367"/>
      <c r="G19" s="364"/>
      <c r="H19" s="362"/>
      <c r="I19" s="362"/>
      <c r="J19" s="363"/>
      <c r="K19" s="363"/>
      <c r="L19" s="361"/>
    </row>
    <row r="20" ht="24.0" customHeight="1">
      <c r="A20" s="365"/>
      <c r="B20" s="364"/>
      <c r="C20" s="361"/>
      <c r="D20" s="366"/>
      <c r="E20" s="364"/>
      <c r="F20" s="367"/>
      <c r="G20" s="364"/>
      <c r="H20" s="362"/>
      <c r="I20" s="362"/>
      <c r="J20" s="363"/>
      <c r="K20" s="363"/>
      <c r="L20" s="361"/>
    </row>
    <row r="21" ht="24.0" customHeight="1">
      <c r="A21" s="365"/>
      <c r="B21" s="364"/>
      <c r="C21" s="361"/>
      <c r="D21" s="366"/>
      <c r="E21" s="364"/>
      <c r="F21" s="367"/>
      <c r="G21" s="364"/>
      <c r="H21" s="362"/>
      <c r="I21" s="362"/>
      <c r="J21" s="363"/>
      <c r="K21" s="363"/>
      <c r="L21" s="361"/>
    </row>
    <row r="22" ht="24.0" customHeight="1">
      <c r="A22" s="365"/>
      <c r="B22" s="364"/>
      <c r="C22" s="361"/>
      <c r="D22" s="366"/>
      <c r="E22" s="364"/>
      <c r="F22" s="367"/>
      <c r="G22" s="364"/>
      <c r="H22" s="362"/>
      <c r="I22" s="362"/>
      <c r="J22" s="363"/>
      <c r="K22" s="363"/>
      <c r="L22" s="361"/>
    </row>
    <row r="23" ht="24.0" customHeight="1">
      <c r="A23" s="365"/>
      <c r="B23" s="364"/>
      <c r="C23" s="361"/>
      <c r="D23" s="366"/>
      <c r="E23" s="364"/>
      <c r="F23" s="367"/>
      <c r="G23" s="364"/>
      <c r="H23" s="362"/>
      <c r="I23" s="362"/>
      <c r="J23" s="363"/>
      <c r="K23" s="363"/>
      <c r="L23" s="361"/>
    </row>
    <row r="24" ht="24.0" customHeight="1">
      <c r="A24" s="365"/>
      <c r="B24" s="364"/>
      <c r="C24" s="361"/>
      <c r="D24" s="366"/>
      <c r="E24" s="364"/>
      <c r="F24" s="367"/>
      <c r="G24" s="364"/>
      <c r="H24" s="362"/>
      <c r="I24" s="362"/>
      <c r="J24" s="363"/>
      <c r="K24" s="363"/>
      <c r="L24" s="361"/>
    </row>
    <row r="25" ht="24.0" customHeight="1">
      <c r="A25" s="365"/>
      <c r="B25" s="364"/>
      <c r="C25" s="361"/>
      <c r="D25" s="366"/>
      <c r="E25" s="364"/>
      <c r="F25" s="367"/>
      <c r="G25" s="364"/>
      <c r="H25" s="362"/>
      <c r="I25" s="362"/>
      <c r="J25" s="363"/>
      <c r="K25" s="363"/>
      <c r="L25" s="361"/>
    </row>
    <row r="26" ht="24.0" customHeight="1">
      <c r="A26" s="365"/>
      <c r="B26" s="364"/>
      <c r="C26" s="361"/>
      <c r="D26" s="366"/>
      <c r="E26" s="364"/>
      <c r="F26" s="367"/>
      <c r="G26" s="364"/>
      <c r="H26" s="362"/>
      <c r="I26" s="362"/>
      <c r="J26" s="363"/>
      <c r="K26" s="363"/>
      <c r="L26" s="361"/>
    </row>
    <row r="27" ht="24.0" customHeight="1">
      <c r="A27" s="365"/>
      <c r="B27" s="364"/>
      <c r="C27" s="361"/>
      <c r="D27" s="366"/>
      <c r="E27" s="364"/>
      <c r="F27" s="367"/>
      <c r="G27" s="364"/>
      <c r="H27" s="362"/>
      <c r="I27" s="362"/>
      <c r="J27" s="363"/>
      <c r="K27" s="363"/>
      <c r="L27" s="361"/>
    </row>
    <row r="28" ht="24.0" customHeight="1">
      <c r="A28" s="365"/>
      <c r="B28" s="364"/>
      <c r="C28" s="361"/>
      <c r="D28" s="366"/>
      <c r="E28" s="364"/>
      <c r="F28" s="367"/>
      <c r="G28" s="364"/>
      <c r="H28" s="362"/>
      <c r="I28" s="362"/>
      <c r="J28" s="363"/>
      <c r="K28" s="363"/>
      <c r="L28" s="361"/>
    </row>
    <row r="29" ht="24.0" customHeight="1">
      <c r="A29" s="365"/>
      <c r="B29" s="364"/>
      <c r="C29" s="361"/>
      <c r="D29" s="366"/>
      <c r="E29" s="364"/>
      <c r="F29" s="367"/>
      <c r="G29" s="364"/>
      <c r="H29" s="362"/>
      <c r="I29" s="362"/>
      <c r="J29" s="363"/>
      <c r="K29" s="363"/>
      <c r="L29" s="361"/>
    </row>
    <row r="30" ht="24.0" customHeight="1">
      <c r="A30" s="365"/>
      <c r="B30" s="364"/>
      <c r="C30" s="361"/>
      <c r="D30" s="366"/>
      <c r="E30" s="364"/>
      <c r="F30" s="367"/>
      <c r="G30" s="364"/>
      <c r="H30" s="362"/>
      <c r="I30" s="362"/>
      <c r="J30" s="363"/>
      <c r="K30" s="363"/>
      <c r="L30" s="361"/>
    </row>
    <row r="31" ht="24.0" customHeight="1">
      <c r="A31" s="365"/>
      <c r="B31" s="364"/>
      <c r="C31" s="361"/>
      <c r="D31" s="366"/>
      <c r="E31" s="364"/>
      <c r="F31" s="367"/>
      <c r="G31" s="364"/>
      <c r="H31" s="362"/>
      <c r="I31" s="362"/>
      <c r="J31" s="363"/>
      <c r="K31" s="363"/>
      <c r="L31" s="361"/>
    </row>
    <row r="32" ht="24.0" customHeight="1">
      <c r="A32" s="365"/>
      <c r="B32" s="364"/>
      <c r="C32" s="361"/>
      <c r="D32" s="366"/>
      <c r="E32" s="364"/>
      <c r="F32" s="367"/>
      <c r="G32" s="364"/>
      <c r="H32" s="362"/>
      <c r="I32" s="362"/>
      <c r="J32" s="363"/>
      <c r="K32" s="363"/>
      <c r="L32" s="361"/>
    </row>
    <row r="33" ht="24.0" customHeight="1">
      <c r="A33" s="365"/>
      <c r="B33" s="364"/>
      <c r="C33" s="361"/>
      <c r="D33" s="366"/>
      <c r="E33" s="364"/>
      <c r="F33" s="367"/>
      <c r="G33" s="364"/>
      <c r="H33" s="362"/>
      <c r="I33" s="362"/>
      <c r="J33" s="363"/>
      <c r="K33" s="363"/>
      <c r="L33" s="361"/>
    </row>
    <row r="34" ht="24.0" customHeight="1">
      <c r="A34" s="365"/>
      <c r="B34" s="364"/>
      <c r="C34" s="361"/>
      <c r="D34" s="366"/>
      <c r="E34" s="364"/>
      <c r="F34" s="367"/>
      <c r="G34" s="364"/>
      <c r="H34" s="362"/>
      <c r="I34" s="362"/>
      <c r="J34" s="363"/>
      <c r="K34" s="363"/>
      <c r="L34" s="361"/>
    </row>
    <row r="35" ht="24.0" customHeight="1">
      <c r="A35" s="365"/>
      <c r="B35" s="364"/>
      <c r="C35" s="361"/>
      <c r="D35" s="366"/>
      <c r="E35" s="364"/>
      <c r="F35" s="367"/>
      <c r="G35" s="364"/>
      <c r="H35" s="362"/>
      <c r="I35" s="362"/>
      <c r="J35" s="363"/>
      <c r="K35" s="363"/>
      <c r="L35" s="361"/>
    </row>
    <row r="36" ht="24.0" customHeight="1">
      <c r="A36" s="365"/>
      <c r="B36" s="364"/>
      <c r="C36" s="361"/>
      <c r="D36" s="366"/>
      <c r="E36" s="364"/>
      <c r="F36" s="367"/>
      <c r="G36" s="364"/>
      <c r="H36" s="362"/>
      <c r="I36" s="362"/>
      <c r="J36" s="363"/>
      <c r="K36" s="363"/>
      <c r="L36" s="361"/>
    </row>
    <row r="37" ht="24.0" customHeight="1">
      <c r="A37" s="365"/>
      <c r="B37" s="364"/>
      <c r="C37" s="361"/>
      <c r="D37" s="366"/>
      <c r="E37" s="364"/>
      <c r="F37" s="367"/>
      <c r="G37" s="364"/>
      <c r="H37" s="362"/>
      <c r="I37" s="362"/>
      <c r="J37" s="363"/>
      <c r="K37" s="363"/>
      <c r="L37" s="361"/>
    </row>
    <row r="38" ht="24.0" customHeight="1">
      <c r="A38" s="365"/>
      <c r="B38" s="364"/>
      <c r="C38" s="361"/>
      <c r="D38" s="366"/>
      <c r="E38" s="364"/>
      <c r="F38" s="367"/>
      <c r="G38" s="364"/>
      <c r="H38" s="362"/>
      <c r="I38" s="362"/>
      <c r="J38" s="363"/>
      <c r="K38" s="363"/>
      <c r="L38" s="361"/>
    </row>
    <row r="39" ht="24.0" customHeight="1">
      <c r="A39" s="365"/>
      <c r="B39" s="364"/>
      <c r="C39" s="361"/>
      <c r="D39" s="366"/>
      <c r="E39" s="364"/>
      <c r="F39" s="367"/>
      <c r="G39" s="364"/>
      <c r="H39" s="362"/>
      <c r="I39" s="362"/>
      <c r="J39" s="363"/>
      <c r="K39" s="363"/>
      <c r="L39" s="361"/>
    </row>
    <row r="40" ht="24.0" customHeight="1">
      <c r="A40" s="365"/>
      <c r="B40" s="364"/>
      <c r="C40" s="361"/>
      <c r="D40" s="366"/>
      <c r="E40" s="364"/>
      <c r="F40" s="367"/>
      <c r="G40" s="364"/>
      <c r="H40" s="362"/>
      <c r="I40" s="362"/>
      <c r="J40" s="363"/>
      <c r="K40" s="363"/>
      <c r="L40" s="361"/>
    </row>
    <row r="41" ht="24.0" customHeight="1">
      <c r="A41" s="365"/>
      <c r="B41" s="364"/>
      <c r="C41" s="361"/>
      <c r="D41" s="366"/>
      <c r="E41" s="364"/>
      <c r="F41" s="367"/>
      <c r="G41" s="364"/>
      <c r="H41" s="362"/>
      <c r="I41" s="362"/>
      <c r="J41" s="363"/>
      <c r="K41" s="363"/>
      <c r="L41" s="361"/>
    </row>
    <row r="42" ht="24.0" customHeight="1">
      <c r="A42" s="365"/>
      <c r="B42" s="364"/>
      <c r="C42" s="361"/>
      <c r="D42" s="366"/>
      <c r="E42" s="364"/>
      <c r="F42" s="367"/>
      <c r="G42" s="364"/>
      <c r="H42" s="362"/>
      <c r="I42" s="362"/>
      <c r="J42" s="363"/>
      <c r="K42" s="363"/>
      <c r="L42" s="361"/>
    </row>
    <row r="43" ht="24.0" customHeight="1">
      <c r="A43" s="365"/>
      <c r="B43" s="364"/>
      <c r="C43" s="361"/>
      <c r="D43" s="366"/>
      <c r="E43" s="364"/>
      <c r="F43" s="367"/>
      <c r="G43" s="364"/>
      <c r="H43" s="362"/>
      <c r="I43" s="362"/>
      <c r="J43" s="363"/>
      <c r="K43" s="363"/>
      <c r="L43" s="361"/>
    </row>
    <row r="44" ht="24.0" customHeight="1">
      <c r="A44" s="365"/>
      <c r="B44" s="364"/>
      <c r="C44" s="361"/>
      <c r="D44" s="366"/>
      <c r="E44" s="364"/>
      <c r="F44" s="367"/>
      <c r="G44" s="364"/>
      <c r="H44" s="362"/>
      <c r="I44" s="362"/>
      <c r="J44" s="363"/>
      <c r="K44" s="363"/>
      <c r="L44" s="361"/>
    </row>
    <row r="45" ht="24.0" customHeight="1">
      <c r="A45" s="365"/>
      <c r="B45" s="364"/>
      <c r="C45" s="361"/>
      <c r="D45" s="366"/>
      <c r="E45" s="364"/>
      <c r="F45" s="367"/>
      <c r="G45" s="364"/>
      <c r="H45" s="362"/>
      <c r="I45" s="362"/>
      <c r="J45" s="363"/>
      <c r="K45" s="363"/>
      <c r="L45" s="361"/>
    </row>
    <row r="46" ht="24.0" customHeight="1">
      <c r="A46" s="365"/>
      <c r="B46" s="364"/>
      <c r="C46" s="361"/>
      <c r="D46" s="366"/>
      <c r="E46" s="364"/>
      <c r="F46" s="367"/>
      <c r="G46" s="364"/>
      <c r="H46" s="362"/>
      <c r="I46" s="362"/>
      <c r="J46" s="363"/>
      <c r="K46" s="363"/>
      <c r="L46" s="361"/>
    </row>
    <row r="47" ht="24.0" customHeight="1">
      <c r="A47" s="365"/>
      <c r="B47" s="364"/>
      <c r="C47" s="361"/>
      <c r="D47" s="366"/>
      <c r="E47" s="364"/>
      <c r="F47" s="367"/>
      <c r="G47" s="364"/>
      <c r="H47" s="362"/>
      <c r="I47" s="362"/>
      <c r="J47" s="363"/>
      <c r="K47" s="363"/>
      <c r="L47" s="361"/>
    </row>
    <row r="48" ht="24.0" customHeight="1">
      <c r="A48" s="365"/>
      <c r="B48" s="364"/>
      <c r="C48" s="361"/>
      <c r="D48" s="366"/>
      <c r="E48" s="364"/>
      <c r="F48" s="367"/>
      <c r="G48" s="364"/>
      <c r="H48" s="362"/>
      <c r="I48" s="362"/>
      <c r="J48" s="363"/>
      <c r="K48" s="363"/>
      <c r="L48" s="361"/>
    </row>
    <row r="49" ht="24.0" customHeight="1">
      <c r="A49" s="365"/>
      <c r="B49" s="364"/>
      <c r="C49" s="361"/>
      <c r="D49" s="366"/>
      <c r="E49" s="364"/>
      <c r="F49" s="367"/>
      <c r="G49" s="364"/>
      <c r="H49" s="362"/>
      <c r="I49" s="362"/>
      <c r="J49" s="363"/>
      <c r="K49" s="363"/>
      <c r="L49" s="361"/>
    </row>
    <row r="50" ht="24.0" customHeight="1">
      <c r="A50" s="365"/>
      <c r="B50" s="364"/>
      <c r="C50" s="361"/>
      <c r="D50" s="366"/>
      <c r="E50" s="364"/>
      <c r="F50" s="367"/>
      <c r="G50" s="364"/>
      <c r="H50" s="362"/>
      <c r="I50" s="362"/>
      <c r="J50" s="363"/>
      <c r="K50" s="363"/>
      <c r="L50" s="361"/>
    </row>
    <row r="51" ht="24.0" customHeight="1">
      <c r="A51" s="365"/>
      <c r="B51" s="364"/>
      <c r="C51" s="361"/>
      <c r="D51" s="366"/>
      <c r="E51" s="364"/>
      <c r="F51" s="367"/>
      <c r="G51" s="364"/>
      <c r="H51" s="362"/>
      <c r="I51" s="362"/>
      <c r="J51" s="363"/>
      <c r="K51" s="363"/>
      <c r="L51" s="361"/>
    </row>
    <row r="52" ht="24.0" customHeight="1">
      <c r="A52" s="365"/>
      <c r="B52" s="364"/>
      <c r="C52" s="361"/>
      <c r="D52" s="366"/>
      <c r="E52" s="364"/>
      <c r="F52" s="367"/>
      <c r="G52" s="364"/>
      <c r="H52" s="362"/>
      <c r="I52" s="362"/>
      <c r="J52" s="363"/>
      <c r="K52" s="363"/>
      <c r="L52" s="361"/>
    </row>
    <row r="53" ht="24.0" customHeight="1">
      <c r="A53" s="365"/>
      <c r="B53" s="364"/>
      <c r="C53" s="361"/>
      <c r="D53" s="366"/>
      <c r="E53" s="364"/>
      <c r="F53" s="367"/>
      <c r="G53" s="364"/>
      <c r="H53" s="362"/>
      <c r="I53" s="362"/>
      <c r="J53" s="363"/>
      <c r="K53" s="363"/>
      <c r="L53" s="361"/>
    </row>
    <row r="54" ht="24.0" customHeight="1">
      <c r="A54" s="365"/>
      <c r="B54" s="364"/>
      <c r="C54" s="361"/>
      <c r="D54" s="366"/>
      <c r="E54" s="364"/>
      <c r="F54" s="367"/>
      <c r="G54" s="364"/>
      <c r="H54" s="362"/>
      <c r="I54" s="362"/>
      <c r="J54" s="363"/>
      <c r="K54" s="363"/>
      <c r="L54" s="361"/>
    </row>
    <row r="55" ht="24.0" customHeight="1">
      <c r="A55" s="365"/>
      <c r="B55" s="364"/>
      <c r="C55" s="361"/>
      <c r="D55" s="366"/>
      <c r="E55" s="364"/>
      <c r="F55" s="367"/>
      <c r="G55" s="364"/>
      <c r="H55" s="362"/>
      <c r="I55" s="362"/>
      <c r="J55" s="363"/>
      <c r="K55" s="363"/>
      <c r="L55" s="361"/>
    </row>
    <row r="56" ht="24.0" customHeight="1">
      <c r="A56" s="365"/>
      <c r="B56" s="364"/>
      <c r="C56" s="361"/>
      <c r="D56" s="366"/>
      <c r="E56" s="364"/>
      <c r="F56" s="367"/>
      <c r="G56" s="364"/>
      <c r="H56" s="362"/>
      <c r="I56" s="362"/>
      <c r="J56" s="363"/>
      <c r="K56" s="363"/>
      <c r="L56" s="361"/>
    </row>
    <row r="57">
      <c r="A57" s="365"/>
      <c r="B57" s="364"/>
      <c r="C57" s="363"/>
      <c r="D57" s="366"/>
      <c r="E57" s="364"/>
      <c r="F57" s="367"/>
      <c r="G57" s="364"/>
      <c r="H57" s="368"/>
      <c r="I57" s="368"/>
      <c r="J57" s="363"/>
      <c r="K57" s="363"/>
      <c r="L57" s="363"/>
    </row>
    <row r="58">
      <c r="A58" s="365"/>
      <c r="B58" s="364"/>
      <c r="C58" s="363"/>
      <c r="D58" s="366"/>
      <c r="E58" s="364"/>
      <c r="F58" s="367"/>
      <c r="G58" s="364"/>
      <c r="H58" s="368"/>
      <c r="I58" s="368"/>
      <c r="J58" s="363"/>
      <c r="K58" s="363"/>
      <c r="L58" s="363"/>
    </row>
    <row r="59">
      <c r="A59" s="365"/>
      <c r="B59" s="364"/>
      <c r="C59" s="363"/>
      <c r="D59" s="366"/>
      <c r="E59" s="364"/>
      <c r="F59" s="367"/>
      <c r="G59" s="364"/>
      <c r="H59" s="368"/>
      <c r="I59" s="368"/>
      <c r="J59" s="363"/>
      <c r="K59" s="363"/>
      <c r="L59" s="363"/>
    </row>
    <row r="60">
      <c r="A60" s="365"/>
      <c r="B60" s="364"/>
      <c r="C60" s="363"/>
      <c r="D60" s="366"/>
      <c r="E60" s="364"/>
      <c r="F60" s="367"/>
      <c r="G60" s="364"/>
      <c r="H60" s="368"/>
      <c r="I60" s="368"/>
      <c r="J60" s="363"/>
      <c r="K60" s="363"/>
      <c r="L60" s="363"/>
    </row>
    <row r="61">
      <c r="A61" s="365"/>
      <c r="B61" s="364"/>
      <c r="C61" s="363"/>
      <c r="D61" s="366"/>
      <c r="E61" s="364"/>
      <c r="F61" s="367"/>
      <c r="G61" s="364"/>
      <c r="H61" s="368"/>
      <c r="I61" s="368"/>
      <c r="J61" s="363"/>
      <c r="K61" s="363"/>
      <c r="L61" s="363"/>
    </row>
    <row r="62">
      <c r="A62" s="365"/>
      <c r="B62" s="364"/>
      <c r="C62" s="363"/>
      <c r="D62" s="366"/>
      <c r="E62" s="364"/>
      <c r="F62" s="367"/>
      <c r="G62" s="364"/>
      <c r="H62" s="368"/>
      <c r="I62" s="368"/>
      <c r="J62" s="363"/>
      <c r="K62" s="363"/>
      <c r="L62" s="363"/>
    </row>
    <row r="63">
      <c r="A63" s="365"/>
      <c r="B63" s="364"/>
      <c r="C63" s="363"/>
      <c r="D63" s="366"/>
      <c r="E63" s="364"/>
      <c r="F63" s="367"/>
      <c r="G63" s="364"/>
      <c r="H63" s="368"/>
      <c r="I63" s="368"/>
      <c r="J63" s="363"/>
      <c r="K63" s="363"/>
      <c r="L63" s="363"/>
    </row>
    <row r="64">
      <c r="A64" s="365"/>
      <c r="B64" s="364"/>
      <c r="C64" s="363"/>
      <c r="D64" s="366"/>
      <c r="E64" s="364"/>
      <c r="F64" s="367"/>
      <c r="G64" s="364"/>
      <c r="H64" s="368"/>
      <c r="I64" s="368"/>
      <c r="J64" s="363"/>
      <c r="K64" s="363"/>
      <c r="L64" s="363"/>
    </row>
    <row r="65">
      <c r="A65" s="365"/>
      <c r="B65" s="364"/>
      <c r="C65" s="363"/>
      <c r="D65" s="366"/>
      <c r="E65" s="364"/>
      <c r="F65" s="367"/>
      <c r="G65" s="364"/>
      <c r="H65" s="368"/>
      <c r="I65" s="368"/>
      <c r="J65" s="363"/>
      <c r="K65" s="363"/>
      <c r="L65" s="363"/>
    </row>
    <row r="66">
      <c r="A66" s="365"/>
      <c r="B66" s="364"/>
      <c r="C66" s="363"/>
      <c r="D66" s="366"/>
      <c r="E66" s="364"/>
      <c r="F66" s="367"/>
      <c r="G66" s="364"/>
      <c r="H66" s="368"/>
      <c r="I66" s="368"/>
      <c r="J66" s="363"/>
      <c r="K66" s="363"/>
      <c r="L66" s="363"/>
    </row>
    <row r="67">
      <c r="A67" s="365"/>
      <c r="B67" s="364"/>
      <c r="C67" s="363"/>
      <c r="D67" s="366"/>
      <c r="E67" s="364"/>
      <c r="F67" s="367"/>
      <c r="G67" s="364"/>
      <c r="H67" s="368"/>
      <c r="I67" s="368"/>
      <c r="J67" s="363"/>
      <c r="K67" s="363"/>
      <c r="L67" s="363"/>
    </row>
    <row r="68">
      <c r="A68" s="365"/>
      <c r="B68" s="364"/>
      <c r="C68" s="363"/>
      <c r="D68" s="366"/>
      <c r="E68" s="364"/>
      <c r="F68" s="367"/>
      <c r="G68" s="364"/>
      <c r="H68" s="368"/>
      <c r="I68" s="368"/>
      <c r="J68" s="363"/>
      <c r="K68" s="363"/>
      <c r="L68" s="363"/>
    </row>
    <row r="69">
      <c r="A69" s="365"/>
      <c r="B69" s="364"/>
      <c r="C69" s="363"/>
      <c r="D69" s="366"/>
      <c r="E69" s="364"/>
      <c r="F69" s="367"/>
      <c r="G69" s="364"/>
      <c r="H69" s="368"/>
      <c r="I69" s="368"/>
      <c r="J69" s="363"/>
      <c r="K69" s="363"/>
      <c r="L69" s="363"/>
    </row>
    <row r="70">
      <c r="A70" s="365"/>
      <c r="B70" s="364"/>
      <c r="C70" s="363"/>
      <c r="D70" s="366"/>
      <c r="E70" s="364"/>
      <c r="F70" s="367"/>
      <c r="G70" s="364"/>
      <c r="H70" s="368"/>
      <c r="I70" s="368"/>
      <c r="J70" s="363"/>
      <c r="K70" s="363"/>
      <c r="L70" s="363"/>
    </row>
    <row r="71">
      <c r="A71" s="365"/>
      <c r="B71" s="364"/>
      <c r="C71" s="363"/>
      <c r="D71" s="366"/>
      <c r="E71" s="364"/>
      <c r="F71" s="367"/>
      <c r="G71" s="364"/>
      <c r="H71" s="368"/>
      <c r="I71" s="368"/>
      <c r="J71" s="363"/>
      <c r="K71" s="363"/>
      <c r="L71" s="363"/>
    </row>
    <row r="72">
      <c r="A72" s="365"/>
      <c r="B72" s="364"/>
      <c r="C72" s="363"/>
      <c r="D72" s="366"/>
      <c r="E72" s="364"/>
      <c r="F72" s="367"/>
      <c r="G72" s="364"/>
      <c r="H72" s="368"/>
      <c r="I72" s="368"/>
      <c r="J72" s="363"/>
      <c r="K72" s="363"/>
      <c r="L72" s="363"/>
    </row>
    <row r="73">
      <c r="A73" s="365"/>
      <c r="B73" s="364"/>
      <c r="C73" s="363"/>
      <c r="D73" s="366"/>
      <c r="E73" s="364"/>
      <c r="F73" s="367"/>
      <c r="G73" s="364"/>
      <c r="H73" s="368"/>
      <c r="I73" s="368"/>
      <c r="J73" s="363"/>
      <c r="K73" s="363"/>
      <c r="L73" s="363"/>
    </row>
    <row r="74">
      <c r="A74" s="365"/>
      <c r="B74" s="364"/>
      <c r="C74" s="363"/>
      <c r="D74" s="366"/>
      <c r="E74" s="364"/>
      <c r="F74" s="367"/>
      <c r="G74" s="364"/>
      <c r="H74" s="368"/>
      <c r="I74" s="368"/>
      <c r="J74" s="363"/>
      <c r="K74" s="363"/>
      <c r="L74" s="363"/>
    </row>
    <row r="75">
      <c r="A75" s="365"/>
      <c r="B75" s="364"/>
      <c r="C75" s="363"/>
      <c r="D75" s="366"/>
      <c r="E75" s="364"/>
      <c r="F75" s="367"/>
      <c r="G75" s="364"/>
      <c r="H75" s="368"/>
      <c r="I75" s="368"/>
      <c r="J75" s="363"/>
      <c r="K75" s="363"/>
      <c r="L75" s="363"/>
    </row>
    <row r="76">
      <c r="A76" s="365"/>
      <c r="B76" s="364"/>
      <c r="C76" s="363"/>
      <c r="D76" s="366"/>
      <c r="E76" s="364"/>
      <c r="F76" s="367"/>
      <c r="G76" s="364"/>
      <c r="H76" s="368"/>
      <c r="I76" s="368"/>
      <c r="J76" s="363"/>
      <c r="K76" s="363"/>
      <c r="L76" s="363"/>
    </row>
    <row r="77">
      <c r="A77" s="365"/>
      <c r="B77" s="364"/>
      <c r="C77" s="363"/>
      <c r="D77" s="366"/>
      <c r="E77" s="364"/>
      <c r="F77" s="367"/>
      <c r="G77" s="364"/>
      <c r="H77" s="368"/>
      <c r="I77" s="368"/>
      <c r="J77" s="363"/>
      <c r="K77" s="363"/>
      <c r="L77" s="363"/>
    </row>
    <row r="78">
      <c r="A78" s="365"/>
      <c r="B78" s="364"/>
      <c r="C78" s="363"/>
      <c r="D78" s="366"/>
      <c r="E78" s="364"/>
      <c r="F78" s="367"/>
      <c r="G78" s="364"/>
      <c r="H78" s="368"/>
      <c r="I78" s="368"/>
      <c r="J78" s="363"/>
      <c r="K78" s="363"/>
      <c r="L78" s="363"/>
    </row>
    <row r="79">
      <c r="A79" s="365"/>
      <c r="B79" s="364"/>
      <c r="C79" s="363"/>
      <c r="D79" s="366"/>
      <c r="E79" s="364"/>
      <c r="F79" s="367"/>
      <c r="G79" s="364"/>
      <c r="H79" s="368"/>
      <c r="I79" s="368"/>
      <c r="J79" s="363"/>
      <c r="K79" s="363"/>
      <c r="L79" s="363"/>
    </row>
    <row r="80">
      <c r="A80" s="365"/>
      <c r="B80" s="364"/>
      <c r="C80" s="363"/>
      <c r="D80" s="366"/>
      <c r="E80" s="364"/>
      <c r="F80" s="367"/>
      <c r="G80" s="364"/>
      <c r="H80" s="368"/>
      <c r="I80" s="368"/>
      <c r="J80" s="363"/>
      <c r="K80" s="363"/>
      <c r="L80" s="363"/>
    </row>
    <row r="81">
      <c r="A81" s="365"/>
      <c r="B81" s="364"/>
      <c r="C81" s="363"/>
      <c r="D81" s="366"/>
      <c r="E81" s="364"/>
      <c r="F81" s="367"/>
      <c r="G81" s="364"/>
      <c r="H81" s="368"/>
      <c r="I81" s="368"/>
      <c r="J81" s="363"/>
      <c r="K81" s="363"/>
      <c r="L81" s="363"/>
    </row>
    <row r="82">
      <c r="A82" s="365"/>
      <c r="B82" s="364"/>
      <c r="C82" s="363"/>
      <c r="D82" s="366"/>
      <c r="E82" s="364"/>
      <c r="F82" s="367"/>
      <c r="G82" s="364"/>
      <c r="H82" s="368"/>
      <c r="I82" s="368"/>
      <c r="J82" s="363"/>
      <c r="K82" s="363"/>
      <c r="L82" s="363"/>
    </row>
    <row r="83">
      <c r="A83" s="365"/>
      <c r="B83" s="364"/>
      <c r="C83" s="363"/>
      <c r="D83" s="366"/>
      <c r="E83" s="364"/>
      <c r="F83" s="367"/>
      <c r="G83" s="364"/>
      <c r="H83" s="368"/>
      <c r="I83" s="368"/>
      <c r="J83" s="363"/>
      <c r="K83" s="363"/>
      <c r="L83" s="363"/>
    </row>
    <row r="84">
      <c r="A84" s="365"/>
      <c r="B84" s="364"/>
      <c r="C84" s="363"/>
      <c r="D84" s="366"/>
      <c r="E84" s="364"/>
      <c r="F84" s="367"/>
      <c r="G84" s="364"/>
      <c r="H84" s="368"/>
      <c r="I84" s="368"/>
      <c r="J84" s="363"/>
      <c r="K84" s="363"/>
      <c r="L84" s="363"/>
    </row>
    <row r="85">
      <c r="A85" s="365"/>
      <c r="B85" s="364"/>
      <c r="C85" s="363"/>
      <c r="D85" s="366"/>
      <c r="E85" s="364"/>
      <c r="F85" s="367"/>
      <c r="G85" s="364"/>
      <c r="H85" s="368"/>
      <c r="I85" s="368"/>
      <c r="J85" s="363"/>
      <c r="K85" s="363"/>
      <c r="L85" s="363"/>
    </row>
    <row r="86">
      <c r="A86" s="365"/>
      <c r="B86" s="364"/>
      <c r="C86" s="363"/>
      <c r="D86" s="366"/>
      <c r="E86" s="364"/>
      <c r="F86" s="367"/>
      <c r="G86" s="364"/>
      <c r="H86" s="368"/>
      <c r="I86" s="368"/>
      <c r="J86" s="363"/>
      <c r="K86" s="363"/>
      <c r="L86" s="363"/>
    </row>
    <row r="87">
      <c r="A87" s="365"/>
      <c r="B87" s="364"/>
      <c r="C87" s="363"/>
      <c r="D87" s="366"/>
      <c r="E87" s="364"/>
      <c r="F87" s="367"/>
      <c r="G87" s="364"/>
      <c r="H87" s="368"/>
      <c r="I87" s="368"/>
      <c r="J87" s="363"/>
      <c r="K87" s="363"/>
      <c r="L87" s="363"/>
    </row>
    <row r="88">
      <c r="A88" s="365"/>
      <c r="B88" s="364"/>
      <c r="C88" s="363"/>
      <c r="D88" s="366"/>
      <c r="E88" s="364"/>
      <c r="F88" s="367"/>
      <c r="G88" s="364"/>
      <c r="H88" s="368"/>
      <c r="I88" s="368"/>
      <c r="J88" s="363"/>
      <c r="K88" s="363"/>
      <c r="L88" s="363"/>
    </row>
    <row r="89">
      <c r="A89" s="365"/>
      <c r="B89" s="364"/>
      <c r="C89" s="363"/>
      <c r="D89" s="366"/>
      <c r="E89" s="364"/>
      <c r="F89" s="367"/>
      <c r="G89" s="364"/>
      <c r="H89" s="368"/>
      <c r="I89" s="368"/>
      <c r="J89" s="363"/>
      <c r="K89" s="363"/>
      <c r="L89" s="363"/>
    </row>
    <row r="90">
      <c r="A90" s="365"/>
      <c r="B90" s="364"/>
      <c r="C90" s="363"/>
      <c r="D90" s="366"/>
      <c r="E90" s="364"/>
      <c r="F90" s="367"/>
      <c r="G90" s="364"/>
      <c r="H90" s="368"/>
      <c r="I90" s="368"/>
      <c r="J90" s="363"/>
      <c r="K90" s="363"/>
      <c r="L90" s="363"/>
    </row>
    <row r="91">
      <c r="A91" s="365"/>
      <c r="B91" s="364"/>
      <c r="C91" s="363"/>
      <c r="D91" s="366"/>
      <c r="E91" s="364"/>
      <c r="F91" s="367"/>
      <c r="G91" s="364"/>
      <c r="H91" s="368"/>
      <c r="I91" s="368"/>
      <c r="J91" s="363"/>
      <c r="K91" s="363"/>
      <c r="L91" s="363"/>
    </row>
    <row r="92">
      <c r="A92" s="365"/>
      <c r="B92" s="364"/>
      <c r="C92" s="363"/>
      <c r="D92" s="366"/>
      <c r="E92" s="364"/>
      <c r="F92" s="367"/>
      <c r="G92" s="364"/>
      <c r="H92" s="368"/>
      <c r="I92" s="368"/>
      <c r="J92" s="363"/>
      <c r="K92" s="363"/>
      <c r="L92" s="363"/>
    </row>
    <row r="93">
      <c r="A93" s="365"/>
      <c r="B93" s="364"/>
      <c r="C93" s="363"/>
      <c r="D93" s="366"/>
      <c r="E93" s="364"/>
      <c r="F93" s="367"/>
      <c r="G93" s="364"/>
      <c r="H93" s="368"/>
      <c r="I93" s="368"/>
      <c r="J93" s="363"/>
      <c r="K93" s="363"/>
      <c r="L93" s="363"/>
    </row>
    <row r="94">
      <c r="A94" s="365"/>
      <c r="B94" s="364"/>
      <c r="C94" s="363"/>
      <c r="D94" s="366"/>
      <c r="E94" s="364"/>
      <c r="F94" s="367"/>
      <c r="G94" s="364"/>
      <c r="H94" s="368"/>
      <c r="I94" s="368"/>
      <c r="J94" s="363"/>
      <c r="K94" s="363"/>
      <c r="L94" s="363"/>
    </row>
    <row r="95">
      <c r="A95" s="365"/>
      <c r="B95" s="364"/>
      <c r="C95" s="363"/>
      <c r="D95" s="366"/>
      <c r="E95" s="364"/>
      <c r="F95" s="367"/>
      <c r="G95" s="364"/>
      <c r="H95" s="368"/>
      <c r="I95" s="368"/>
      <c r="J95" s="363"/>
      <c r="K95" s="363"/>
      <c r="L95" s="363"/>
    </row>
    <row r="96">
      <c r="A96" s="365"/>
      <c r="B96" s="364"/>
      <c r="C96" s="363"/>
      <c r="D96" s="366"/>
      <c r="E96" s="364"/>
      <c r="F96" s="367"/>
      <c r="G96" s="364"/>
      <c r="H96" s="368"/>
      <c r="I96" s="368"/>
      <c r="J96" s="363"/>
      <c r="K96" s="363"/>
      <c r="L96" s="363"/>
    </row>
    <row r="97">
      <c r="A97" s="365"/>
      <c r="B97" s="364"/>
      <c r="C97" s="363"/>
      <c r="D97" s="366"/>
      <c r="E97" s="364"/>
      <c r="F97" s="367"/>
      <c r="G97" s="364"/>
      <c r="H97" s="368"/>
      <c r="I97" s="368"/>
      <c r="J97" s="363"/>
      <c r="K97" s="363"/>
      <c r="L97" s="363"/>
    </row>
    <row r="98">
      <c r="A98" s="365"/>
      <c r="B98" s="364"/>
      <c r="C98" s="363"/>
      <c r="D98" s="366"/>
      <c r="E98" s="364"/>
      <c r="F98" s="367"/>
      <c r="G98" s="364"/>
      <c r="H98" s="368"/>
      <c r="I98" s="368"/>
      <c r="J98" s="363"/>
      <c r="K98" s="363"/>
      <c r="L98" s="363"/>
    </row>
    <row r="99">
      <c r="A99" s="365"/>
      <c r="B99" s="364"/>
      <c r="C99" s="363"/>
      <c r="D99" s="366"/>
      <c r="E99" s="364"/>
      <c r="F99" s="367"/>
      <c r="G99" s="364"/>
      <c r="H99" s="368"/>
      <c r="I99" s="368"/>
      <c r="J99" s="363"/>
      <c r="K99" s="363"/>
      <c r="L99" s="363"/>
    </row>
    <row r="100">
      <c r="A100" s="365"/>
      <c r="B100" s="364"/>
      <c r="C100" s="363"/>
      <c r="D100" s="366"/>
      <c r="E100" s="364"/>
      <c r="F100" s="367"/>
      <c r="G100" s="364"/>
      <c r="H100" s="368"/>
      <c r="I100" s="368"/>
      <c r="J100" s="363"/>
      <c r="K100" s="363"/>
      <c r="L100" s="363"/>
    </row>
    <row r="101">
      <c r="A101" s="365"/>
      <c r="B101" s="364"/>
      <c r="C101" s="363"/>
      <c r="D101" s="366"/>
      <c r="E101" s="364"/>
      <c r="F101" s="367"/>
      <c r="G101" s="364"/>
      <c r="H101" s="368"/>
      <c r="I101" s="368"/>
      <c r="J101" s="363"/>
      <c r="K101" s="363"/>
      <c r="L101" s="363"/>
    </row>
    <row r="102">
      <c r="A102" s="365"/>
      <c r="B102" s="364"/>
      <c r="C102" s="363"/>
      <c r="D102" s="366"/>
      <c r="E102" s="364"/>
      <c r="F102" s="367"/>
      <c r="G102" s="364"/>
      <c r="H102" s="368"/>
      <c r="I102" s="368"/>
      <c r="J102" s="363"/>
      <c r="K102" s="363"/>
      <c r="L102" s="363"/>
    </row>
    <row r="103">
      <c r="A103" s="365"/>
      <c r="B103" s="364"/>
      <c r="C103" s="363"/>
      <c r="D103" s="366"/>
      <c r="E103" s="364"/>
      <c r="F103" s="367"/>
      <c r="G103" s="364"/>
      <c r="H103" s="368"/>
      <c r="I103" s="368"/>
      <c r="J103" s="363"/>
      <c r="K103" s="363"/>
      <c r="L103" s="363"/>
    </row>
    <row r="104">
      <c r="A104" s="365"/>
      <c r="B104" s="364"/>
      <c r="C104" s="363"/>
      <c r="D104" s="366"/>
      <c r="E104" s="364"/>
      <c r="F104" s="367"/>
      <c r="G104" s="364"/>
      <c r="H104" s="368"/>
      <c r="I104" s="368"/>
      <c r="J104" s="363"/>
      <c r="K104" s="363"/>
      <c r="L104" s="363"/>
    </row>
    <row r="105">
      <c r="A105" s="365"/>
      <c r="B105" s="364"/>
      <c r="C105" s="363"/>
      <c r="D105" s="366"/>
      <c r="E105" s="364"/>
      <c r="F105" s="367"/>
      <c r="G105" s="364"/>
      <c r="H105" s="368"/>
      <c r="I105" s="368"/>
      <c r="J105" s="363"/>
      <c r="K105" s="363"/>
      <c r="L105" s="363"/>
    </row>
    <row r="106">
      <c r="A106" s="365"/>
      <c r="B106" s="364"/>
      <c r="C106" s="363"/>
      <c r="D106" s="366"/>
      <c r="E106" s="364"/>
      <c r="F106" s="367"/>
      <c r="G106" s="364"/>
      <c r="H106" s="368"/>
      <c r="I106" s="368"/>
      <c r="J106" s="363"/>
      <c r="K106" s="363"/>
      <c r="L106" s="363"/>
    </row>
    <row r="107">
      <c r="A107" s="365"/>
      <c r="B107" s="364"/>
      <c r="C107" s="363"/>
      <c r="D107" s="366"/>
      <c r="E107" s="364"/>
      <c r="F107" s="367"/>
      <c r="G107" s="364"/>
      <c r="H107" s="368"/>
      <c r="I107" s="368"/>
      <c r="J107" s="363"/>
      <c r="K107" s="363"/>
      <c r="L107" s="363"/>
    </row>
    <row r="108">
      <c r="A108" s="365"/>
      <c r="B108" s="364"/>
      <c r="C108" s="363"/>
      <c r="D108" s="366"/>
      <c r="E108" s="364"/>
      <c r="F108" s="367"/>
      <c r="G108" s="364"/>
      <c r="H108" s="368"/>
      <c r="I108" s="368"/>
      <c r="J108" s="363"/>
      <c r="K108" s="363"/>
      <c r="L108" s="363"/>
    </row>
    <row r="109">
      <c r="A109" s="365"/>
      <c r="B109" s="364"/>
      <c r="C109" s="363"/>
      <c r="D109" s="366"/>
      <c r="E109" s="364"/>
      <c r="F109" s="367"/>
      <c r="G109" s="364"/>
      <c r="H109" s="368"/>
      <c r="I109" s="368"/>
      <c r="J109" s="363"/>
      <c r="K109" s="363"/>
      <c r="L109" s="363"/>
    </row>
    <row r="110">
      <c r="A110" s="365"/>
      <c r="B110" s="364"/>
      <c r="C110" s="363"/>
      <c r="D110" s="366"/>
      <c r="E110" s="364"/>
      <c r="F110" s="367"/>
      <c r="G110" s="364"/>
      <c r="H110" s="368"/>
      <c r="I110" s="368"/>
      <c r="J110" s="363"/>
      <c r="K110" s="363"/>
      <c r="L110" s="363"/>
    </row>
    <row r="111">
      <c r="A111" s="365"/>
      <c r="B111" s="364"/>
      <c r="C111" s="363"/>
      <c r="D111" s="366"/>
      <c r="E111" s="364"/>
      <c r="F111" s="367"/>
      <c r="G111" s="364"/>
      <c r="H111" s="368"/>
      <c r="I111" s="368"/>
      <c r="J111" s="363"/>
      <c r="K111" s="363"/>
      <c r="L111" s="363"/>
    </row>
    <row r="112">
      <c r="A112" s="365"/>
      <c r="B112" s="364"/>
      <c r="C112" s="363"/>
      <c r="D112" s="366"/>
      <c r="E112" s="364"/>
      <c r="F112" s="367"/>
      <c r="G112" s="364"/>
      <c r="H112" s="368"/>
      <c r="I112" s="368"/>
      <c r="J112" s="363"/>
      <c r="K112" s="363"/>
      <c r="L112" s="363"/>
    </row>
    <row r="113">
      <c r="A113" s="365"/>
      <c r="B113" s="364"/>
      <c r="C113" s="363"/>
      <c r="D113" s="366"/>
      <c r="E113" s="364"/>
      <c r="F113" s="367"/>
      <c r="G113" s="364"/>
      <c r="H113" s="368"/>
      <c r="I113" s="368"/>
      <c r="J113" s="363"/>
      <c r="K113" s="363"/>
      <c r="L113" s="363"/>
    </row>
    <row r="114">
      <c r="A114" s="365"/>
      <c r="B114" s="364"/>
      <c r="C114" s="363"/>
      <c r="D114" s="366"/>
      <c r="E114" s="364"/>
      <c r="F114" s="367"/>
      <c r="G114" s="364"/>
      <c r="H114" s="368"/>
      <c r="I114" s="368"/>
      <c r="J114" s="363"/>
      <c r="K114" s="363"/>
      <c r="L114" s="363"/>
    </row>
    <row r="115">
      <c r="A115" s="365"/>
      <c r="B115" s="364"/>
      <c r="C115" s="363"/>
      <c r="D115" s="366"/>
      <c r="E115" s="364"/>
      <c r="F115" s="367"/>
      <c r="G115" s="364"/>
      <c r="H115" s="368"/>
      <c r="I115" s="368"/>
      <c r="J115" s="363"/>
      <c r="K115" s="363"/>
      <c r="L115" s="363"/>
    </row>
    <row r="116">
      <c r="A116" s="365"/>
      <c r="B116" s="364"/>
      <c r="C116" s="363"/>
      <c r="D116" s="366"/>
      <c r="E116" s="364"/>
      <c r="F116" s="367"/>
      <c r="G116" s="364"/>
      <c r="H116" s="368"/>
      <c r="I116" s="368"/>
      <c r="J116" s="363"/>
      <c r="K116" s="363"/>
      <c r="L116" s="363"/>
    </row>
    <row r="117">
      <c r="A117" s="365"/>
      <c r="B117" s="364"/>
      <c r="C117" s="363"/>
      <c r="D117" s="366"/>
      <c r="E117" s="364"/>
      <c r="F117" s="367"/>
      <c r="G117" s="364"/>
      <c r="H117" s="368"/>
      <c r="I117" s="368"/>
      <c r="J117" s="363"/>
      <c r="K117" s="363"/>
      <c r="L117" s="363"/>
    </row>
    <row r="118">
      <c r="A118" s="365"/>
      <c r="B118" s="364"/>
      <c r="C118" s="363"/>
      <c r="D118" s="366"/>
      <c r="E118" s="364"/>
      <c r="F118" s="367"/>
      <c r="G118" s="364"/>
      <c r="H118" s="368"/>
      <c r="I118" s="368"/>
      <c r="J118" s="363"/>
      <c r="K118" s="363"/>
      <c r="L118" s="363"/>
    </row>
    <row r="119">
      <c r="A119" s="365"/>
      <c r="B119" s="364"/>
      <c r="C119" s="363"/>
      <c r="D119" s="366"/>
      <c r="E119" s="364"/>
      <c r="F119" s="367"/>
      <c r="G119" s="364"/>
      <c r="H119" s="368"/>
      <c r="I119" s="368"/>
      <c r="J119" s="363"/>
      <c r="K119" s="363"/>
      <c r="L119" s="363"/>
    </row>
    <row r="120">
      <c r="A120" s="365"/>
      <c r="B120" s="364"/>
      <c r="C120" s="363"/>
      <c r="D120" s="366"/>
      <c r="E120" s="364"/>
      <c r="F120" s="367"/>
      <c r="G120" s="364"/>
      <c r="H120" s="368"/>
      <c r="I120" s="368"/>
      <c r="J120" s="363"/>
      <c r="K120" s="363"/>
      <c r="L120" s="363"/>
    </row>
    <row r="121">
      <c r="A121" s="365"/>
      <c r="B121" s="364"/>
      <c r="C121" s="363"/>
      <c r="D121" s="366"/>
      <c r="E121" s="364"/>
      <c r="F121" s="367"/>
      <c r="G121" s="364"/>
      <c r="H121" s="368"/>
      <c r="I121" s="368"/>
      <c r="J121" s="363"/>
      <c r="K121" s="363"/>
      <c r="L121" s="363"/>
    </row>
    <row r="122">
      <c r="A122" s="365"/>
      <c r="B122" s="364"/>
      <c r="C122" s="363"/>
      <c r="D122" s="366"/>
      <c r="E122" s="364"/>
      <c r="F122" s="367"/>
      <c r="G122" s="364"/>
      <c r="H122" s="368"/>
      <c r="I122" s="368"/>
      <c r="J122" s="363"/>
      <c r="K122" s="363"/>
      <c r="L122" s="363"/>
    </row>
    <row r="123">
      <c r="A123" s="365"/>
      <c r="B123" s="364"/>
      <c r="C123" s="363"/>
      <c r="D123" s="366"/>
      <c r="E123" s="364"/>
      <c r="F123" s="367"/>
      <c r="G123" s="364"/>
      <c r="H123" s="368"/>
      <c r="I123" s="368"/>
      <c r="J123" s="363"/>
      <c r="K123" s="363"/>
      <c r="L123" s="363"/>
    </row>
    <row r="124">
      <c r="A124" s="365"/>
      <c r="B124" s="364"/>
      <c r="C124" s="363"/>
      <c r="D124" s="366"/>
      <c r="E124" s="364"/>
      <c r="F124" s="367"/>
      <c r="G124" s="364"/>
      <c r="H124" s="368"/>
      <c r="I124" s="368"/>
      <c r="J124" s="363"/>
      <c r="K124" s="363"/>
      <c r="L124" s="363"/>
    </row>
    <row r="125">
      <c r="A125" s="365"/>
      <c r="B125" s="364"/>
      <c r="C125" s="363"/>
      <c r="D125" s="366"/>
      <c r="E125" s="364"/>
      <c r="F125" s="367"/>
      <c r="G125" s="364"/>
      <c r="H125" s="368"/>
      <c r="I125" s="368"/>
      <c r="J125" s="363"/>
      <c r="K125" s="363"/>
      <c r="L125" s="363"/>
    </row>
    <row r="126">
      <c r="A126" s="365"/>
      <c r="B126" s="364"/>
      <c r="C126" s="363"/>
      <c r="D126" s="366"/>
      <c r="E126" s="364"/>
      <c r="F126" s="367"/>
      <c r="G126" s="364"/>
      <c r="H126" s="368"/>
      <c r="I126" s="368"/>
      <c r="J126" s="363"/>
      <c r="K126" s="363"/>
      <c r="L126" s="363"/>
    </row>
    <row r="127">
      <c r="A127" s="365"/>
      <c r="B127" s="364"/>
      <c r="C127" s="363"/>
      <c r="D127" s="366"/>
      <c r="E127" s="364"/>
      <c r="F127" s="367"/>
      <c r="G127" s="364"/>
      <c r="H127" s="368"/>
      <c r="I127" s="368"/>
      <c r="J127" s="363"/>
      <c r="K127" s="363"/>
      <c r="L127" s="363"/>
    </row>
    <row r="128">
      <c r="A128" s="365"/>
      <c r="B128" s="364"/>
      <c r="C128" s="363"/>
      <c r="D128" s="366"/>
      <c r="E128" s="364"/>
      <c r="F128" s="367"/>
      <c r="G128" s="364"/>
      <c r="H128" s="368"/>
      <c r="I128" s="368"/>
      <c r="J128" s="363"/>
      <c r="K128" s="363"/>
      <c r="L128" s="363"/>
    </row>
    <row r="129">
      <c r="A129" s="365"/>
      <c r="B129" s="364"/>
      <c r="C129" s="363"/>
      <c r="D129" s="366"/>
      <c r="E129" s="364"/>
      <c r="F129" s="367"/>
      <c r="G129" s="364"/>
      <c r="H129" s="368"/>
      <c r="I129" s="368"/>
      <c r="J129" s="363"/>
      <c r="K129" s="363"/>
      <c r="L129" s="363"/>
    </row>
    <row r="130">
      <c r="A130" s="365"/>
      <c r="B130" s="364"/>
      <c r="C130" s="363"/>
      <c r="D130" s="366"/>
      <c r="E130" s="364"/>
      <c r="F130" s="367"/>
      <c r="G130" s="364"/>
      <c r="H130" s="368"/>
      <c r="I130" s="368"/>
      <c r="J130" s="363"/>
      <c r="K130" s="363"/>
      <c r="L130" s="363"/>
    </row>
    <row r="131">
      <c r="A131" s="365"/>
      <c r="B131" s="364"/>
      <c r="C131" s="363"/>
      <c r="D131" s="366"/>
      <c r="E131" s="364"/>
      <c r="F131" s="367"/>
      <c r="G131" s="364"/>
      <c r="H131" s="368"/>
      <c r="I131" s="368"/>
      <c r="J131" s="363"/>
      <c r="K131" s="363"/>
      <c r="L131" s="363"/>
    </row>
    <row r="132">
      <c r="A132" s="365"/>
      <c r="B132" s="364"/>
      <c r="C132" s="363"/>
      <c r="D132" s="366"/>
      <c r="E132" s="364"/>
      <c r="F132" s="367"/>
      <c r="G132" s="364"/>
      <c r="H132" s="368"/>
      <c r="I132" s="368"/>
      <c r="J132" s="363"/>
      <c r="K132" s="363"/>
      <c r="L132" s="363"/>
    </row>
    <row r="133">
      <c r="A133" s="365"/>
      <c r="B133" s="364"/>
      <c r="C133" s="363"/>
      <c r="D133" s="366"/>
      <c r="E133" s="364"/>
      <c r="F133" s="367"/>
      <c r="G133" s="364"/>
      <c r="H133" s="368"/>
      <c r="I133" s="368"/>
      <c r="J133" s="363"/>
      <c r="K133" s="363"/>
      <c r="L133" s="363"/>
    </row>
    <row r="134">
      <c r="A134" s="365"/>
      <c r="B134" s="364"/>
      <c r="C134" s="363"/>
      <c r="D134" s="366"/>
      <c r="E134" s="364"/>
      <c r="F134" s="367"/>
      <c r="G134" s="364"/>
      <c r="H134" s="368"/>
      <c r="I134" s="368"/>
      <c r="J134" s="363"/>
      <c r="K134" s="363"/>
      <c r="L134" s="363"/>
    </row>
    <row r="135">
      <c r="A135" s="365"/>
      <c r="B135" s="364"/>
      <c r="C135" s="363"/>
      <c r="D135" s="366"/>
      <c r="E135" s="364"/>
      <c r="F135" s="367"/>
      <c r="G135" s="364"/>
      <c r="H135" s="368"/>
      <c r="I135" s="368"/>
      <c r="J135" s="363"/>
      <c r="K135" s="363"/>
      <c r="L135" s="363"/>
    </row>
    <row r="136">
      <c r="A136" s="365"/>
      <c r="B136" s="364"/>
      <c r="C136" s="363"/>
      <c r="D136" s="366"/>
      <c r="E136" s="364"/>
      <c r="F136" s="367"/>
      <c r="G136" s="364"/>
      <c r="H136" s="368"/>
      <c r="I136" s="368"/>
      <c r="J136" s="363"/>
      <c r="K136" s="363"/>
      <c r="L136" s="363"/>
    </row>
    <row r="137">
      <c r="A137" s="365"/>
      <c r="B137" s="364"/>
      <c r="C137" s="363"/>
      <c r="D137" s="366"/>
      <c r="E137" s="364"/>
      <c r="F137" s="367"/>
      <c r="G137" s="364"/>
      <c r="H137" s="368"/>
      <c r="I137" s="368"/>
      <c r="J137" s="363"/>
      <c r="K137" s="363"/>
      <c r="L137" s="363"/>
    </row>
    <row r="138">
      <c r="A138" s="365"/>
      <c r="B138" s="364"/>
      <c r="C138" s="363"/>
      <c r="D138" s="366"/>
      <c r="E138" s="364"/>
      <c r="F138" s="367"/>
      <c r="G138" s="364"/>
      <c r="H138" s="368"/>
      <c r="I138" s="368"/>
      <c r="J138" s="363"/>
      <c r="K138" s="363"/>
      <c r="L138" s="363"/>
    </row>
    <row r="139">
      <c r="A139" s="365"/>
      <c r="B139" s="364"/>
      <c r="C139" s="363"/>
      <c r="D139" s="366"/>
      <c r="E139" s="364"/>
      <c r="F139" s="367"/>
      <c r="G139" s="364"/>
      <c r="H139" s="368"/>
      <c r="I139" s="368"/>
      <c r="J139" s="363"/>
      <c r="K139" s="363"/>
      <c r="L139" s="363"/>
    </row>
    <row r="140">
      <c r="A140" s="365"/>
      <c r="B140" s="364"/>
      <c r="C140" s="363"/>
      <c r="D140" s="366"/>
      <c r="E140" s="364"/>
      <c r="F140" s="367"/>
      <c r="G140" s="364"/>
      <c r="H140" s="368"/>
      <c r="I140" s="368"/>
      <c r="J140" s="363"/>
      <c r="K140" s="363"/>
      <c r="L140" s="363"/>
    </row>
    <row r="141">
      <c r="A141" s="365"/>
      <c r="B141" s="364"/>
      <c r="C141" s="363"/>
      <c r="D141" s="366"/>
      <c r="E141" s="364"/>
      <c r="F141" s="367"/>
      <c r="G141" s="364"/>
      <c r="H141" s="368"/>
      <c r="I141" s="368"/>
      <c r="J141" s="363"/>
      <c r="K141" s="363"/>
      <c r="L141" s="363"/>
    </row>
    <row r="142">
      <c r="A142" s="365"/>
      <c r="B142" s="364"/>
      <c r="C142" s="363"/>
      <c r="D142" s="366"/>
      <c r="E142" s="364"/>
      <c r="F142" s="367"/>
      <c r="G142" s="364"/>
      <c r="H142" s="368"/>
      <c r="I142" s="368"/>
      <c r="J142" s="363"/>
      <c r="K142" s="363"/>
      <c r="L142" s="363"/>
    </row>
    <row r="143">
      <c r="A143" s="365"/>
      <c r="B143" s="364"/>
      <c r="C143" s="363"/>
      <c r="D143" s="366"/>
      <c r="E143" s="364"/>
      <c r="F143" s="367"/>
      <c r="G143" s="364"/>
      <c r="H143" s="368"/>
      <c r="I143" s="368"/>
      <c r="J143" s="363"/>
      <c r="K143" s="363"/>
      <c r="L143" s="363"/>
    </row>
    <row r="144">
      <c r="A144" s="365"/>
      <c r="B144" s="364"/>
      <c r="C144" s="363"/>
      <c r="D144" s="366"/>
      <c r="E144" s="364"/>
      <c r="F144" s="367"/>
      <c r="G144" s="364"/>
      <c r="H144" s="368"/>
      <c r="I144" s="368"/>
      <c r="J144" s="363"/>
      <c r="K144" s="363"/>
      <c r="L144" s="363"/>
    </row>
    <row r="145">
      <c r="A145" s="365"/>
      <c r="B145" s="364"/>
      <c r="C145" s="363"/>
      <c r="D145" s="366"/>
      <c r="E145" s="364"/>
      <c r="F145" s="367"/>
      <c r="G145" s="364"/>
      <c r="H145" s="368"/>
      <c r="I145" s="368"/>
      <c r="J145" s="363"/>
      <c r="K145" s="363"/>
      <c r="L145" s="363"/>
    </row>
    <row r="146">
      <c r="A146" s="365"/>
      <c r="B146" s="364"/>
      <c r="C146" s="363"/>
      <c r="D146" s="366"/>
      <c r="E146" s="364"/>
      <c r="F146" s="367"/>
      <c r="G146" s="364"/>
      <c r="H146" s="368"/>
      <c r="I146" s="368"/>
      <c r="J146" s="363"/>
      <c r="K146" s="363"/>
      <c r="L146" s="363"/>
    </row>
    <row r="147">
      <c r="A147" s="365"/>
      <c r="B147" s="364"/>
      <c r="C147" s="363"/>
      <c r="D147" s="366"/>
      <c r="E147" s="364"/>
      <c r="F147" s="367"/>
      <c r="G147" s="364"/>
      <c r="H147" s="368"/>
      <c r="I147" s="368"/>
      <c r="J147" s="363"/>
      <c r="K147" s="363"/>
      <c r="L147" s="363"/>
    </row>
    <row r="148">
      <c r="A148" s="365"/>
      <c r="B148" s="364"/>
      <c r="C148" s="363"/>
      <c r="D148" s="366"/>
      <c r="E148" s="364"/>
      <c r="F148" s="367"/>
      <c r="G148" s="364"/>
      <c r="H148" s="368"/>
      <c r="I148" s="368"/>
      <c r="J148" s="363"/>
      <c r="K148" s="363"/>
      <c r="L148" s="363"/>
    </row>
    <row r="149">
      <c r="A149" s="365"/>
      <c r="B149" s="364"/>
      <c r="C149" s="363"/>
      <c r="D149" s="366"/>
      <c r="E149" s="364"/>
      <c r="F149" s="367"/>
      <c r="G149" s="364"/>
      <c r="H149" s="368"/>
      <c r="I149" s="368"/>
      <c r="J149" s="363"/>
      <c r="K149" s="363"/>
      <c r="L149" s="363"/>
    </row>
    <row r="150">
      <c r="A150" s="365"/>
      <c r="B150" s="364"/>
      <c r="C150" s="363"/>
      <c r="D150" s="366"/>
      <c r="E150" s="364"/>
      <c r="F150" s="367"/>
      <c r="G150" s="364"/>
      <c r="H150" s="368"/>
      <c r="I150" s="368"/>
      <c r="J150" s="363"/>
      <c r="K150" s="363"/>
      <c r="L150" s="363"/>
    </row>
    <row r="151">
      <c r="A151" s="365"/>
      <c r="B151" s="364"/>
      <c r="C151" s="363"/>
      <c r="D151" s="366"/>
      <c r="E151" s="364"/>
      <c r="F151" s="367"/>
      <c r="G151" s="364"/>
      <c r="H151" s="368"/>
      <c r="I151" s="368"/>
      <c r="J151" s="363"/>
      <c r="K151" s="363"/>
      <c r="L151" s="363"/>
    </row>
    <row r="152">
      <c r="A152" s="365"/>
      <c r="B152" s="364"/>
      <c r="C152" s="363"/>
      <c r="D152" s="366"/>
      <c r="E152" s="364"/>
      <c r="F152" s="367"/>
      <c r="G152" s="364"/>
      <c r="H152" s="368"/>
      <c r="I152" s="368"/>
      <c r="J152" s="363"/>
      <c r="K152" s="363"/>
      <c r="L152" s="363"/>
    </row>
    <row r="153">
      <c r="A153" s="365"/>
      <c r="B153" s="364"/>
      <c r="C153" s="363"/>
      <c r="D153" s="366"/>
      <c r="E153" s="364"/>
      <c r="F153" s="367"/>
      <c r="G153" s="364"/>
      <c r="H153" s="368"/>
      <c r="I153" s="368"/>
      <c r="J153" s="363"/>
      <c r="K153" s="363"/>
      <c r="L153" s="363"/>
    </row>
    <row r="154">
      <c r="A154" s="365"/>
      <c r="B154" s="364"/>
      <c r="C154" s="363"/>
      <c r="D154" s="366"/>
      <c r="E154" s="364"/>
      <c r="F154" s="367"/>
      <c r="G154" s="364"/>
      <c r="H154" s="368"/>
      <c r="I154" s="368"/>
      <c r="J154" s="363"/>
      <c r="K154" s="363"/>
      <c r="L154" s="363"/>
    </row>
    <row r="155">
      <c r="A155" s="365"/>
      <c r="B155" s="364"/>
      <c r="C155" s="363"/>
      <c r="D155" s="366"/>
      <c r="E155" s="364"/>
      <c r="F155" s="367"/>
      <c r="G155" s="364"/>
      <c r="H155" s="368"/>
      <c r="I155" s="368"/>
      <c r="J155" s="363"/>
      <c r="K155" s="363"/>
      <c r="L155" s="363"/>
    </row>
    <row r="156">
      <c r="A156" s="365"/>
      <c r="B156" s="364"/>
      <c r="C156" s="363"/>
      <c r="D156" s="366"/>
      <c r="E156" s="364"/>
      <c r="F156" s="367"/>
      <c r="G156" s="364"/>
      <c r="H156" s="368"/>
      <c r="I156" s="368"/>
      <c r="J156" s="363"/>
      <c r="K156" s="363"/>
      <c r="L156" s="363"/>
    </row>
    <row r="157">
      <c r="A157" s="365"/>
      <c r="B157" s="364"/>
      <c r="C157" s="363"/>
      <c r="D157" s="366"/>
      <c r="E157" s="364"/>
      <c r="F157" s="367"/>
      <c r="G157" s="364"/>
      <c r="H157" s="368"/>
      <c r="I157" s="368"/>
      <c r="J157" s="363"/>
      <c r="K157" s="363"/>
      <c r="L157" s="363"/>
    </row>
    <row r="158">
      <c r="A158" s="365"/>
      <c r="B158" s="364"/>
      <c r="C158" s="363"/>
      <c r="D158" s="366"/>
      <c r="E158" s="364"/>
      <c r="F158" s="367"/>
      <c r="G158" s="364"/>
      <c r="H158" s="368"/>
      <c r="I158" s="368"/>
      <c r="J158" s="363"/>
      <c r="K158" s="363"/>
      <c r="L158" s="363"/>
    </row>
    <row r="159">
      <c r="A159" s="365"/>
      <c r="B159" s="364"/>
      <c r="C159" s="363"/>
      <c r="D159" s="366"/>
      <c r="E159" s="364"/>
      <c r="F159" s="367"/>
      <c r="G159" s="364"/>
      <c r="H159" s="368"/>
      <c r="I159" s="368"/>
      <c r="J159" s="363"/>
      <c r="K159" s="363"/>
      <c r="L159" s="363"/>
    </row>
    <row r="160">
      <c r="A160" s="365"/>
      <c r="B160" s="364"/>
      <c r="C160" s="363"/>
      <c r="D160" s="366"/>
      <c r="E160" s="364"/>
      <c r="F160" s="367"/>
      <c r="G160" s="364"/>
      <c r="H160" s="368"/>
      <c r="I160" s="368"/>
      <c r="J160" s="363"/>
      <c r="K160" s="363"/>
      <c r="L160" s="363"/>
    </row>
    <row r="161">
      <c r="A161" s="365"/>
      <c r="B161" s="364"/>
      <c r="C161" s="363"/>
      <c r="D161" s="366"/>
      <c r="E161" s="364"/>
      <c r="F161" s="367"/>
      <c r="G161" s="364"/>
      <c r="H161" s="368"/>
      <c r="I161" s="368"/>
      <c r="J161" s="363"/>
      <c r="K161" s="363"/>
      <c r="L161" s="363"/>
    </row>
    <row r="162">
      <c r="A162" s="365"/>
      <c r="B162" s="364"/>
      <c r="C162" s="363"/>
      <c r="D162" s="366"/>
      <c r="E162" s="364"/>
      <c r="F162" s="367"/>
      <c r="G162" s="364"/>
      <c r="H162" s="368"/>
      <c r="I162" s="368"/>
      <c r="J162" s="363"/>
      <c r="K162" s="363"/>
      <c r="L162" s="363"/>
    </row>
    <row r="163">
      <c r="A163" s="365"/>
      <c r="B163" s="364"/>
      <c r="C163" s="363"/>
      <c r="D163" s="366"/>
      <c r="E163" s="364"/>
      <c r="F163" s="367"/>
      <c r="G163" s="364"/>
      <c r="H163" s="368"/>
      <c r="I163" s="368"/>
      <c r="J163" s="363"/>
      <c r="K163" s="363"/>
      <c r="L163" s="363"/>
    </row>
    <row r="164">
      <c r="A164" s="365"/>
      <c r="B164" s="364"/>
      <c r="C164" s="363"/>
      <c r="D164" s="366"/>
      <c r="E164" s="364"/>
      <c r="F164" s="367"/>
      <c r="G164" s="364"/>
      <c r="H164" s="368"/>
      <c r="I164" s="368"/>
      <c r="J164" s="363"/>
      <c r="K164" s="363"/>
      <c r="L164" s="363"/>
    </row>
    <row r="165">
      <c r="A165" s="365"/>
      <c r="B165" s="364"/>
      <c r="C165" s="363"/>
      <c r="D165" s="366"/>
      <c r="E165" s="364"/>
      <c r="F165" s="367"/>
      <c r="G165" s="364"/>
      <c r="H165" s="368"/>
      <c r="I165" s="368"/>
      <c r="J165" s="363"/>
      <c r="K165" s="363"/>
      <c r="L165" s="363"/>
    </row>
    <row r="166">
      <c r="A166" s="365"/>
      <c r="B166" s="364"/>
      <c r="C166" s="363"/>
      <c r="D166" s="366"/>
      <c r="E166" s="364"/>
      <c r="F166" s="367"/>
      <c r="G166" s="364"/>
      <c r="H166" s="368"/>
      <c r="I166" s="368"/>
      <c r="J166" s="363"/>
      <c r="K166" s="363"/>
      <c r="L166" s="363"/>
    </row>
    <row r="167">
      <c r="A167" s="365"/>
      <c r="B167" s="364"/>
      <c r="C167" s="363"/>
      <c r="D167" s="366"/>
      <c r="E167" s="364"/>
      <c r="F167" s="367"/>
      <c r="G167" s="364"/>
      <c r="H167" s="368"/>
      <c r="I167" s="368"/>
      <c r="J167" s="363"/>
      <c r="K167" s="363"/>
      <c r="L167" s="363"/>
    </row>
    <row r="168">
      <c r="A168" s="365"/>
      <c r="B168" s="364"/>
      <c r="C168" s="363"/>
      <c r="D168" s="366"/>
      <c r="E168" s="364"/>
      <c r="F168" s="367"/>
      <c r="G168" s="364"/>
      <c r="H168" s="368"/>
      <c r="I168" s="368"/>
      <c r="J168" s="363"/>
      <c r="K168" s="363"/>
      <c r="L168" s="363"/>
    </row>
    <row r="169">
      <c r="A169" s="365"/>
      <c r="B169" s="364"/>
      <c r="C169" s="363"/>
      <c r="D169" s="366"/>
      <c r="E169" s="364"/>
      <c r="F169" s="367"/>
      <c r="G169" s="364"/>
      <c r="H169" s="368"/>
      <c r="I169" s="368"/>
      <c r="J169" s="363"/>
      <c r="K169" s="363"/>
      <c r="L169" s="363"/>
    </row>
    <row r="170">
      <c r="A170" s="365"/>
      <c r="B170" s="364"/>
      <c r="C170" s="363"/>
      <c r="D170" s="366"/>
      <c r="E170" s="364"/>
      <c r="F170" s="367"/>
      <c r="G170" s="364"/>
      <c r="H170" s="368"/>
      <c r="I170" s="368"/>
      <c r="J170" s="363"/>
      <c r="K170" s="363"/>
      <c r="L170" s="363"/>
    </row>
    <row r="171">
      <c r="A171" s="365"/>
      <c r="B171" s="364"/>
      <c r="C171" s="363"/>
      <c r="D171" s="366"/>
      <c r="E171" s="364"/>
      <c r="F171" s="367"/>
      <c r="G171" s="364"/>
      <c r="H171" s="368"/>
      <c r="I171" s="368"/>
      <c r="J171" s="363"/>
      <c r="K171" s="363"/>
      <c r="L171" s="363"/>
    </row>
    <row r="172">
      <c r="A172" s="365"/>
      <c r="B172" s="364"/>
      <c r="C172" s="363"/>
      <c r="D172" s="366"/>
      <c r="E172" s="364"/>
      <c r="F172" s="367"/>
      <c r="G172" s="364"/>
      <c r="H172" s="368"/>
      <c r="I172" s="368"/>
      <c r="J172" s="363"/>
      <c r="K172" s="363"/>
      <c r="L172" s="363"/>
    </row>
    <row r="173">
      <c r="A173" s="365"/>
      <c r="B173" s="364"/>
      <c r="C173" s="363"/>
      <c r="D173" s="366"/>
      <c r="E173" s="364"/>
      <c r="F173" s="367"/>
      <c r="G173" s="364"/>
      <c r="H173" s="368"/>
      <c r="I173" s="368"/>
      <c r="J173" s="363"/>
      <c r="K173" s="363"/>
      <c r="L173" s="363"/>
    </row>
    <row r="174">
      <c r="A174" s="365"/>
      <c r="B174" s="364"/>
      <c r="C174" s="363"/>
      <c r="D174" s="366"/>
      <c r="E174" s="364"/>
      <c r="F174" s="367"/>
      <c r="G174" s="364"/>
      <c r="H174" s="368"/>
      <c r="I174" s="368"/>
      <c r="J174" s="363"/>
      <c r="K174" s="363"/>
      <c r="L174" s="363"/>
    </row>
    <row r="175">
      <c r="A175" s="365"/>
      <c r="B175" s="364"/>
      <c r="C175" s="363"/>
      <c r="D175" s="366"/>
      <c r="E175" s="364"/>
      <c r="F175" s="367"/>
      <c r="G175" s="364"/>
      <c r="H175" s="368"/>
      <c r="I175" s="368"/>
      <c r="J175" s="363"/>
      <c r="K175" s="363"/>
      <c r="L175" s="363"/>
    </row>
    <row r="176">
      <c r="A176" s="365"/>
      <c r="B176" s="364"/>
      <c r="C176" s="363"/>
      <c r="D176" s="366"/>
      <c r="E176" s="364"/>
      <c r="F176" s="367"/>
      <c r="G176" s="364"/>
      <c r="H176" s="368"/>
      <c r="I176" s="368"/>
      <c r="J176" s="363"/>
      <c r="K176" s="363"/>
      <c r="L176" s="363"/>
    </row>
    <row r="177">
      <c r="A177" s="365"/>
      <c r="B177" s="364"/>
      <c r="C177" s="363"/>
      <c r="D177" s="366"/>
      <c r="E177" s="364"/>
      <c r="F177" s="367"/>
      <c r="G177" s="364"/>
      <c r="H177" s="368"/>
      <c r="I177" s="368"/>
      <c r="J177" s="363"/>
      <c r="K177" s="363"/>
      <c r="L177" s="363"/>
    </row>
    <row r="178">
      <c r="A178" s="365"/>
      <c r="B178" s="364"/>
      <c r="C178" s="363"/>
      <c r="D178" s="366"/>
      <c r="E178" s="364"/>
      <c r="F178" s="367"/>
      <c r="G178" s="364"/>
      <c r="H178" s="368"/>
      <c r="I178" s="368"/>
      <c r="J178" s="363"/>
      <c r="K178" s="363"/>
      <c r="L178" s="363"/>
    </row>
    <row r="179">
      <c r="A179" s="365"/>
      <c r="B179" s="364"/>
      <c r="C179" s="363"/>
      <c r="D179" s="366"/>
      <c r="E179" s="364"/>
      <c r="F179" s="367"/>
      <c r="G179" s="364"/>
      <c r="H179" s="368"/>
      <c r="I179" s="368"/>
      <c r="J179" s="363"/>
      <c r="K179" s="363"/>
      <c r="L179" s="363"/>
    </row>
    <row r="180">
      <c r="A180" s="365"/>
      <c r="B180" s="364"/>
      <c r="C180" s="363"/>
      <c r="D180" s="366"/>
      <c r="E180" s="364"/>
      <c r="F180" s="367"/>
      <c r="G180" s="364"/>
      <c r="H180" s="368"/>
      <c r="I180" s="368"/>
      <c r="J180" s="363"/>
      <c r="K180" s="363"/>
      <c r="L180" s="363"/>
    </row>
    <row r="181">
      <c r="A181" s="365"/>
      <c r="B181" s="364"/>
      <c r="C181" s="363"/>
      <c r="D181" s="366"/>
      <c r="E181" s="364"/>
      <c r="F181" s="367"/>
      <c r="G181" s="364"/>
      <c r="H181" s="368"/>
      <c r="I181" s="368"/>
      <c r="J181" s="363"/>
      <c r="K181" s="363"/>
      <c r="L181" s="363"/>
    </row>
    <row r="182">
      <c r="A182" s="365"/>
      <c r="B182" s="364"/>
      <c r="C182" s="363"/>
      <c r="D182" s="366"/>
      <c r="E182" s="364"/>
      <c r="F182" s="367"/>
      <c r="G182" s="364"/>
      <c r="H182" s="368"/>
      <c r="I182" s="368"/>
      <c r="J182" s="363"/>
      <c r="K182" s="363"/>
      <c r="L182" s="363"/>
    </row>
    <row r="183">
      <c r="A183" s="365"/>
      <c r="B183" s="364"/>
      <c r="C183" s="363"/>
      <c r="D183" s="366"/>
      <c r="E183" s="364"/>
      <c r="F183" s="367"/>
      <c r="G183" s="364"/>
      <c r="H183" s="368"/>
      <c r="I183" s="368"/>
      <c r="J183" s="363"/>
      <c r="K183" s="363"/>
      <c r="L183" s="363"/>
    </row>
    <row r="184">
      <c r="A184" s="365"/>
      <c r="B184" s="364"/>
      <c r="C184" s="363"/>
      <c r="D184" s="366"/>
      <c r="E184" s="364"/>
      <c r="F184" s="367"/>
      <c r="G184" s="364"/>
      <c r="H184" s="368"/>
      <c r="I184" s="368"/>
      <c r="J184" s="363"/>
      <c r="K184" s="363"/>
      <c r="L184" s="363"/>
    </row>
    <row r="185">
      <c r="A185" s="365"/>
      <c r="B185" s="364"/>
      <c r="C185" s="363"/>
      <c r="D185" s="366"/>
      <c r="E185" s="364"/>
      <c r="F185" s="367"/>
      <c r="G185" s="364"/>
      <c r="H185" s="368"/>
      <c r="I185" s="368"/>
      <c r="J185" s="363"/>
      <c r="K185" s="363"/>
      <c r="L185" s="363"/>
    </row>
    <row r="186">
      <c r="A186" s="365"/>
      <c r="B186" s="364"/>
      <c r="C186" s="363"/>
      <c r="D186" s="366"/>
      <c r="E186" s="364"/>
      <c r="F186" s="367"/>
      <c r="G186" s="364"/>
      <c r="H186" s="368"/>
      <c r="I186" s="368"/>
      <c r="J186" s="363"/>
      <c r="K186" s="363"/>
      <c r="L186" s="363"/>
    </row>
    <row r="187">
      <c r="A187" s="365"/>
      <c r="B187" s="364"/>
      <c r="C187" s="363"/>
      <c r="D187" s="366"/>
      <c r="E187" s="364"/>
      <c r="F187" s="367"/>
      <c r="G187" s="364"/>
      <c r="H187" s="368"/>
      <c r="I187" s="368"/>
      <c r="J187" s="363"/>
      <c r="K187" s="363"/>
      <c r="L187" s="363"/>
    </row>
    <row r="188">
      <c r="A188" s="365"/>
      <c r="B188" s="364"/>
      <c r="C188" s="363"/>
      <c r="D188" s="366"/>
      <c r="E188" s="364"/>
      <c r="F188" s="367"/>
      <c r="G188" s="364"/>
      <c r="H188" s="368"/>
      <c r="I188" s="368"/>
      <c r="J188" s="363"/>
      <c r="K188" s="363"/>
      <c r="L188" s="363"/>
    </row>
    <row r="189">
      <c r="A189" s="365"/>
      <c r="B189" s="364"/>
      <c r="C189" s="363"/>
      <c r="D189" s="366"/>
      <c r="E189" s="364"/>
      <c r="F189" s="367"/>
      <c r="G189" s="364"/>
      <c r="H189" s="368"/>
      <c r="I189" s="368"/>
      <c r="J189" s="363"/>
      <c r="K189" s="363"/>
      <c r="L189" s="363"/>
    </row>
    <row r="190">
      <c r="A190" s="365"/>
      <c r="B190" s="364"/>
      <c r="C190" s="363"/>
      <c r="D190" s="366"/>
      <c r="E190" s="364"/>
      <c r="F190" s="367"/>
      <c r="G190" s="364"/>
      <c r="H190" s="368"/>
      <c r="I190" s="368"/>
      <c r="J190" s="363"/>
      <c r="K190" s="363"/>
      <c r="L190" s="363"/>
    </row>
    <row r="191">
      <c r="A191" s="365"/>
      <c r="B191" s="364"/>
      <c r="C191" s="363"/>
      <c r="D191" s="366"/>
      <c r="E191" s="364"/>
      <c r="F191" s="367"/>
      <c r="G191" s="364"/>
      <c r="H191" s="368"/>
      <c r="I191" s="368"/>
      <c r="J191" s="363"/>
      <c r="K191" s="363"/>
      <c r="L191" s="363"/>
    </row>
    <row r="192">
      <c r="A192" s="365"/>
      <c r="B192" s="364"/>
      <c r="C192" s="363"/>
      <c r="D192" s="366"/>
      <c r="E192" s="364"/>
      <c r="F192" s="367"/>
      <c r="G192" s="364"/>
      <c r="H192" s="368"/>
      <c r="I192" s="368"/>
      <c r="J192" s="363"/>
      <c r="K192" s="363"/>
      <c r="L192" s="363"/>
    </row>
    <row r="193">
      <c r="A193" s="365"/>
      <c r="B193" s="364"/>
      <c r="C193" s="363"/>
      <c r="D193" s="366"/>
      <c r="E193" s="364"/>
      <c r="F193" s="367"/>
      <c r="G193" s="364"/>
      <c r="H193" s="368"/>
      <c r="I193" s="368"/>
      <c r="J193" s="363"/>
      <c r="K193" s="363"/>
      <c r="L193" s="363"/>
    </row>
    <row r="194">
      <c r="A194" s="365"/>
      <c r="B194" s="364"/>
      <c r="C194" s="363"/>
      <c r="D194" s="366"/>
      <c r="E194" s="364"/>
      <c r="F194" s="367"/>
      <c r="G194" s="364"/>
      <c r="H194" s="368"/>
      <c r="I194" s="368"/>
      <c r="J194" s="363"/>
      <c r="K194" s="363"/>
      <c r="L194" s="363"/>
    </row>
    <row r="195">
      <c r="A195" s="365"/>
      <c r="B195" s="364"/>
      <c r="C195" s="363"/>
      <c r="D195" s="366"/>
      <c r="E195" s="364"/>
      <c r="F195" s="367"/>
      <c r="G195" s="364"/>
      <c r="H195" s="368"/>
      <c r="I195" s="368"/>
      <c r="J195" s="363"/>
      <c r="K195" s="363"/>
      <c r="L195" s="363"/>
    </row>
    <row r="196">
      <c r="A196" s="365"/>
      <c r="B196" s="364"/>
      <c r="C196" s="363"/>
      <c r="D196" s="366"/>
      <c r="E196" s="364"/>
      <c r="F196" s="367"/>
      <c r="G196" s="364"/>
      <c r="H196" s="368"/>
      <c r="I196" s="368"/>
      <c r="J196" s="363"/>
      <c r="K196" s="363"/>
      <c r="L196" s="363"/>
    </row>
    <row r="197">
      <c r="A197" s="365"/>
      <c r="B197" s="364"/>
      <c r="C197" s="363"/>
      <c r="D197" s="366"/>
      <c r="E197" s="364"/>
      <c r="F197" s="367"/>
      <c r="G197" s="364"/>
      <c r="H197" s="368"/>
      <c r="I197" s="368"/>
      <c r="J197" s="363"/>
      <c r="K197" s="363"/>
      <c r="L197" s="363"/>
    </row>
    <row r="198">
      <c r="A198" s="365"/>
      <c r="B198" s="364"/>
      <c r="C198" s="363"/>
      <c r="D198" s="366"/>
      <c r="E198" s="364"/>
      <c r="F198" s="367"/>
      <c r="G198" s="364"/>
      <c r="H198" s="368"/>
      <c r="I198" s="368"/>
      <c r="J198" s="363"/>
      <c r="K198" s="363"/>
      <c r="L198" s="363"/>
    </row>
    <row r="199">
      <c r="A199" s="365"/>
      <c r="B199" s="364"/>
      <c r="C199" s="363"/>
      <c r="D199" s="366"/>
      <c r="E199" s="364"/>
      <c r="F199" s="367"/>
      <c r="G199" s="364"/>
      <c r="H199" s="368"/>
      <c r="I199" s="368"/>
      <c r="J199" s="363"/>
      <c r="K199" s="363"/>
      <c r="L199" s="363"/>
    </row>
    <row r="200">
      <c r="A200" s="365"/>
      <c r="B200" s="364"/>
      <c r="C200" s="363"/>
      <c r="D200" s="366"/>
      <c r="E200" s="364"/>
      <c r="F200" s="367"/>
      <c r="G200" s="364"/>
      <c r="H200" s="368"/>
      <c r="I200" s="368"/>
      <c r="J200" s="363"/>
      <c r="K200" s="363"/>
      <c r="L200" s="363"/>
    </row>
    <row r="201">
      <c r="A201" s="365"/>
      <c r="B201" s="364"/>
      <c r="C201" s="363"/>
      <c r="D201" s="366"/>
      <c r="E201" s="364"/>
      <c r="F201" s="367"/>
      <c r="G201" s="364"/>
      <c r="H201" s="368"/>
      <c r="I201" s="368"/>
      <c r="J201" s="363"/>
      <c r="K201" s="363"/>
      <c r="L201" s="363"/>
    </row>
    <row r="202">
      <c r="A202" s="365"/>
      <c r="B202" s="364"/>
      <c r="C202" s="363"/>
      <c r="D202" s="366"/>
      <c r="E202" s="364"/>
      <c r="F202" s="367"/>
      <c r="G202" s="364"/>
      <c r="H202" s="368"/>
      <c r="I202" s="368"/>
      <c r="J202" s="363"/>
      <c r="K202" s="363"/>
      <c r="L202" s="363"/>
    </row>
    <row r="203">
      <c r="A203" s="365"/>
      <c r="B203" s="364"/>
      <c r="C203" s="363"/>
      <c r="D203" s="366"/>
      <c r="E203" s="364"/>
      <c r="F203" s="367"/>
      <c r="G203" s="364"/>
      <c r="H203" s="368"/>
      <c r="I203" s="368"/>
      <c r="J203" s="363"/>
      <c r="K203" s="363"/>
      <c r="L203" s="363"/>
    </row>
    <row r="204">
      <c r="A204" s="365"/>
      <c r="B204" s="364"/>
      <c r="C204" s="363"/>
      <c r="D204" s="366"/>
      <c r="E204" s="364"/>
      <c r="F204" s="367"/>
      <c r="G204" s="364"/>
      <c r="H204" s="368"/>
      <c r="I204" s="368"/>
      <c r="J204" s="363"/>
      <c r="K204" s="363"/>
      <c r="L204" s="363"/>
    </row>
    <row r="205">
      <c r="A205" s="365"/>
      <c r="B205" s="364"/>
      <c r="C205" s="363"/>
      <c r="D205" s="366"/>
      <c r="E205" s="364"/>
      <c r="F205" s="367"/>
      <c r="G205" s="364"/>
      <c r="H205" s="368"/>
      <c r="I205" s="368"/>
      <c r="J205" s="363"/>
      <c r="K205" s="363"/>
      <c r="L205" s="363"/>
    </row>
    <row r="206">
      <c r="A206" s="44"/>
      <c r="B206" s="369"/>
      <c r="C206" s="44"/>
      <c r="D206" s="370"/>
      <c r="E206" s="369"/>
      <c r="F206" s="371"/>
      <c r="G206" s="369"/>
    </row>
    <row r="207">
      <c r="A207" s="44"/>
      <c r="B207" s="369"/>
      <c r="C207" s="44"/>
      <c r="D207" s="370"/>
      <c r="E207" s="369"/>
      <c r="F207" s="371"/>
      <c r="G207" s="369"/>
    </row>
    <row r="208">
      <c r="A208" s="44"/>
      <c r="B208" s="369"/>
      <c r="C208" s="44"/>
      <c r="D208" s="370"/>
      <c r="E208" s="369"/>
      <c r="F208" s="371"/>
      <c r="G208" s="369"/>
    </row>
    <row r="209">
      <c r="A209" s="44"/>
      <c r="B209" s="369"/>
      <c r="C209" s="44"/>
      <c r="D209" s="370"/>
      <c r="E209" s="369"/>
      <c r="F209" s="371"/>
      <c r="G209" s="369"/>
    </row>
    <row r="210">
      <c r="A210" s="44"/>
      <c r="B210" s="369"/>
      <c r="C210" s="44"/>
      <c r="D210" s="370"/>
      <c r="E210" s="369"/>
      <c r="F210" s="371"/>
      <c r="G210" s="369"/>
    </row>
    <row r="211">
      <c r="A211" s="44"/>
      <c r="B211" s="369"/>
      <c r="C211" s="44"/>
      <c r="D211" s="370"/>
      <c r="E211" s="369"/>
      <c r="F211" s="371"/>
      <c r="G211" s="369"/>
    </row>
    <row r="212">
      <c r="A212" s="44"/>
      <c r="B212" s="369"/>
      <c r="C212" s="44"/>
      <c r="D212" s="370"/>
      <c r="E212" s="369"/>
      <c r="F212" s="371"/>
      <c r="G212" s="369"/>
    </row>
    <row r="213">
      <c r="A213" s="44"/>
      <c r="B213" s="369"/>
      <c r="C213" s="44"/>
      <c r="D213" s="370"/>
      <c r="E213" s="369"/>
      <c r="F213" s="371"/>
      <c r="G213" s="369"/>
    </row>
    <row r="214">
      <c r="A214" s="44"/>
      <c r="B214" s="369"/>
      <c r="C214" s="44"/>
      <c r="D214" s="370"/>
      <c r="E214" s="369"/>
      <c r="F214" s="371"/>
      <c r="G214" s="369"/>
    </row>
    <row r="215">
      <c r="A215" s="44"/>
      <c r="B215" s="369"/>
      <c r="C215" s="44"/>
      <c r="D215" s="370"/>
      <c r="E215" s="369"/>
      <c r="F215" s="371"/>
      <c r="G215" s="369"/>
    </row>
    <row r="216">
      <c r="A216" s="44"/>
      <c r="B216" s="369"/>
      <c r="C216" s="44"/>
      <c r="D216" s="370"/>
      <c r="E216" s="369"/>
      <c r="F216" s="371"/>
      <c r="G216" s="369"/>
    </row>
    <row r="217">
      <c r="A217" s="44"/>
      <c r="B217" s="369"/>
      <c r="C217" s="44"/>
      <c r="D217" s="370"/>
      <c r="E217" s="369"/>
      <c r="F217" s="371"/>
      <c r="G217" s="369"/>
    </row>
    <row r="218">
      <c r="A218" s="44"/>
      <c r="B218" s="369"/>
      <c r="C218" s="44"/>
      <c r="D218" s="370"/>
      <c r="E218" s="369"/>
      <c r="F218" s="371"/>
      <c r="G218" s="369"/>
    </row>
    <row r="219">
      <c r="A219" s="44"/>
      <c r="B219" s="369"/>
      <c r="C219" s="44"/>
      <c r="D219" s="370"/>
      <c r="E219" s="369"/>
      <c r="F219" s="371"/>
      <c r="G219" s="369"/>
    </row>
    <row r="220">
      <c r="A220" s="44"/>
      <c r="B220" s="369"/>
      <c r="C220" s="44"/>
      <c r="D220" s="370"/>
      <c r="E220" s="369"/>
      <c r="F220" s="371"/>
      <c r="G220" s="369"/>
    </row>
    <row r="221">
      <c r="A221" s="44"/>
      <c r="B221" s="369"/>
      <c r="C221" s="44"/>
      <c r="D221" s="370"/>
      <c r="E221" s="369"/>
      <c r="F221" s="371"/>
      <c r="G221" s="369"/>
    </row>
    <row r="222">
      <c r="A222" s="44"/>
      <c r="B222" s="369"/>
      <c r="C222" s="44"/>
      <c r="D222" s="370"/>
      <c r="E222" s="369"/>
      <c r="F222" s="371"/>
      <c r="G222" s="369"/>
    </row>
    <row r="223">
      <c r="A223" s="44"/>
      <c r="B223" s="369"/>
      <c r="C223" s="44"/>
      <c r="D223" s="370"/>
      <c r="E223" s="369"/>
      <c r="F223" s="371"/>
      <c r="G223" s="369"/>
    </row>
    <row r="224">
      <c r="A224" s="44"/>
      <c r="B224" s="369"/>
      <c r="C224" s="44"/>
      <c r="D224" s="370"/>
      <c r="E224" s="369"/>
      <c r="F224" s="371"/>
      <c r="G224" s="369"/>
    </row>
    <row r="225">
      <c r="A225" s="44"/>
      <c r="B225" s="369"/>
      <c r="C225" s="44"/>
      <c r="D225" s="370"/>
      <c r="E225" s="369"/>
      <c r="F225" s="371"/>
      <c r="G225" s="369"/>
    </row>
    <row r="226">
      <c r="A226" s="44"/>
      <c r="B226" s="369"/>
      <c r="C226" s="44"/>
      <c r="D226" s="370"/>
      <c r="E226" s="369"/>
      <c r="F226" s="371"/>
      <c r="G226" s="369"/>
    </row>
    <row r="227">
      <c r="A227" s="44"/>
      <c r="B227" s="369"/>
      <c r="C227" s="44"/>
      <c r="D227" s="370"/>
      <c r="E227" s="369"/>
      <c r="F227" s="371"/>
      <c r="G227" s="369"/>
    </row>
    <row r="228">
      <c r="A228" s="44"/>
      <c r="B228" s="369"/>
      <c r="C228" s="44"/>
      <c r="D228" s="370"/>
      <c r="E228" s="369"/>
      <c r="F228" s="371"/>
      <c r="G228" s="369"/>
    </row>
    <row r="229">
      <c r="A229" s="44"/>
      <c r="B229" s="369"/>
      <c r="C229" s="44"/>
      <c r="D229" s="370"/>
      <c r="E229" s="369"/>
      <c r="F229" s="371"/>
      <c r="G229" s="369"/>
    </row>
    <row r="230">
      <c r="A230" s="44"/>
      <c r="B230" s="369"/>
      <c r="C230" s="44"/>
      <c r="D230" s="370"/>
      <c r="E230" s="369"/>
      <c r="F230" s="371"/>
      <c r="G230" s="369"/>
    </row>
    <row r="231">
      <c r="A231" s="44"/>
      <c r="B231" s="369"/>
      <c r="C231" s="44"/>
      <c r="D231" s="370"/>
      <c r="E231" s="369"/>
      <c r="F231" s="371"/>
      <c r="G231" s="369"/>
    </row>
    <row r="232">
      <c r="A232" s="44"/>
      <c r="B232" s="369"/>
      <c r="C232" s="44"/>
      <c r="D232" s="370"/>
      <c r="E232" s="369"/>
      <c r="F232" s="371"/>
      <c r="G232" s="369"/>
    </row>
    <row r="233">
      <c r="A233" s="44"/>
      <c r="B233" s="369"/>
      <c r="C233" s="44"/>
      <c r="D233" s="370"/>
      <c r="E233" s="369"/>
      <c r="F233" s="371"/>
      <c r="G233" s="369"/>
    </row>
    <row r="234">
      <c r="A234" s="44"/>
      <c r="B234" s="369"/>
      <c r="C234" s="44"/>
      <c r="D234" s="370"/>
      <c r="E234" s="369"/>
      <c r="F234" s="371"/>
      <c r="G234" s="369"/>
    </row>
    <row r="235">
      <c r="A235" s="44"/>
      <c r="B235" s="369"/>
      <c r="C235" s="44"/>
      <c r="D235" s="370"/>
      <c r="E235" s="369"/>
      <c r="F235" s="371"/>
      <c r="G235" s="369"/>
    </row>
    <row r="236">
      <c r="A236" s="44"/>
      <c r="B236" s="369"/>
      <c r="C236" s="44"/>
      <c r="D236" s="370"/>
      <c r="E236" s="369"/>
      <c r="F236" s="371"/>
      <c r="G236" s="369"/>
    </row>
    <row r="237">
      <c r="A237" s="44"/>
      <c r="B237" s="369"/>
      <c r="C237" s="44"/>
      <c r="D237" s="370"/>
      <c r="E237" s="369"/>
      <c r="F237" s="371"/>
      <c r="G237" s="369"/>
    </row>
    <row r="238">
      <c r="A238" s="44"/>
      <c r="B238" s="369"/>
      <c r="C238" s="44"/>
      <c r="D238" s="370"/>
      <c r="E238" s="369"/>
      <c r="F238" s="371"/>
      <c r="G238" s="369"/>
    </row>
    <row r="239">
      <c r="A239" s="44"/>
      <c r="B239" s="369"/>
      <c r="C239" s="44"/>
      <c r="D239" s="370"/>
      <c r="E239" s="369"/>
      <c r="F239" s="371"/>
      <c r="G239" s="369"/>
    </row>
    <row r="240">
      <c r="A240" s="44"/>
      <c r="B240" s="369"/>
      <c r="C240" s="44"/>
      <c r="D240" s="370"/>
      <c r="E240" s="369"/>
      <c r="F240" s="371"/>
      <c r="G240" s="369"/>
    </row>
    <row r="241">
      <c r="A241" s="44"/>
      <c r="B241" s="369"/>
      <c r="C241" s="44"/>
      <c r="D241" s="370"/>
      <c r="E241" s="369"/>
      <c r="F241" s="371"/>
      <c r="G241" s="369"/>
    </row>
    <row r="242">
      <c r="A242" s="44"/>
      <c r="B242" s="369"/>
      <c r="C242" s="44"/>
      <c r="D242" s="370"/>
      <c r="E242" s="369"/>
      <c r="F242" s="371"/>
      <c r="G242" s="369"/>
    </row>
    <row r="243">
      <c r="A243" s="44"/>
      <c r="B243" s="369"/>
      <c r="C243" s="44"/>
      <c r="D243" s="370"/>
      <c r="E243" s="369"/>
      <c r="F243" s="371"/>
      <c r="G243" s="369"/>
    </row>
    <row r="244">
      <c r="A244" s="44"/>
      <c r="B244" s="369"/>
      <c r="C244" s="44"/>
      <c r="D244" s="370"/>
      <c r="E244" s="369"/>
      <c r="F244" s="371"/>
      <c r="G244" s="369"/>
    </row>
    <row r="245">
      <c r="A245" s="44"/>
      <c r="B245" s="369"/>
      <c r="C245" s="44"/>
      <c r="D245" s="370"/>
      <c r="E245" s="369"/>
      <c r="F245" s="371"/>
      <c r="G245" s="369"/>
    </row>
    <row r="246">
      <c r="A246" s="44"/>
      <c r="B246" s="369"/>
      <c r="C246" s="44"/>
      <c r="D246" s="370"/>
      <c r="E246" s="369"/>
      <c r="F246" s="371"/>
      <c r="G246" s="369"/>
    </row>
    <row r="247">
      <c r="A247" s="44"/>
      <c r="B247" s="369"/>
      <c r="C247" s="44"/>
      <c r="D247" s="370"/>
      <c r="E247" s="369"/>
      <c r="F247" s="371"/>
      <c r="G247" s="369"/>
    </row>
    <row r="248">
      <c r="A248" s="44"/>
      <c r="B248" s="369"/>
      <c r="C248" s="44"/>
      <c r="D248" s="370"/>
      <c r="E248" s="369"/>
      <c r="F248" s="371"/>
      <c r="G248" s="369"/>
    </row>
    <row r="249">
      <c r="A249" s="44"/>
      <c r="B249" s="369"/>
      <c r="C249" s="44"/>
      <c r="D249" s="370"/>
      <c r="E249" s="369"/>
      <c r="F249" s="371"/>
      <c r="G249" s="369"/>
    </row>
    <row r="250">
      <c r="A250" s="44"/>
      <c r="B250" s="369"/>
      <c r="C250" s="44"/>
      <c r="D250" s="370"/>
      <c r="E250" s="369"/>
      <c r="F250" s="371"/>
      <c r="G250" s="369"/>
    </row>
    <row r="251">
      <c r="A251" s="44"/>
      <c r="B251" s="369"/>
      <c r="C251" s="44"/>
      <c r="D251" s="370"/>
      <c r="E251" s="369"/>
      <c r="F251" s="371"/>
      <c r="G251" s="369"/>
    </row>
    <row r="252">
      <c r="A252" s="44"/>
      <c r="B252" s="369"/>
      <c r="C252" s="44"/>
      <c r="D252" s="370"/>
      <c r="E252" s="369"/>
      <c r="F252" s="371"/>
      <c r="G252" s="369"/>
    </row>
    <row r="253">
      <c r="A253" s="44"/>
      <c r="B253" s="369"/>
      <c r="C253" s="44"/>
      <c r="D253" s="370"/>
      <c r="E253" s="369"/>
      <c r="F253" s="371"/>
      <c r="G253" s="369"/>
    </row>
    <row r="254">
      <c r="A254" s="44"/>
      <c r="B254" s="369"/>
      <c r="C254" s="44"/>
      <c r="D254" s="370"/>
      <c r="E254" s="369"/>
      <c r="F254" s="371"/>
      <c r="G254" s="369"/>
    </row>
    <row r="255">
      <c r="A255" s="44"/>
      <c r="B255" s="369"/>
      <c r="C255" s="44"/>
      <c r="D255" s="370"/>
      <c r="E255" s="369"/>
      <c r="F255" s="371"/>
      <c r="G255" s="369"/>
    </row>
    <row r="256">
      <c r="A256" s="44"/>
      <c r="B256" s="369"/>
      <c r="C256" s="44"/>
      <c r="D256" s="370"/>
      <c r="E256" s="369"/>
      <c r="F256" s="371"/>
      <c r="G256" s="369"/>
    </row>
    <row r="257">
      <c r="A257" s="44"/>
      <c r="B257" s="369"/>
      <c r="C257" s="44"/>
      <c r="D257" s="370"/>
      <c r="E257" s="369"/>
      <c r="F257" s="371"/>
      <c r="G257" s="369"/>
    </row>
    <row r="258">
      <c r="A258" s="44"/>
      <c r="B258" s="369"/>
      <c r="C258" s="44"/>
      <c r="D258" s="370"/>
      <c r="E258" s="369"/>
      <c r="F258" s="371"/>
      <c r="G258" s="369"/>
    </row>
    <row r="259">
      <c r="A259" s="44"/>
      <c r="B259" s="369"/>
      <c r="C259" s="44"/>
      <c r="D259" s="370"/>
      <c r="E259" s="369"/>
      <c r="F259" s="371"/>
      <c r="G259" s="369"/>
    </row>
    <row r="260">
      <c r="A260" s="44"/>
      <c r="B260" s="369"/>
      <c r="C260" s="44"/>
      <c r="D260" s="370"/>
      <c r="E260" s="369"/>
      <c r="F260" s="371"/>
      <c r="G260" s="369"/>
    </row>
    <row r="261">
      <c r="A261" s="44"/>
      <c r="B261" s="369"/>
      <c r="C261" s="44"/>
      <c r="D261" s="370"/>
      <c r="E261" s="369"/>
      <c r="F261" s="371"/>
      <c r="G261" s="369"/>
    </row>
    <row r="262">
      <c r="A262" s="44"/>
      <c r="B262" s="369"/>
      <c r="C262" s="44"/>
      <c r="D262" s="370"/>
      <c r="E262" s="369"/>
      <c r="F262" s="371"/>
      <c r="G262" s="369"/>
    </row>
    <row r="263">
      <c r="A263" s="44"/>
      <c r="B263" s="369"/>
      <c r="C263" s="44"/>
      <c r="D263" s="370"/>
      <c r="E263" s="369"/>
      <c r="F263" s="371"/>
      <c r="G263" s="369"/>
    </row>
    <row r="264">
      <c r="A264" s="44"/>
      <c r="B264" s="369"/>
      <c r="C264" s="44"/>
      <c r="D264" s="370"/>
      <c r="E264" s="369"/>
      <c r="F264" s="371"/>
      <c r="G264" s="369"/>
    </row>
    <row r="265">
      <c r="A265" s="44"/>
      <c r="B265" s="369"/>
      <c r="C265" s="44"/>
      <c r="D265" s="370"/>
      <c r="E265" s="369"/>
      <c r="F265" s="371"/>
      <c r="G265" s="369"/>
    </row>
    <row r="266">
      <c r="A266" s="44"/>
      <c r="B266" s="369"/>
      <c r="C266" s="44"/>
      <c r="D266" s="370"/>
      <c r="E266" s="369"/>
      <c r="F266" s="371"/>
      <c r="G266" s="369"/>
    </row>
    <row r="267">
      <c r="A267" s="44"/>
      <c r="B267" s="369"/>
      <c r="C267" s="44"/>
      <c r="D267" s="370"/>
      <c r="E267" s="369"/>
      <c r="F267" s="371"/>
      <c r="G267" s="369"/>
    </row>
    <row r="268">
      <c r="A268" s="44"/>
      <c r="B268" s="369"/>
      <c r="C268" s="44"/>
      <c r="D268" s="370"/>
      <c r="E268" s="369"/>
      <c r="F268" s="371"/>
      <c r="G268" s="369"/>
    </row>
    <row r="269">
      <c r="A269" s="44"/>
      <c r="B269" s="369"/>
      <c r="C269" s="44"/>
      <c r="D269" s="370"/>
      <c r="E269" s="369"/>
      <c r="F269" s="371"/>
      <c r="G269" s="369"/>
    </row>
    <row r="270">
      <c r="A270" s="44"/>
      <c r="B270" s="369"/>
      <c r="C270" s="44"/>
      <c r="D270" s="370"/>
      <c r="E270" s="369"/>
      <c r="F270" s="371"/>
      <c r="G270" s="369"/>
    </row>
    <row r="271">
      <c r="A271" s="44"/>
      <c r="B271" s="369"/>
      <c r="C271" s="44"/>
      <c r="D271" s="370"/>
      <c r="E271" s="369"/>
      <c r="F271" s="371"/>
      <c r="G271" s="369"/>
    </row>
    <row r="272">
      <c r="A272" s="44"/>
      <c r="B272" s="369"/>
      <c r="C272" s="44"/>
      <c r="D272" s="370"/>
      <c r="E272" s="369"/>
      <c r="F272" s="371"/>
      <c r="G272" s="369"/>
    </row>
    <row r="273">
      <c r="A273" s="44"/>
      <c r="B273" s="369"/>
      <c r="C273" s="44"/>
      <c r="D273" s="370"/>
      <c r="E273" s="369"/>
      <c r="F273" s="371"/>
      <c r="G273" s="369"/>
    </row>
    <row r="274">
      <c r="A274" s="44"/>
      <c r="B274" s="369"/>
      <c r="C274" s="44"/>
      <c r="D274" s="370"/>
      <c r="E274" s="369"/>
      <c r="F274" s="371"/>
      <c r="G274" s="369"/>
    </row>
    <row r="275">
      <c r="A275" s="44"/>
      <c r="B275" s="369"/>
      <c r="C275" s="44"/>
      <c r="D275" s="370"/>
      <c r="E275" s="369"/>
      <c r="F275" s="371"/>
      <c r="G275" s="369"/>
    </row>
    <row r="276">
      <c r="A276" s="44"/>
      <c r="B276" s="369"/>
      <c r="C276" s="44"/>
      <c r="D276" s="370"/>
      <c r="E276" s="369"/>
      <c r="F276" s="371"/>
      <c r="G276" s="369"/>
    </row>
    <row r="277">
      <c r="A277" s="44"/>
      <c r="B277" s="369"/>
      <c r="C277" s="44"/>
      <c r="D277" s="370"/>
      <c r="E277" s="369"/>
      <c r="F277" s="371"/>
      <c r="G277" s="369"/>
    </row>
    <row r="278">
      <c r="A278" s="44"/>
      <c r="B278" s="369"/>
      <c r="C278" s="44"/>
      <c r="D278" s="370"/>
      <c r="E278" s="369"/>
      <c r="F278" s="371"/>
      <c r="G278" s="369"/>
    </row>
    <row r="279">
      <c r="A279" s="44"/>
      <c r="B279" s="369"/>
      <c r="C279" s="44"/>
      <c r="D279" s="370"/>
      <c r="E279" s="369"/>
      <c r="F279" s="371"/>
      <c r="G279" s="369"/>
    </row>
    <row r="280">
      <c r="A280" s="44"/>
      <c r="B280" s="369"/>
      <c r="C280" s="44"/>
      <c r="D280" s="370"/>
      <c r="E280" s="369"/>
      <c r="F280" s="371"/>
      <c r="G280" s="369"/>
    </row>
    <row r="281">
      <c r="A281" s="44"/>
      <c r="B281" s="369"/>
      <c r="C281" s="44"/>
      <c r="D281" s="370"/>
      <c r="E281" s="369"/>
      <c r="F281" s="371"/>
      <c r="G281" s="369"/>
    </row>
    <row r="282">
      <c r="A282" s="44"/>
      <c r="B282" s="369"/>
      <c r="C282" s="44"/>
      <c r="D282" s="370"/>
      <c r="E282" s="369"/>
      <c r="F282" s="371"/>
      <c r="G282" s="369"/>
    </row>
    <row r="283">
      <c r="A283" s="44"/>
      <c r="B283" s="369"/>
      <c r="C283" s="44"/>
      <c r="D283" s="370"/>
      <c r="E283" s="369"/>
      <c r="F283" s="371"/>
      <c r="G283" s="369"/>
    </row>
    <row r="284">
      <c r="A284" s="44"/>
      <c r="B284" s="369"/>
      <c r="C284" s="44"/>
      <c r="D284" s="370"/>
      <c r="E284" s="369"/>
      <c r="F284" s="371"/>
      <c r="G284" s="369"/>
    </row>
    <row r="285">
      <c r="A285" s="44"/>
      <c r="B285" s="369"/>
      <c r="C285" s="44"/>
      <c r="D285" s="370"/>
      <c r="E285" s="369"/>
      <c r="F285" s="371"/>
      <c r="G285" s="369"/>
    </row>
    <row r="286">
      <c r="A286" s="44"/>
      <c r="B286" s="369"/>
      <c r="C286" s="44"/>
      <c r="D286" s="370"/>
      <c r="E286" s="369"/>
      <c r="F286" s="371"/>
      <c r="G286" s="369"/>
    </row>
    <row r="287">
      <c r="A287" s="44"/>
      <c r="B287" s="369"/>
      <c r="C287" s="44"/>
      <c r="D287" s="370"/>
      <c r="E287" s="369"/>
      <c r="F287" s="371"/>
      <c r="G287" s="369"/>
    </row>
    <row r="288">
      <c r="A288" s="44"/>
      <c r="B288" s="369"/>
      <c r="C288" s="44"/>
      <c r="D288" s="370"/>
      <c r="E288" s="369"/>
      <c r="F288" s="371"/>
      <c r="G288" s="369"/>
    </row>
    <row r="289">
      <c r="A289" s="44"/>
      <c r="B289" s="369"/>
      <c r="C289" s="44"/>
      <c r="D289" s="370"/>
      <c r="E289" s="369"/>
      <c r="F289" s="371"/>
      <c r="G289" s="369"/>
    </row>
    <row r="290">
      <c r="A290" s="44"/>
      <c r="B290" s="369"/>
      <c r="C290" s="44"/>
      <c r="D290" s="370"/>
      <c r="E290" s="369"/>
      <c r="F290" s="371"/>
      <c r="G290" s="369"/>
    </row>
    <row r="291">
      <c r="A291" s="44"/>
      <c r="B291" s="369"/>
      <c r="C291" s="44"/>
      <c r="D291" s="370"/>
      <c r="E291" s="369"/>
      <c r="F291" s="371"/>
      <c r="G291" s="369"/>
    </row>
    <row r="292">
      <c r="A292" s="44"/>
      <c r="B292" s="369"/>
      <c r="C292" s="44"/>
      <c r="D292" s="370"/>
      <c r="E292" s="369"/>
      <c r="F292" s="371"/>
      <c r="G292" s="369"/>
    </row>
    <row r="293">
      <c r="A293" s="44"/>
      <c r="B293" s="369"/>
      <c r="C293" s="44"/>
      <c r="D293" s="370"/>
      <c r="E293" s="369"/>
      <c r="F293" s="371"/>
      <c r="G293" s="369"/>
    </row>
    <row r="294">
      <c r="A294" s="44"/>
      <c r="B294" s="369"/>
      <c r="C294" s="44"/>
      <c r="D294" s="370"/>
      <c r="E294" s="369"/>
      <c r="F294" s="371"/>
      <c r="G294" s="369"/>
    </row>
    <row r="295">
      <c r="A295" s="44"/>
      <c r="B295" s="369"/>
      <c r="C295" s="44"/>
      <c r="D295" s="370"/>
      <c r="E295" s="369"/>
      <c r="F295" s="371"/>
      <c r="G295" s="369"/>
    </row>
    <row r="296">
      <c r="A296" s="44"/>
      <c r="B296" s="369"/>
      <c r="C296" s="44"/>
      <c r="D296" s="370"/>
      <c r="E296" s="369"/>
      <c r="F296" s="371"/>
      <c r="G296" s="369"/>
    </row>
    <row r="297">
      <c r="A297" s="44"/>
      <c r="B297" s="369"/>
      <c r="C297" s="44"/>
      <c r="D297" s="370"/>
      <c r="E297" s="369"/>
      <c r="F297" s="371"/>
      <c r="G297" s="369"/>
    </row>
    <row r="298">
      <c r="A298" s="44"/>
      <c r="B298" s="369"/>
      <c r="C298" s="44"/>
      <c r="D298" s="370"/>
      <c r="E298" s="369"/>
      <c r="F298" s="371"/>
      <c r="G298" s="369"/>
    </row>
    <row r="299">
      <c r="A299" s="44"/>
      <c r="B299" s="369"/>
      <c r="C299" s="44"/>
      <c r="D299" s="370"/>
      <c r="E299" s="369"/>
      <c r="F299" s="371"/>
      <c r="G299" s="369"/>
    </row>
    <row r="300">
      <c r="A300" s="44"/>
      <c r="B300" s="369"/>
      <c r="C300" s="44"/>
      <c r="D300" s="370"/>
      <c r="E300" s="369"/>
      <c r="F300" s="371"/>
      <c r="G300" s="369"/>
    </row>
    <row r="301">
      <c r="A301" s="44"/>
      <c r="B301" s="369"/>
      <c r="C301" s="44"/>
      <c r="D301" s="370"/>
      <c r="E301" s="369"/>
      <c r="F301" s="371"/>
      <c r="G301" s="369"/>
    </row>
    <row r="302">
      <c r="A302" s="44"/>
      <c r="B302" s="369"/>
      <c r="C302" s="44"/>
      <c r="D302" s="370"/>
      <c r="E302" s="369"/>
      <c r="F302" s="371"/>
      <c r="G302" s="369"/>
    </row>
    <row r="303">
      <c r="A303" s="44"/>
      <c r="B303" s="369"/>
      <c r="C303" s="44"/>
      <c r="D303" s="370"/>
      <c r="E303" s="369"/>
      <c r="F303" s="371"/>
      <c r="G303" s="369"/>
    </row>
    <row r="304">
      <c r="A304" s="44"/>
      <c r="B304" s="369"/>
      <c r="C304" s="44"/>
      <c r="D304" s="370"/>
      <c r="E304" s="369"/>
      <c r="F304" s="371"/>
      <c r="G304" s="369"/>
    </row>
    <row r="305">
      <c r="A305" s="44"/>
      <c r="B305" s="369"/>
      <c r="C305" s="44"/>
      <c r="D305" s="370"/>
      <c r="E305" s="369"/>
      <c r="F305" s="371"/>
      <c r="G305" s="369"/>
    </row>
    <row r="306">
      <c r="A306" s="44"/>
      <c r="B306" s="369"/>
      <c r="C306" s="44"/>
      <c r="D306" s="370"/>
      <c r="E306" s="369"/>
      <c r="F306" s="371"/>
      <c r="G306" s="369"/>
    </row>
    <row r="307">
      <c r="A307" s="44"/>
      <c r="B307" s="369"/>
      <c r="C307" s="44"/>
      <c r="D307" s="370"/>
      <c r="E307" s="369"/>
      <c r="F307" s="371"/>
      <c r="G307" s="369"/>
    </row>
    <row r="308">
      <c r="A308" s="44"/>
      <c r="B308" s="369"/>
      <c r="C308" s="44"/>
      <c r="D308" s="370"/>
      <c r="E308" s="369"/>
      <c r="F308" s="371"/>
      <c r="G308" s="369"/>
    </row>
    <row r="309">
      <c r="A309" s="44"/>
      <c r="B309" s="369"/>
      <c r="C309" s="44"/>
      <c r="D309" s="370"/>
      <c r="E309" s="369"/>
      <c r="F309" s="371"/>
      <c r="G309" s="369"/>
    </row>
    <row r="310">
      <c r="A310" s="44"/>
      <c r="B310" s="369"/>
      <c r="C310" s="44"/>
      <c r="D310" s="370"/>
      <c r="E310" s="369"/>
      <c r="F310" s="371"/>
      <c r="G310" s="369"/>
    </row>
    <row r="311">
      <c r="A311" s="44"/>
      <c r="B311" s="369"/>
      <c r="C311" s="44"/>
      <c r="D311" s="370"/>
      <c r="E311" s="369"/>
      <c r="F311" s="371"/>
      <c r="G311" s="369"/>
    </row>
    <row r="312">
      <c r="A312" s="44"/>
      <c r="B312" s="369"/>
      <c r="C312" s="44"/>
      <c r="D312" s="370"/>
      <c r="E312" s="369"/>
      <c r="F312" s="371"/>
      <c r="G312" s="369"/>
    </row>
    <row r="313">
      <c r="A313" s="44"/>
      <c r="B313" s="369"/>
      <c r="C313" s="44"/>
      <c r="D313" s="370"/>
      <c r="E313" s="369"/>
      <c r="F313" s="371"/>
      <c r="G313" s="369"/>
    </row>
    <row r="314">
      <c r="A314" s="44"/>
      <c r="B314" s="369"/>
      <c r="C314" s="44"/>
      <c r="D314" s="370"/>
      <c r="E314" s="369"/>
      <c r="F314" s="371"/>
      <c r="G314" s="369"/>
    </row>
    <row r="315">
      <c r="A315" s="44"/>
      <c r="B315" s="369"/>
      <c r="C315" s="44"/>
      <c r="D315" s="370"/>
      <c r="E315" s="369"/>
      <c r="F315" s="371"/>
      <c r="G315" s="369"/>
    </row>
    <row r="316">
      <c r="A316" s="44"/>
      <c r="B316" s="369"/>
      <c r="C316" s="44"/>
      <c r="D316" s="370"/>
      <c r="E316" s="369"/>
      <c r="F316" s="371"/>
      <c r="G316" s="369"/>
    </row>
    <row r="317">
      <c r="A317" s="44"/>
      <c r="B317" s="369"/>
      <c r="C317" s="44"/>
      <c r="D317" s="370"/>
      <c r="E317" s="369"/>
      <c r="F317" s="371"/>
      <c r="G317" s="369"/>
    </row>
    <row r="318">
      <c r="A318" s="44"/>
      <c r="B318" s="369"/>
      <c r="C318" s="44"/>
      <c r="D318" s="370"/>
      <c r="E318" s="369"/>
      <c r="F318" s="371"/>
      <c r="G318" s="369"/>
    </row>
    <row r="319">
      <c r="A319" s="44"/>
      <c r="B319" s="369"/>
      <c r="C319" s="44"/>
      <c r="D319" s="370"/>
      <c r="E319" s="369"/>
      <c r="F319" s="371"/>
      <c r="G319" s="369"/>
    </row>
    <row r="320">
      <c r="A320" s="44"/>
      <c r="B320" s="369"/>
      <c r="C320" s="44"/>
      <c r="D320" s="370"/>
      <c r="E320" s="369"/>
      <c r="F320" s="371"/>
      <c r="G320" s="369"/>
    </row>
    <row r="321">
      <c r="A321" s="44"/>
      <c r="B321" s="369"/>
      <c r="C321" s="44"/>
      <c r="D321" s="370"/>
      <c r="E321" s="369"/>
      <c r="F321" s="371"/>
      <c r="G321" s="369"/>
    </row>
    <row r="322">
      <c r="A322" s="44"/>
      <c r="B322" s="369"/>
      <c r="C322" s="44"/>
      <c r="D322" s="370"/>
      <c r="E322" s="369"/>
      <c r="F322" s="371"/>
      <c r="G322" s="369"/>
    </row>
    <row r="323">
      <c r="A323" s="44"/>
      <c r="B323" s="369"/>
      <c r="C323" s="44"/>
      <c r="D323" s="370"/>
      <c r="E323" s="369"/>
      <c r="F323" s="371"/>
      <c r="G323" s="369"/>
    </row>
    <row r="324">
      <c r="A324" s="44"/>
      <c r="B324" s="369"/>
      <c r="C324" s="44"/>
      <c r="D324" s="370"/>
      <c r="E324" s="369"/>
      <c r="F324" s="371"/>
      <c r="G324" s="369"/>
    </row>
    <row r="325">
      <c r="A325" s="44"/>
      <c r="B325" s="369"/>
      <c r="C325" s="44"/>
      <c r="D325" s="370"/>
      <c r="E325" s="369"/>
      <c r="F325" s="371"/>
      <c r="G325" s="369"/>
    </row>
    <row r="326">
      <c r="A326" s="44"/>
      <c r="B326" s="369"/>
      <c r="C326" s="44"/>
      <c r="D326" s="370"/>
      <c r="E326" s="369"/>
      <c r="F326" s="371"/>
      <c r="G326" s="369"/>
    </row>
    <row r="327">
      <c r="A327" s="44"/>
      <c r="B327" s="369"/>
      <c r="C327" s="44"/>
      <c r="D327" s="370"/>
      <c r="E327" s="369"/>
      <c r="F327" s="371"/>
      <c r="G327" s="369"/>
    </row>
    <row r="328">
      <c r="A328" s="44"/>
      <c r="B328" s="369"/>
      <c r="C328" s="44"/>
      <c r="D328" s="370"/>
      <c r="E328" s="369"/>
      <c r="F328" s="371"/>
      <c r="G328" s="369"/>
    </row>
    <row r="329">
      <c r="A329" s="44"/>
      <c r="B329" s="369"/>
      <c r="C329" s="44"/>
      <c r="D329" s="370"/>
      <c r="E329" s="369"/>
      <c r="F329" s="371"/>
      <c r="G329" s="369"/>
    </row>
    <row r="330">
      <c r="A330" s="44"/>
      <c r="B330" s="369"/>
      <c r="C330" s="44"/>
      <c r="D330" s="370"/>
      <c r="E330" s="369"/>
      <c r="F330" s="371"/>
      <c r="G330" s="369"/>
    </row>
    <row r="331">
      <c r="A331" s="44"/>
      <c r="B331" s="369"/>
      <c r="C331" s="44"/>
      <c r="D331" s="370"/>
      <c r="E331" s="369"/>
      <c r="F331" s="371"/>
      <c r="G331" s="369"/>
    </row>
    <row r="332">
      <c r="A332" s="44"/>
      <c r="B332" s="369"/>
      <c r="C332" s="44"/>
      <c r="D332" s="370"/>
      <c r="E332" s="369"/>
      <c r="F332" s="371"/>
      <c r="G332" s="369"/>
    </row>
    <row r="333">
      <c r="A333" s="44"/>
      <c r="B333" s="369"/>
      <c r="C333" s="44"/>
      <c r="D333" s="370"/>
      <c r="E333" s="369"/>
      <c r="F333" s="371"/>
      <c r="G333" s="369"/>
    </row>
    <row r="334">
      <c r="A334" s="44"/>
      <c r="B334" s="369"/>
      <c r="C334" s="44"/>
      <c r="D334" s="370"/>
      <c r="E334" s="369"/>
      <c r="F334" s="371"/>
      <c r="G334" s="369"/>
    </row>
    <row r="335">
      <c r="A335" s="44"/>
      <c r="B335" s="369"/>
      <c r="C335" s="44"/>
      <c r="D335" s="370"/>
      <c r="E335" s="369"/>
      <c r="F335" s="371"/>
      <c r="G335" s="369"/>
    </row>
    <row r="336">
      <c r="A336" s="44"/>
      <c r="B336" s="369"/>
      <c r="C336" s="44"/>
      <c r="D336" s="370"/>
      <c r="E336" s="369"/>
      <c r="F336" s="371"/>
      <c r="G336" s="369"/>
    </row>
    <row r="337">
      <c r="A337" s="44"/>
      <c r="B337" s="369"/>
      <c r="C337" s="44"/>
      <c r="D337" s="370"/>
      <c r="E337" s="369"/>
      <c r="F337" s="371"/>
      <c r="G337" s="369"/>
    </row>
    <row r="338">
      <c r="A338" s="44"/>
      <c r="B338" s="369"/>
      <c r="C338" s="44"/>
      <c r="D338" s="370"/>
      <c r="E338" s="369"/>
      <c r="F338" s="371"/>
      <c r="G338" s="369"/>
    </row>
    <row r="339">
      <c r="A339" s="44"/>
      <c r="B339" s="369"/>
      <c r="C339" s="44"/>
      <c r="D339" s="370"/>
      <c r="E339" s="369"/>
      <c r="F339" s="371"/>
      <c r="G339" s="369"/>
    </row>
    <row r="340">
      <c r="A340" s="44"/>
      <c r="B340" s="369"/>
      <c r="C340" s="44"/>
      <c r="D340" s="370"/>
      <c r="E340" s="369"/>
      <c r="F340" s="371"/>
      <c r="G340" s="369"/>
    </row>
    <row r="341">
      <c r="A341" s="44"/>
      <c r="B341" s="369"/>
      <c r="C341" s="44"/>
      <c r="D341" s="370"/>
      <c r="E341" s="369"/>
      <c r="F341" s="371"/>
      <c r="G341" s="369"/>
    </row>
    <row r="342">
      <c r="A342" s="44"/>
      <c r="B342" s="369"/>
      <c r="C342" s="44"/>
      <c r="D342" s="370"/>
      <c r="E342" s="369"/>
      <c r="F342" s="371"/>
      <c r="G342" s="369"/>
    </row>
    <row r="343">
      <c r="A343" s="44"/>
      <c r="B343" s="369"/>
      <c r="C343" s="44"/>
      <c r="D343" s="370"/>
      <c r="E343" s="369"/>
      <c r="F343" s="371"/>
      <c r="G343" s="369"/>
    </row>
    <row r="344">
      <c r="A344" s="44"/>
      <c r="B344" s="369"/>
      <c r="C344" s="44"/>
      <c r="D344" s="370"/>
      <c r="E344" s="369"/>
      <c r="F344" s="371"/>
      <c r="G344" s="369"/>
    </row>
    <row r="345">
      <c r="A345" s="44"/>
      <c r="B345" s="369"/>
      <c r="C345" s="44"/>
      <c r="D345" s="370"/>
      <c r="E345" s="369"/>
      <c r="F345" s="371"/>
      <c r="G345" s="369"/>
    </row>
    <row r="346">
      <c r="A346" s="44"/>
      <c r="B346" s="369"/>
      <c r="C346" s="44"/>
      <c r="D346" s="370"/>
      <c r="E346" s="369"/>
      <c r="F346" s="371"/>
      <c r="G346" s="369"/>
    </row>
    <row r="347">
      <c r="A347" s="44"/>
      <c r="B347" s="369"/>
      <c r="C347" s="44"/>
      <c r="D347" s="370"/>
      <c r="E347" s="369"/>
      <c r="F347" s="371"/>
      <c r="G347" s="369"/>
    </row>
    <row r="348">
      <c r="A348" s="44"/>
      <c r="B348" s="369"/>
      <c r="C348" s="44"/>
      <c r="D348" s="370"/>
      <c r="E348" s="369"/>
      <c r="F348" s="371"/>
      <c r="G348" s="369"/>
    </row>
    <row r="349">
      <c r="A349" s="44"/>
      <c r="B349" s="369"/>
      <c r="C349" s="44"/>
      <c r="D349" s="370"/>
      <c r="E349" s="369"/>
      <c r="F349" s="371"/>
      <c r="G349" s="369"/>
    </row>
    <row r="350">
      <c r="A350" s="44"/>
      <c r="B350" s="369"/>
      <c r="C350" s="44"/>
      <c r="D350" s="370"/>
      <c r="E350" s="369"/>
      <c r="F350" s="371"/>
      <c r="G350" s="369"/>
    </row>
    <row r="351">
      <c r="A351" s="44"/>
      <c r="B351" s="369"/>
      <c r="C351" s="44"/>
      <c r="D351" s="370"/>
      <c r="E351" s="369"/>
      <c r="F351" s="371"/>
      <c r="G351" s="369"/>
    </row>
    <row r="352">
      <c r="A352" s="44"/>
      <c r="B352" s="369"/>
      <c r="C352" s="44"/>
      <c r="D352" s="370"/>
      <c r="E352" s="369"/>
      <c r="F352" s="371"/>
      <c r="G352" s="369"/>
    </row>
    <row r="353">
      <c r="A353" s="44"/>
      <c r="B353" s="369"/>
      <c r="C353" s="44"/>
      <c r="D353" s="370"/>
      <c r="E353" s="369"/>
      <c r="F353" s="371"/>
      <c r="G353" s="369"/>
    </row>
    <row r="354">
      <c r="A354" s="44"/>
      <c r="B354" s="369"/>
      <c r="C354" s="44"/>
      <c r="D354" s="370"/>
      <c r="E354" s="369"/>
      <c r="F354" s="371"/>
      <c r="G354" s="369"/>
    </row>
    <row r="355">
      <c r="A355" s="44"/>
      <c r="B355" s="369"/>
      <c r="C355" s="44"/>
      <c r="D355" s="370"/>
      <c r="E355" s="369"/>
      <c r="F355" s="371"/>
      <c r="G355" s="369"/>
    </row>
    <row r="356">
      <c r="A356" s="44"/>
      <c r="B356" s="369"/>
      <c r="C356" s="44"/>
      <c r="D356" s="370"/>
      <c r="E356" s="369"/>
      <c r="F356" s="371"/>
      <c r="G356" s="369"/>
    </row>
    <row r="357">
      <c r="A357" s="44"/>
      <c r="B357" s="369"/>
      <c r="C357" s="44"/>
      <c r="D357" s="370"/>
      <c r="E357" s="369"/>
      <c r="F357" s="371"/>
      <c r="G357" s="369"/>
    </row>
    <row r="358">
      <c r="A358" s="44"/>
      <c r="B358" s="369"/>
      <c r="C358" s="44"/>
      <c r="D358" s="370"/>
      <c r="E358" s="369"/>
      <c r="F358" s="371"/>
      <c r="G358" s="369"/>
    </row>
    <row r="359">
      <c r="A359" s="44"/>
      <c r="B359" s="369"/>
      <c r="C359" s="44"/>
      <c r="D359" s="370"/>
      <c r="E359" s="369"/>
      <c r="F359" s="371"/>
      <c r="G359" s="369"/>
    </row>
    <row r="360">
      <c r="A360" s="44"/>
      <c r="B360" s="369"/>
      <c r="C360" s="44"/>
      <c r="D360" s="370"/>
      <c r="E360" s="369"/>
      <c r="F360" s="371"/>
      <c r="G360" s="369"/>
    </row>
    <row r="361">
      <c r="A361" s="44"/>
      <c r="B361" s="369"/>
      <c r="C361" s="44"/>
      <c r="D361" s="370"/>
      <c r="E361" s="369"/>
      <c r="F361" s="371"/>
      <c r="G361" s="369"/>
    </row>
    <row r="362">
      <c r="A362" s="44"/>
      <c r="B362" s="369"/>
      <c r="C362" s="44"/>
      <c r="D362" s="370"/>
      <c r="E362" s="369"/>
      <c r="F362" s="371"/>
      <c r="G362" s="369"/>
    </row>
    <row r="363">
      <c r="A363" s="44"/>
      <c r="B363" s="369"/>
      <c r="C363" s="44"/>
      <c r="D363" s="370"/>
      <c r="E363" s="369"/>
      <c r="F363" s="371"/>
      <c r="G363" s="369"/>
    </row>
    <row r="364">
      <c r="A364" s="44"/>
      <c r="B364" s="369"/>
      <c r="C364" s="44"/>
      <c r="D364" s="370"/>
      <c r="E364" s="369"/>
      <c r="F364" s="371"/>
      <c r="G364" s="369"/>
    </row>
    <row r="365">
      <c r="A365" s="44"/>
      <c r="B365" s="369"/>
      <c r="C365" s="44"/>
      <c r="D365" s="370"/>
      <c r="E365" s="369"/>
      <c r="F365" s="371"/>
      <c r="G365" s="369"/>
    </row>
    <row r="366">
      <c r="A366" s="44"/>
      <c r="B366" s="369"/>
      <c r="C366" s="44"/>
      <c r="D366" s="370"/>
      <c r="E366" s="369"/>
      <c r="F366" s="371"/>
      <c r="G366" s="369"/>
    </row>
    <row r="367">
      <c r="A367" s="44"/>
      <c r="B367" s="369"/>
      <c r="C367" s="44"/>
      <c r="D367" s="370"/>
      <c r="E367" s="369"/>
      <c r="F367" s="371"/>
      <c r="G367" s="369"/>
    </row>
    <row r="368">
      <c r="A368" s="44"/>
      <c r="B368" s="369"/>
      <c r="C368" s="44"/>
      <c r="D368" s="370"/>
      <c r="E368" s="369"/>
      <c r="F368" s="371"/>
      <c r="G368" s="369"/>
    </row>
    <row r="369">
      <c r="A369" s="44"/>
      <c r="B369" s="369"/>
      <c r="C369" s="44"/>
      <c r="D369" s="370"/>
      <c r="E369" s="369"/>
      <c r="F369" s="371"/>
      <c r="G369" s="369"/>
    </row>
    <row r="370">
      <c r="A370" s="44"/>
      <c r="B370" s="369"/>
      <c r="C370" s="44"/>
      <c r="D370" s="370"/>
      <c r="E370" s="369"/>
      <c r="F370" s="371"/>
      <c r="G370" s="369"/>
    </row>
    <row r="371">
      <c r="A371" s="44"/>
      <c r="B371" s="369"/>
      <c r="C371" s="44"/>
      <c r="D371" s="370"/>
      <c r="E371" s="369"/>
      <c r="F371" s="371"/>
      <c r="G371" s="369"/>
    </row>
    <row r="372">
      <c r="A372" s="44"/>
      <c r="B372" s="369"/>
      <c r="C372" s="44"/>
      <c r="D372" s="370"/>
      <c r="E372" s="369"/>
      <c r="F372" s="371"/>
      <c r="G372" s="369"/>
    </row>
    <row r="373">
      <c r="A373" s="44"/>
      <c r="B373" s="369"/>
      <c r="C373" s="44"/>
      <c r="D373" s="370"/>
      <c r="E373" s="369"/>
      <c r="F373" s="371"/>
      <c r="G373" s="369"/>
    </row>
    <row r="374">
      <c r="A374" s="44"/>
      <c r="B374" s="369"/>
      <c r="C374" s="44"/>
      <c r="D374" s="370"/>
      <c r="E374" s="369"/>
      <c r="F374" s="371"/>
      <c r="G374" s="369"/>
    </row>
    <row r="375">
      <c r="A375" s="44"/>
      <c r="B375" s="369"/>
      <c r="C375" s="44"/>
      <c r="D375" s="370"/>
      <c r="E375" s="369"/>
      <c r="F375" s="371"/>
      <c r="G375" s="369"/>
    </row>
    <row r="376">
      <c r="A376" s="44"/>
      <c r="B376" s="369"/>
      <c r="C376" s="44"/>
      <c r="D376" s="370"/>
      <c r="E376" s="369"/>
      <c r="F376" s="371"/>
      <c r="G376" s="369"/>
    </row>
    <row r="377">
      <c r="A377" s="44"/>
      <c r="B377" s="369"/>
      <c r="C377" s="44"/>
      <c r="D377" s="370"/>
      <c r="E377" s="369"/>
      <c r="F377" s="371"/>
      <c r="G377" s="369"/>
    </row>
    <row r="378">
      <c r="A378" s="44"/>
      <c r="B378" s="369"/>
      <c r="C378" s="44"/>
      <c r="D378" s="370"/>
      <c r="E378" s="369"/>
      <c r="F378" s="371"/>
      <c r="G378" s="369"/>
    </row>
    <row r="379">
      <c r="A379" s="44"/>
      <c r="B379" s="369"/>
      <c r="C379" s="44"/>
      <c r="D379" s="370"/>
      <c r="E379" s="369"/>
      <c r="F379" s="371"/>
      <c r="G379" s="369"/>
    </row>
    <row r="380">
      <c r="A380" s="44"/>
      <c r="B380" s="369"/>
      <c r="C380" s="44"/>
      <c r="D380" s="370"/>
      <c r="E380" s="369"/>
      <c r="F380" s="371"/>
      <c r="G380" s="369"/>
    </row>
    <row r="381">
      <c r="A381" s="44"/>
      <c r="B381" s="369"/>
      <c r="C381" s="44"/>
      <c r="D381" s="370"/>
      <c r="E381" s="369"/>
      <c r="F381" s="371"/>
      <c r="G381" s="369"/>
    </row>
    <row r="382">
      <c r="A382" s="44"/>
      <c r="B382" s="369"/>
      <c r="C382" s="44"/>
      <c r="D382" s="370"/>
      <c r="E382" s="369"/>
      <c r="F382" s="371"/>
      <c r="G382" s="369"/>
    </row>
    <row r="383">
      <c r="A383" s="44"/>
      <c r="B383" s="369"/>
      <c r="C383" s="44"/>
      <c r="D383" s="370"/>
      <c r="E383" s="369"/>
      <c r="F383" s="371"/>
      <c r="G383" s="369"/>
    </row>
    <row r="384">
      <c r="A384" s="44"/>
      <c r="B384" s="369"/>
      <c r="C384" s="44"/>
      <c r="D384" s="370"/>
      <c r="E384" s="369"/>
      <c r="F384" s="371"/>
      <c r="G384" s="369"/>
    </row>
    <row r="385">
      <c r="A385" s="44"/>
      <c r="B385" s="369"/>
      <c r="C385" s="44"/>
      <c r="D385" s="370"/>
      <c r="E385" s="369"/>
      <c r="F385" s="371"/>
      <c r="G385" s="369"/>
    </row>
    <row r="386">
      <c r="A386" s="44"/>
      <c r="B386" s="369"/>
      <c r="C386" s="44"/>
      <c r="D386" s="370"/>
      <c r="E386" s="369"/>
      <c r="F386" s="371"/>
      <c r="G386" s="369"/>
    </row>
    <row r="387">
      <c r="A387" s="44"/>
      <c r="B387" s="369"/>
      <c r="C387" s="44"/>
      <c r="D387" s="370"/>
      <c r="E387" s="369"/>
      <c r="F387" s="371"/>
      <c r="G387" s="369"/>
    </row>
    <row r="388">
      <c r="A388" s="44"/>
      <c r="B388" s="369"/>
      <c r="C388" s="44"/>
      <c r="D388" s="370"/>
      <c r="E388" s="369"/>
      <c r="F388" s="371"/>
      <c r="G388" s="369"/>
    </row>
    <row r="389">
      <c r="A389" s="44"/>
      <c r="B389" s="369"/>
      <c r="C389" s="44"/>
      <c r="D389" s="370"/>
      <c r="E389" s="369"/>
      <c r="F389" s="371"/>
      <c r="G389" s="369"/>
    </row>
    <row r="390">
      <c r="A390" s="44"/>
      <c r="B390" s="369"/>
      <c r="C390" s="44"/>
      <c r="D390" s="370"/>
      <c r="E390" s="369"/>
      <c r="F390" s="371"/>
      <c r="G390" s="369"/>
    </row>
    <row r="391">
      <c r="A391" s="44"/>
      <c r="B391" s="369"/>
      <c r="C391" s="44"/>
      <c r="D391" s="370"/>
      <c r="E391" s="369"/>
      <c r="F391" s="371"/>
      <c r="G391" s="369"/>
    </row>
    <row r="392">
      <c r="A392" s="44"/>
      <c r="B392" s="369"/>
      <c r="C392" s="44"/>
      <c r="D392" s="370"/>
      <c r="E392" s="369"/>
      <c r="F392" s="371"/>
      <c r="G392" s="369"/>
    </row>
    <row r="393">
      <c r="A393" s="44"/>
      <c r="B393" s="369"/>
      <c r="C393" s="44"/>
      <c r="D393" s="370"/>
      <c r="E393" s="369"/>
      <c r="F393" s="371"/>
      <c r="G393" s="369"/>
    </row>
    <row r="394">
      <c r="A394" s="44"/>
      <c r="B394" s="369"/>
      <c r="C394" s="44"/>
      <c r="D394" s="370"/>
      <c r="E394" s="369"/>
      <c r="F394" s="371"/>
      <c r="G394" s="369"/>
    </row>
    <row r="395">
      <c r="A395" s="44"/>
      <c r="B395" s="369"/>
      <c r="C395" s="44"/>
      <c r="D395" s="370"/>
      <c r="E395" s="369"/>
      <c r="F395" s="371"/>
      <c r="G395" s="369"/>
    </row>
    <row r="396">
      <c r="A396" s="44"/>
      <c r="B396" s="369"/>
      <c r="C396" s="44"/>
      <c r="D396" s="370"/>
      <c r="E396" s="369"/>
      <c r="F396" s="371"/>
      <c r="G396" s="369"/>
    </row>
    <row r="397">
      <c r="A397" s="44"/>
      <c r="B397" s="369"/>
      <c r="C397" s="44"/>
      <c r="D397" s="370"/>
      <c r="E397" s="369"/>
      <c r="F397" s="371"/>
      <c r="G397" s="369"/>
    </row>
    <row r="398">
      <c r="A398" s="44"/>
      <c r="B398" s="369"/>
      <c r="C398" s="44"/>
      <c r="D398" s="370"/>
      <c r="E398" s="369"/>
      <c r="F398" s="371"/>
      <c r="G398" s="369"/>
    </row>
    <row r="399">
      <c r="A399" s="44"/>
      <c r="B399" s="369"/>
      <c r="C399" s="44"/>
      <c r="D399" s="370"/>
      <c r="E399" s="369"/>
      <c r="F399" s="371"/>
      <c r="G399" s="369"/>
    </row>
    <row r="400">
      <c r="A400" s="44"/>
      <c r="B400" s="369"/>
      <c r="C400" s="44"/>
      <c r="D400" s="370"/>
      <c r="E400" s="369"/>
      <c r="F400" s="371"/>
      <c r="G400" s="369"/>
    </row>
    <row r="401">
      <c r="A401" s="44"/>
      <c r="B401" s="369"/>
      <c r="C401" s="44"/>
      <c r="D401" s="370"/>
      <c r="E401" s="369"/>
      <c r="F401" s="371"/>
      <c r="G401" s="369"/>
    </row>
    <row r="402">
      <c r="A402" s="44"/>
      <c r="B402" s="369"/>
      <c r="C402" s="44"/>
      <c r="D402" s="370"/>
      <c r="E402" s="369"/>
      <c r="F402" s="371"/>
      <c r="G402" s="369"/>
    </row>
    <row r="403">
      <c r="A403" s="44"/>
      <c r="B403" s="369"/>
      <c r="C403" s="44"/>
      <c r="D403" s="370"/>
      <c r="E403" s="369"/>
      <c r="F403" s="371"/>
      <c r="G403" s="369"/>
    </row>
    <row r="404">
      <c r="A404" s="44"/>
      <c r="B404" s="369"/>
      <c r="C404" s="44"/>
      <c r="D404" s="370"/>
      <c r="E404" s="369"/>
      <c r="F404" s="371"/>
      <c r="G404" s="369"/>
    </row>
    <row r="405">
      <c r="A405" s="44"/>
      <c r="B405" s="369"/>
      <c r="C405" s="44"/>
      <c r="D405" s="370"/>
      <c r="E405" s="369"/>
      <c r="F405" s="371"/>
      <c r="G405" s="369"/>
    </row>
    <row r="406">
      <c r="A406" s="44"/>
      <c r="B406" s="369"/>
      <c r="C406" s="44"/>
      <c r="D406" s="370"/>
      <c r="E406" s="369"/>
      <c r="F406" s="371"/>
      <c r="G406" s="369"/>
    </row>
    <row r="407">
      <c r="A407" s="44"/>
      <c r="B407" s="369"/>
      <c r="C407" s="44"/>
      <c r="D407" s="370"/>
      <c r="E407" s="369"/>
      <c r="F407" s="371"/>
      <c r="G407" s="369"/>
    </row>
    <row r="408">
      <c r="A408" s="44"/>
      <c r="B408" s="369"/>
      <c r="C408" s="44"/>
      <c r="D408" s="370"/>
      <c r="E408" s="369"/>
      <c r="F408" s="371"/>
      <c r="G408" s="369"/>
    </row>
    <row r="409">
      <c r="A409" s="44"/>
      <c r="B409" s="369"/>
      <c r="C409" s="44"/>
      <c r="D409" s="370"/>
      <c r="E409" s="369"/>
      <c r="F409" s="371"/>
      <c r="G409" s="369"/>
    </row>
    <row r="410">
      <c r="A410" s="44"/>
      <c r="B410" s="369"/>
      <c r="C410" s="44"/>
      <c r="D410" s="370"/>
      <c r="E410" s="369"/>
      <c r="F410" s="371"/>
      <c r="G410" s="369"/>
    </row>
    <row r="411">
      <c r="A411" s="44"/>
      <c r="B411" s="369"/>
      <c r="C411" s="44"/>
      <c r="D411" s="370"/>
      <c r="E411" s="369"/>
      <c r="F411" s="371"/>
      <c r="G411" s="369"/>
    </row>
    <row r="412">
      <c r="A412" s="44"/>
      <c r="B412" s="369"/>
      <c r="C412" s="44"/>
      <c r="D412" s="370"/>
      <c r="E412" s="369"/>
      <c r="F412" s="371"/>
      <c r="G412" s="369"/>
    </row>
    <row r="413">
      <c r="A413" s="44"/>
      <c r="B413" s="369"/>
      <c r="C413" s="44"/>
      <c r="D413" s="370"/>
      <c r="E413" s="369"/>
      <c r="F413" s="371"/>
      <c r="G413" s="369"/>
    </row>
    <row r="414">
      <c r="A414" s="44"/>
      <c r="B414" s="369"/>
      <c r="C414" s="44"/>
      <c r="D414" s="370"/>
      <c r="E414" s="369"/>
      <c r="F414" s="371"/>
      <c r="G414" s="369"/>
    </row>
    <row r="415">
      <c r="A415" s="44"/>
      <c r="B415" s="369"/>
      <c r="C415" s="44"/>
      <c r="D415" s="370"/>
      <c r="E415" s="369"/>
      <c r="F415" s="371"/>
      <c r="G415" s="369"/>
    </row>
    <row r="416">
      <c r="A416" s="44"/>
      <c r="B416" s="369"/>
      <c r="C416" s="44"/>
      <c r="D416" s="370"/>
      <c r="E416" s="369"/>
      <c r="F416" s="371"/>
      <c r="G416" s="369"/>
    </row>
    <row r="417">
      <c r="A417" s="44"/>
      <c r="B417" s="369"/>
      <c r="C417" s="44"/>
      <c r="D417" s="370"/>
      <c r="E417" s="369"/>
      <c r="F417" s="371"/>
      <c r="G417" s="369"/>
    </row>
    <row r="418">
      <c r="A418" s="44"/>
      <c r="B418" s="369"/>
      <c r="C418" s="44"/>
      <c r="D418" s="370"/>
      <c r="E418" s="369"/>
      <c r="F418" s="371"/>
      <c r="G418" s="369"/>
    </row>
    <row r="419">
      <c r="A419" s="44"/>
      <c r="B419" s="369"/>
      <c r="C419" s="44"/>
      <c r="D419" s="370"/>
      <c r="E419" s="369"/>
      <c r="F419" s="371"/>
      <c r="G419" s="369"/>
    </row>
    <row r="420">
      <c r="A420" s="44"/>
      <c r="B420" s="369"/>
      <c r="C420" s="44"/>
      <c r="D420" s="370"/>
      <c r="E420" s="369"/>
      <c r="F420" s="371"/>
      <c r="G420" s="369"/>
    </row>
    <row r="421">
      <c r="A421" s="44"/>
      <c r="B421" s="369"/>
      <c r="C421" s="44"/>
      <c r="D421" s="370"/>
      <c r="E421" s="369"/>
      <c r="F421" s="371"/>
      <c r="G421" s="369"/>
    </row>
    <row r="422">
      <c r="A422" s="44"/>
      <c r="B422" s="369"/>
      <c r="C422" s="44"/>
      <c r="D422" s="370"/>
      <c r="E422" s="369"/>
      <c r="F422" s="371"/>
      <c r="G422" s="369"/>
    </row>
    <row r="423">
      <c r="A423" s="44"/>
      <c r="B423" s="369"/>
      <c r="C423" s="44"/>
      <c r="D423" s="370"/>
      <c r="E423" s="369"/>
      <c r="F423" s="371"/>
      <c r="G423" s="369"/>
    </row>
    <row r="424">
      <c r="A424" s="44"/>
      <c r="B424" s="369"/>
      <c r="C424" s="44"/>
      <c r="D424" s="370"/>
      <c r="E424" s="369"/>
      <c r="F424" s="371"/>
      <c r="G424" s="369"/>
    </row>
    <row r="425">
      <c r="A425" s="44"/>
      <c r="B425" s="369"/>
      <c r="C425" s="44"/>
      <c r="D425" s="370"/>
      <c r="E425" s="369"/>
      <c r="F425" s="371"/>
      <c r="G425" s="369"/>
    </row>
    <row r="426">
      <c r="A426" s="44"/>
      <c r="B426" s="369"/>
      <c r="C426" s="44"/>
      <c r="D426" s="370"/>
      <c r="E426" s="369"/>
      <c r="F426" s="371"/>
      <c r="G426" s="369"/>
    </row>
    <row r="427">
      <c r="A427" s="44"/>
      <c r="B427" s="369"/>
      <c r="C427" s="44"/>
      <c r="D427" s="370"/>
      <c r="E427" s="369"/>
      <c r="F427" s="371"/>
      <c r="G427" s="369"/>
    </row>
    <row r="428">
      <c r="A428" s="44"/>
      <c r="B428" s="369"/>
      <c r="C428" s="44"/>
      <c r="D428" s="370"/>
      <c r="E428" s="369"/>
      <c r="F428" s="371"/>
      <c r="G428" s="369"/>
    </row>
    <row r="429">
      <c r="A429" s="44"/>
      <c r="B429" s="369"/>
      <c r="C429" s="44"/>
      <c r="D429" s="370"/>
      <c r="E429" s="369"/>
      <c r="F429" s="371"/>
      <c r="G429" s="369"/>
    </row>
    <row r="430">
      <c r="A430" s="44"/>
      <c r="B430" s="369"/>
      <c r="C430" s="44"/>
      <c r="D430" s="370"/>
      <c r="E430" s="369"/>
      <c r="F430" s="371"/>
      <c r="G430" s="369"/>
    </row>
    <row r="431">
      <c r="A431" s="44"/>
      <c r="B431" s="369"/>
      <c r="C431" s="44"/>
      <c r="D431" s="370"/>
      <c r="E431" s="369"/>
      <c r="F431" s="371"/>
      <c r="G431" s="369"/>
    </row>
    <row r="432">
      <c r="A432" s="44"/>
      <c r="B432" s="369"/>
      <c r="C432" s="44"/>
      <c r="D432" s="370"/>
      <c r="E432" s="369"/>
      <c r="F432" s="371"/>
      <c r="G432" s="369"/>
    </row>
    <row r="433">
      <c r="A433" s="44"/>
      <c r="B433" s="369"/>
      <c r="C433" s="44"/>
      <c r="D433" s="370"/>
      <c r="E433" s="369"/>
      <c r="F433" s="371"/>
      <c r="G433" s="369"/>
    </row>
    <row r="434">
      <c r="A434" s="44"/>
      <c r="B434" s="369"/>
      <c r="C434" s="44"/>
      <c r="D434" s="370"/>
      <c r="E434" s="369"/>
      <c r="F434" s="371"/>
      <c r="G434" s="369"/>
    </row>
    <row r="435">
      <c r="A435" s="44"/>
      <c r="B435" s="369"/>
      <c r="C435" s="44"/>
      <c r="D435" s="370"/>
      <c r="E435" s="369"/>
      <c r="F435" s="371"/>
      <c r="G435" s="369"/>
    </row>
    <row r="436">
      <c r="A436" s="44"/>
      <c r="B436" s="369"/>
      <c r="C436" s="44"/>
      <c r="D436" s="370"/>
      <c r="E436" s="369"/>
      <c r="F436" s="371"/>
      <c r="G436" s="369"/>
    </row>
    <row r="437">
      <c r="A437" s="44"/>
      <c r="B437" s="369"/>
      <c r="C437" s="44"/>
      <c r="D437" s="370"/>
      <c r="E437" s="369"/>
      <c r="F437" s="371"/>
      <c r="G437" s="369"/>
    </row>
    <row r="438">
      <c r="A438" s="44"/>
      <c r="B438" s="369"/>
      <c r="C438" s="44"/>
      <c r="D438" s="370"/>
      <c r="E438" s="369"/>
      <c r="F438" s="371"/>
      <c r="G438" s="369"/>
    </row>
    <row r="439">
      <c r="A439" s="44"/>
      <c r="B439" s="369"/>
      <c r="C439" s="44"/>
      <c r="D439" s="370"/>
      <c r="E439" s="369"/>
      <c r="F439" s="371"/>
      <c r="G439" s="369"/>
    </row>
    <row r="440">
      <c r="A440" s="44"/>
      <c r="B440" s="369"/>
      <c r="C440" s="44"/>
      <c r="D440" s="370"/>
      <c r="E440" s="369"/>
      <c r="F440" s="371"/>
      <c r="G440" s="369"/>
    </row>
    <row r="441">
      <c r="A441" s="44"/>
      <c r="B441" s="369"/>
      <c r="C441" s="44"/>
      <c r="D441" s="370"/>
      <c r="E441" s="369"/>
      <c r="F441" s="371"/>
      <c r="G441" s="369"/>
    </row>
    <row r="442">
      <c r="A442" s="44"/>
      <c r="B442" s="369"/>
      <c r="C442" s="44"/>
      <c r="D442" s="370"/>
      <c r="E442" s="369"/>
      <c r="F442" s="371"/>
      <c r="G442" s="369"/>
    </row>
    <row r="443">
      <c r="A443" s="44"/>
      <c r="B443" s="369"/>
      <c r="C443" s="44"/>
      <c r="D443" s="370"/>
      <c r="E443" s="369"/>
      <c r="F443" s="371"/>
      <c r="G443" s="369"/>
    </row>
    <row r="444">
      <c r="A444" s="44"/>
      <c r="B444" s="369"/>
      <c r="C444" s="44"/>
      <c r="D444" s="370"/>
      <c r="E444" s="369"/>
      <c r="F444" s="371"/>
      <c r="G444" s="369"/>
    </row>
    <row r="445">
      <c r="A445" s="44"/>
      <c r="B445" s="369"/>
      <c r="C445" s="44"/>
      <c r="D445" s="370"/>
      <c r="E445" s="369"/>
      <c r="F445" s="371"/>
      <c r="G445" s="369"/>
    </row>
    <row r="446">
      <c r="A446" s="44"/>
      <c r="B446" s="369"/>
      <c r="C446" s="44"/>
      <c r="D446" s="370"/>
      <c r="E446" s="369"/>
      <c r="F446" s="371"/>
      <c r="G446" s="369"/>
    </row>
    <row r="447">
      <c r="A447" s="44"/>
      <c r="B447" s="369"/>
      <c r="C447" s="44"/>
      <c r="D447" s="370"/>
      <c r="E447" s="369"/>
      <c r="F447" s="371"/>
      <c r="G447" s="369"/>
    </row>
    <row r="448">
      <c r="A448" s="44"/>
      <c r="B448" s="369"/>
      <c r="C448" s="44"/>
      <c r="D448" s="370"/>
      <c r="E448" s="369"/>
      <c r="F448" s="371"/>
      <c r="G448" s="369"/>
    </row>
    <row r="449">
      <c r="A449" s="44"/>
      <c r="B449" s="369"/>
      <c r="C449" s="44"/>
      <c r="D449" s="370"/>
      <c r="E449" s="369"/>
      <c r="F449" s="371"/>
      <c r="G449" s="369"/>
    </row>
    <row r="450">
      <c r="A450" s="44"/>
      <c r="B450" s="369"/>
      <c r="C450" s="44"/>
      <c r="D450" s="370"/>
      <c r="E450" s="369"/>
      <c r="F450" s="371"/>
      <c r="G450" s="369"/>
    </row>
    <row r="451">
      <c r="A451" s="44"/>
      <c r="B451" s="369"/>
      <c r="C451" s="44"/>
      <c r="D451" s="370"/>
      <c r="E451" s="369"/>
      <c r="F451" s="371"/>
      <c r="G451" s="369"/>
    </row>
    <row r="452">
      <c r="A452" s="44"/>
      <c r="B452" s="369"/>
      <c r="C452" s="44"/>
      <c r="D452" s="370"/>
      <c r="E452" s="369"/>
      <c r="F452" s="371"/>
      <c r="G452" s="369"/>
    </row>
    <row r="453">
      <c r="A453" s="44"/>
      <c r="B453" s="369"/>
      <c r="C453" s="44"/>
      <c r="D453" s="370"/>
      <c r="E453" s="369"/>
      <c r="F453" s="371"/>
      <c r="G453" s="369"/>
    </row>
    <row r="454">
      <c r="A454" s="44"/>
      <c r="B454" s="369"/>
      <c r="C454" s="44"/>
      <c r="D454" s="370"/>
      <c r="E454" s="369"/>
      <c r="F454" s="371"/>
      <c r="G454" s="369"/>
    </row>
    <row r="455">
      <c r="A455" s="44"/>
      <c r="B455" s="369"/>
      <c r="C455" s="44"/>
      <c r="D455" s="370"/>
      <c r="E455" s="369"/>
      <c r="F455" s="371"/>
      <c r="G455" s="369"/>
    </row>
    <row r="456">
      <c r="A456" s="44"/>
      <c r="B456" s="369"/>
      <c r="C456" s="44"/>
      <c r="D456" s="370"/>
      <c r="E456" s="369"/>
      <c r="F456" s="371"/>
      <c r="G456" s="369"/>
    </row>
    <row r="457">
      <c r="A457" s="44"/>
      <c r="B457" s="369"/>
      <c r="C457" s="44"/>
      <c r="D457" s="370"/>
      <c r="E457" s="369"/>
      <c r="F457" s="371"/>
      <c r="G457" s="369"/>
    </row>
    <row r="458">
      <c r="A458" s="44"/>
      <c r="B458" s="369"/>
      <c r="C458" s="44"/>
      <c r="D458" s="370"/>
      <c r="E458" s="369"/>
      <c r="F458" s="371"/>
      <c r="G458" s="369"/>
    </row>
    <row r="459">
      <c r="A459" s="44"/>
      <c r="B459" s="369"/>
      <c r="C459" s="44"/>
      <c r="D459" s="370"/>
      <c r="E459" s="369"/>
      <c r="F459" s="371"/>
      <c r="G459" s="369"/>
    </row>
    <row r="460">
      <c r="A460" s="44"/>
      <c r="B460" s="369"/>
      <c r="C460" s="44"/>
      <c r="D460" s="370"/>
      <c r="E460" s="369"/>
      <c r="F460" s="371"/>
      <c r="G460" s="369"/>
    </row>
    <row r="461">
      <c r="A461" s="44"/>
      <c r="B461" s="369"/>
      <c r="C461" s="44"/>
      <c r="D461" s="370"/>
      <c r="E461" s="369"/>
      <c r="F461" s="371"/>
      <c r="G461" s="369"/>
    </row>
    <row r="462">
      <c r="A462" s="44"/>
      <c r="B462" s="369"/>
      <c r="C462" s="44"/>
      <c r="D462" s="370"/>
      <c r="E462" s="369"/>
      <c r="F462" s="371"/>
      <c r="G462" s="369"/>
    </row>
    <row r="463">
      <c r="A463" s="44"/>
      <c r="B463" s="369"/>
      <c r="C463" s="44"/>
      <c r="D463" s="370"/>
      <c r="E463" s="369"/>
      <c r="F463" s="371"/>
      <c r="G463" s="369"/>
    </row>
    <row r="464">
      <c r="A464" s="44"/>
      <c r="B464" s="369"/>
      <c r="C464" s="44"/>
      <c r="D464" s="370"/>
      <c r="E464" s="369"/>
      <c r="F464" s="371"/>
      <c r="G464" s="369"/>
    </row>
    <row r="465">
      <c r="A465" s="44"/>
      <c r="B465" s="369"/>
      <c r="C465" s="44"/>
      <c r="D465" s="370"/>
      <c r="E465" s="369"/>
      <c r="F465" s="371"/>
      <c r="G465" s="369"/>
    </row>
    <row r="466">
      <c r="A466" s="44"/>
      <c r="B466" s="369"/>
      <c r="C466" s="44"/>
      <c r="D466" s="370"/>
      <c r="E466" s="369"/>
      <c r="F466" s="371"/>
      <c r="G466" s="369"/>
    </row>
    <row r="467">
      <c r="A467" s="44"/>
      <c r="B467" s="369"/>
      <c r="C467" s="44"/>
      <c r="D467" s="370"/>
      <c r="E467" s="369"/>
      <c r="F467" s="371"/>
      <c r="G467" s="369"/>
    </row>
    <row r="468">
      <c r="A468" s="44"/>
      <c r="B468" s="369"/>
      <c r="C468" s="44"/>
      <c r="D468" s="370"/>
      <c r="E468" s="369"/>
      <c r="F468" s="371"/>
      <c r="G468" s="369"/>
    </row>
    <row r="469">
      <c r="A469" s="44"/>
      <c r="B469" s="369"/>
      <c r="C469" s="44"/>
      <c r="D469" s="370"/>
      <c r="E469" s="369"/>
      <c r="F469" s="371"/>
      <c r="G469" s="369"/>
    </row>
    <row r="470">
      <c r="A470" s="44"/>
      <c r="B470" s="369"/>
      <c r="C470" s="44"/>
      <c r="D470" s="370"/>
      <c r="E470" s="369"/>
      <c r="F470" s="371"/>
      <c r="G470" s="369"/>
    </row>
    <row r="471">
      <c r="A471" s="44"/>
      <c r="B471" s="369"/>
      <c r="C471" s="44"/>
      <c r="D471" s="370"/>
      <c r="E471" s="369"/>
      <c r="F471" s="371"/>
      <c r="G471" s="369"/>
    </row>
    <row r="472">
      <c r="A472" s="44"/>
      <c r="B472" s="369"/>
      <c r="C472" s="44"/>
      <c r="D472" s="370"/>
      <c r="E472" s="369"/>
      <c r="F472" s="371"/>
      <c r="G472" s="369"/>
    </row>
    <row r="473">
      <c r="A473" s="44"/>
      <c r="B473" s="369"/>
      <c r="C473" s="44"/>
      <c r="D473" s="370"/>
      <c r="E473" s="369"/>
      <c r="F473" s="371"/>
      <c r="G473" s="369"/>
    </row>
    <row r="474">
      <c r="A474" s="44"/>
      <c r="B474" s="369"/>
      <c r="C474" s="44"/>
      <c r="D474" s="370"/>
      <c r="E474" s="369"/>
      <c r="F474" s="371"/>
      <c r="G474" s="369"/>
    </row>
    <row r="475">
      <c r="A475" s="44"/>
      <c r="B475" s="369"/>
      <c r="C475" s="44"/>
      <c r="D475" s="370"/>
      <c r="E475" s="369"/>
      <c r="F475" s="371"/>
      <c r="G475" s="369"/>
    </row>
    <row r="476">
      <c r="A476" s="44"/>
      <c r="B476" s="369"/>
      <c r="C476" s="44"/>
      <c r="D476" s="370"/>
      <c r="E476" s="369"/>
      <c r="F476" s="371"/>
      <c r="G476" s="369"/>
    </row>
    <row r="477">
      <c r="A477" s="44"/>
      <c r="B477" s="369"/>
      <c r="C477" s="44"/>
      <c r="D477" s="370"/>
      <c r="E477" s="369"/>
      <c r="F477" s="371"/>
      <c r="G477" s="369"/>
    </row>
    <row r="478">
      <c r="A478" s="44"/>
      <c r="B478" s="369"/>
      <c r="C478" s="44"/>
      <c r="D478" s="370"/>
      <c r="E478" s="369"/>
      <c r="F478" s="371"/>
      <c r="G478" s="369"/>
    </row>
    <row r="479">
      <c r="A479" s="44"/>
      <c r="B479" s="369"/>
      <c r="C479" s="44"/>
      <c r="D479" s="370"/>
      <c r="E479" s="369"/>
      <c r="F479" s="371"/>
      <c r="G479" s="369"/>
    </row>
    <row r="480">
      <c r="A480" s="44"/>
      <c r="B480" s="369"/>
      <c r="C480" s="44"/>
      <c r="D480" s="370"/>
      <c r="E480" s="369"/>
      <c r="F480" s="371"/>
      <c r="G480" s="369"/>
    </row>
    <row r="481">
      <c r="A481" s="44"/>
      <c r="B481" s="369"/>
      <c r="C481" s="44"/>
      <c r="D481" s="370"/>
      <c r="E481" s="369"/>
      <c r="F481" s="371"/>
      <c r="G481" s="369"/>
    </row>
    <row r="482">
      <c r="A482" s="44"/>
      <c r="B482" s="369"/>
      <c r="C482" s="44"/>
      <c r="D482" s="370"/>
      <c r="E482" s="369"/>
      <c r="F482" s="371"/>
      <c r="G482" s="369"/>
    </row>
    <row r="483">
      <c r="A483" s="44"/>
      <c r="B483" s="369"/>
      <c r="C483" s="44"/>
      <c r="D483" s="370"/>
      <c r="E483" s="369"/>
      <c r="F483" s="371"/>
      <c r="G483" s="369"/>
    </row>
    <row r="484">
      <c r="A484" s="44"/>
      <c r="B484" s="369"/>
      <c r="C484" s="44"/>
      <c r="D484" s="370"/>
      <c r="E484" s="369"/>
      <c r="F484" s="371"/>
      <c r="G484" s="369"/>
    </row>
    <row r="485">
      <c r="A485" s="44"/>
      <c r="B485" s="369"/>
      <c r="C485" s="44"/>
      <c r="D485" s="370"/>
      <c r="E485" s="369"/>
      <c r="F485" s="371"/>
      <c r="G485" s="369"/>
    </row>
    <row r="486">
      <c r="A486" s="44"/>
      <c r="B486" s="369"/>
      <c r="C486" s="44"/>
      <c r="D486" s="370"/>
      <c r="E486" s="369"/>
      <c r="F486" s="371"/>
      <c r="G486" s="369"/>
    </row>
    <row r="487">
      <c r="A487" s="44"/>
      <c r="B487" s="369"/>
      <c r="C487" s="44"/>
      <c r="D487" s="370"/>
      <c r="E487" s="369"/>
      <c r="F487" s="371"/>
      <c r="G487" s="369"/>
    </row>
    <row r="488">
      <c r="A488" s="44"/>
      <c r="B488" s="369"/>
      <c r="C488" s="44"/>
      <c r="D488" s="370"/>
      <c r="E488" s="369"/>
      <c r="F488" s="371"/>
      <c r="G488" s="369"/>
    </row>
    <row r="489">
      <c r="A489" s="44"/>
      <c r="B489" s="369"/>
      <c r="C489" s="44"/>
      <c r="D489" s="370"/>
      <c r="E489" s="369"/>
      <c r="F489" s="371"/>
      <c r="G489" s="369"/>
    </row>
    <row r="490">
      <c r="A490" s="44"/>
      <c r="B490" s="369"/>
      <c r="C490" s="44"/>
      <c r="D490" s="370"/>
      <c r="E490" s="369"/>
      <c r="F490" s="371"/>
      <c r="G490" s="369"/>
    </row>
    <row r="491">
      <c r="A491" s="44"/>
      <c r="B491" s="369"/>
      <c r="C491" s="44"/>
      <c r="D491" s="370"/>
      <c r="E491" s="369"/>
      <c r="F491" s="371"/>
      <c r="G491" s="369"/>
    </row>
    <row r="492">
      <c r="A492" s="44"/>
      <c r="B492" s="369"/>
      <c r="C492" s="44"/>
      <c r="D492" s="370"/>
      <c r="E492" s="369"/>
      <c r="F492" s="371"/>
      <c r="G492" s="369"/>
    </row>
    <row r="493">
      <c r="A493" s="44"/>
      <c r="B493" s="369"/>
      <c r="C493" s="44"/>
      <c r="D493" s="370"/>
      <c r="E493" s="369"/>
      <c r="F493" s="371"/>
      <c r="G493" s="369"/>
    </row>
    <row r="494">
      <c r="A494" s="44"/>
      <c r="B494" s="369"/>
      <c r="C494" s="44"/>
      <c r="D494" s="370"/>
      <c r="E494" s="369"/>
      <c r="F494" s="371"/>
      <c r="G494" s="369"/>
    </row>
    <row r="495">
      <c r="A495" s="44"/>
      <c r="B495" s="369"/>
      <c r="C495" s="44"/>
      <c r="D495" s="370"/>
      <c r="E495" s="369"/>
      <c r="F495" s="371"/>
      <c r="G495" s="369"/>
    </row>
    <row r="496">
      <c r="A496" s="44"/>
      <c r="B496" s="369"/>
      <c r="C496" s="44"/>
      <c r="D496" s="370"/>
      <c r="E496" s="369"/>
      <c r="F496" s="371"/>
      <c r="G496" s="369"/>
    </row>
    <row r="497">
      <c r="A497" s="44"/>
      <c r="B497" s="369"/>
      <c r="C497" s="44"/>
      <c r="D497" s="370"/>
      <c r="E497" s="369"/>
      <c r="F497" s="371"/>
      <c r="G497" s="369"/>
    </row>
    <row r="498">
      <c r="A498" s="44"/>
      <c r="B498" s="369"/>
      <c r="C498" s="44"/>
      <c r="D498" s="370"/>
      <c r="E498" s="369"/>
      <c r="F498" s="371"/>
      <c r="G498" s="369"/>
    </row>
    <row r="499">
      <c r="A499" s="44"/>
      <c r="B499" s="369"/>
      <c r="C499" s="44"/>
      <c r="D499" s="370"/>
      <c r="E499" s="369"/>
      <c r="F499" s="371"/>
      <c r="G499" s="369"/>
    </row>
    <row r="500">
      <c r="A500" s="44"/>
      <c r="B500" s="369"/>
      <c r="C500" s="44"/>
      <c r="D500" s="370"/>
      <c r="E500" s="369"/>
      <c r="F500" s="371"/>
      <c r="G500" s="369"/>
    </row>
    <row r="501">
      <c r="B501" s="369"/>
      <c r="D501" s="370"/>
      <c r="E501" s="369"/>
      <c r="F501" s="369"/>
      <c r="G501" s="369"/>
    </row>
    <row r="502">
      <c r="B502" s="369"/>
      <c r="D502" s="370"/>
      <c r="E502" s="369"/>
      <c r="F502" s="369"/>
      <c r="G502" s="369"/>
    </row>
    <row r="503">
      <c r="B503" s="369"/>
      <c r="D503" s="370"/>
      <c r="E503" s="369"/>
      <c r="F503" s="369"/>
      <c r="G503" s="369"/>
    </row>
    <row r="504">
      <c r="B504" s="369"/>
      <c r="D504" s="370"/>
      <c r="E504" s="369"/>
      <c r="F504" s="369"/>
      <c r="G504" s="369"/>
    </row>
    <row r="505">
      <c r="B505" s="369"/>
      <c r="D505" s="370"/>
      <c r="E505" s="369"/>
      <c r="F505" s="369"/>
      <c r="G505" s="369"/>
    </row>
    <row r="506">
      <c r="B506" s="369"/>
      <c r="D506" s="370"/>
      <c r="E506" s="369"/>
      <c r="F506" s="369"/>
      <c r="G506" s="369"/>
    </row>
    <row r="507">
      <c r="B507" s="369"/>
      <c r="D507" s="370"/>
      <c r="E507" s="369"/>
      <c r="F507" s="369"/>
      <c r="G507" s="369"/>
    </row>
    <row r="508">
      <c r="B508" s="369"/>
      <c r="D508" s="370"/>
      <c r="E508" s="369"/>
      <c r="F508" s="369"/>
      <c r="G508" s="369"/>
    </row>
    <row r="509">
      <c r="B509" s="369"/>
      <c r="D509" s="370"/>
      <c r="E509" s="369"/>
      <c r="F509" s="369"/>
      <c r="G509" s="369"/>
    </row>
    <row r="510">
      <c r="B510" s="369"/>
      <c r="D510" s="370"/>
      <c r="E510" s="369"/>
      <c r="F510" s="369"/>
      <c r="G510" s="369"/>
    </row>
    <row r="511">
      <c r="B511" s="369"/>
      <c r="D511" s="370"/>
      <c r="E511" s="369"/>
      <c r="F511" s="369"/>
      <c r="G511" s="369"/>
    </row>
    <row r="512">
      <c r="B512" s="369"/>
      <c r="D512" s="370"/>
      <c r="E512" s="369"/>
      <c r="F512" s="369"/>
      <c r="G512" s="369"/>
    </row>
    <row r="513">
      <c r="B513" s="369"/>
      <c r="D513" s="370"/>
      <c r="E513" s="369"/>
      <c r="F513" s="369"/>
      <c r="G513" s="369"/>
    </row>
    <row r="514">
      <c r="B514" s="369"/>
      <c r="D514" s="370"/>
      <c r="E514" s="369"/>
      <c r="F514" s="369"/>
      <c r="G514" s="369"/>
    </row>
    <row r="515">
      <c r="B515" s="369"/>
      <c r="D515" s="370"/>
      <c r="E515" s="369"/>
      <c r="F515" s="369"/>
      <c r="G515" s="369"/>
    </row>
    <row r="516">
      <c r="B516" s="369"/>
      <c r="D516" s="370"/>
      <c r="E516" s="369"/>
      <c r="F516" s="369"/>
      <c r="G516" s="369"/>
    </row>
    <row r="517">
      <c r="B517" s="369"/>
      <c r="D517" s="370"/>
      <c r="E517" s="369"/>
      <c r="F517" s="369"/>
      <c r="G517" s="369"/>
    </row>
    <row r="518">
      <c r="B518" s="369"/>
      <c r="D518" s="370"/>
      <c r="E518" s="369"/>
      <c r="F518" s="369"/>
      <c r="G518" s="369"/>
    </row>
    <row r="519">
      <c r="B519" s="369"/>
      <c r="D519" s="370"/>
      <c r="E519" s="369"/>
      <c r="F519" s="369"/>
      <c r="G519" s="369"/>
    </row>
    <row r="520">
      <c r="B520" s="369"/>
      <c r="D520" s="370"/>
      <c r="E520" s="369"/>
      <c r="F520" s="369"/>
      <c r="G520" s="369"/>
    </row>
    <row r="521">
      <c r="B521" s="369"/>
      <c r="D521" s="370"/>
      <c r="E521" s="369"/>
      <c r="F521" s="369"/>
      <c r="G521" s="369"/>
    </row>
    <row r="522">
      <c r="B522" s="369"/>
      <c r="D522" s="370"/>
      <c r="E522" s="369"/>
      <c r="F522" s="369"/>
      <c r="G522" s="369"/>
    </row>
    <row r="523">
      <c r="B523" s="369"/>
      <c r="D523" s="370"/>
      <c r="E523" s="369"/>
      <c r="F523" s="369"/>
      <c r="G523" s="369"/>
    </row>
    <row r="524">
      <c r="B524" s="369"/>
      <c r="D524" s="370"/>
      <c r="E524" s="369"/>
      <c r="F524" s="369"/>
      <c r="G524" s="369"/>
    </row>
    <row r="525">
      <c r="B525" s="369"/>
      <c r="D525" s="370"/>
      <c r="E525" s="369"/>
      <c r="F525" s="369"/>
      <c r="G525" s="369"/>
    </row>
    <row r="526">
      <c r="B526" s="369"/>
      <c r="D526" s="370"/>
      <c r="E526" s="369"/>
      <c r="F526" s="369"/>
      <c r="G526" s="369"/>
    </row>
    <row r="527">
      <c r="B527" s="369"/>
      <c r="D527" s="370"/>
      <c r="E527" s="369"/>
      <c r="F527" s="369"/>
      <c r="G527" s="369"/>
    </row>
    <row r="528">
      <c r="B528" s="369"/>
      <c r="D528" s="370"/>
      <c r="E528" s="369"/>
      <c r="F528" s="369"/>
      <c r="G528" s="369"/>
    </row>
    <row r="529">
      <c r="B529" s="369"/>
      <c r="D529" s="370"/>
      <c r="E529" s="369"/>
      <c r="F529" s="369"/>
      <c r="G529" s="369"/>
    </row>
    <row r="530">
      <c r="B530" s="369"/>
      <c r="D530" s="370"/>
      <c r="E530" s="369"/>
      <c r="F530" s="369"/>
      <c r="G530" s="369"/>
    </row>
    <row r="531">
      <c r="B531" s="369"/>
      <c r="D531" s="370"/>
      <c r="E531" s="369"/>
      <c r="F531" s="369"/>
      <c r="G531" s="369"/>
    </row>
    <row r="532">
      <c r="B532" s="369"/>
      <c r="D532" s="370"/>
      <c r="E532" s="369"/>
      <c r="F532" s="369"/>
      <c r="G532" s="369"/>
    </row>
    <row r="533">
      <c r="B533" s="369"/>
      <c r="D533" s="370"/>
      <c r="E533" s="369"/>
      <c r="F533" s="369"/>
      <c r="G533" s="369"/>
    </row>
    <row r="534">
      <c r="B534" s="369"/>
      <c r="D534" s="370"/>
      <c r="E534" s="369"/>
      <c r="F534" s="369"/>
      <c r="G534" s="369"/>
    </row>
    <row r="535">
      <c r="B535" s="369"/>
      <c r="D535" s="370"/>
      <c r="E535" s="369"/>
      <c r="F535" s="369"/>
      <c r="G535" s="369"/>
    </row>
    <row r="536">
      <c r="B536" s="369"/>
      <c r="D536" s="370"/>
      <c r="E536" s="369"/>
      <c r="F536" s="369"/>
      <c r="G536" s="369"/>
    </row>
    <row r="537">
      <c r="B537" s="369"/>
      <c r="D537" s="370"/>
      <c r="E537" s="369"/>
      <c r="F537" s="369"/>
      <c r="G537" s="369"/>
    </row>
    <row r="538">
      <c r="B538" s="369"/>
      <c r="D538" s="370"/>
      <c r="E538" s="369"/>
      <c r="F538" s="369"/>
      <c r="G538" s="369"/>
    </row>
    <row r="539">
      <c r="B539" s="369"/>
      <c r="D539" s="370"/>
      <c r="E539" s="369"/>
      <c r="F539" s="369"/>
      <c r="G539" s="369"/>
    </row>
    <row r="540">
      <c r="B540" s="369"/>
      <c r="D540" s="370"/>
      <c r="E540" s="369"/>
      <c r="F540" s="369"/>
      <c r="G540" s="369"/>
    </row>
    <row r="541">
      <c r="B541" s="369"/>
      <c r="D541" s="370"/>
      <c r="E541" s="369"/>
      <c r="F541" s="369"/>
      <c r="G541" s="369"/>
    </row>
    <row r="542">
      <c r="B542" s="369"/>
      <c r="D542" s="370"/>
      <c r="E542" s="369"/>
      <c r="F542" s="369"/>
      <c r="G542" s="369"/>
    </row>
    <row r="543">
      <c r="B543" s="369"/>
      <c r="D543" s="370"/>
      <c r="E543" s="369"/>
      <c r="F543" s="369"/>
      <c r="G543" s="369"/>
    </row>
    <row r="544">
      <c r="B544" s="369"/>
      <c r="D544" s="370"/>
      <c r="E544" s="369"/>
      <c r="F544" s="369"/>
      <c r="G544" s="369"/>
    </row>
    <row r="545">
      <c r="B545" s="369"/>
      <c r="D545" s="370"/>
      <c r="E545" s="369"/>
      <c r="F545" s="369"/>
      <c r="G545" s="369"/>
    </row>
    <row r="546">
      <c r="B546" s="369"/>
      <c r="D546" s="370"/>
      <c r="E546" s="369"/>
      <c r="F546" s="369"/>
      <c r="G546" s="369"/>
    </row>
    <row r="547">
      <c r="B547" s="369"/>
      <c r="D547" s="370"/>
      <c r="E547" s="369"/>
      <c r="F547" s="369"/>
      <c r="G547" s="369"/>
    </row>
    <row r="548">
      <c r="B548" s="369"/>
      <c r="D548" s="370"/>
      <c r="E548" s="369"/>
      <c r="F548" s="369"/>
      <c r="G548" s="369"/>
    </row>
    <row r="549">
      <c r="B549" s="369"/>
      <c r="D549" s="370"/>
      <c r="E549" s="369"/>
      <c r="F549" s="369"/>
      <c r="G549" s="369"/>
    </row>
    <row r="550">
      <c r="B550" s="369"/>
      <c r="D550" s="370"/>
      <c r="E550" s="369"/>
      <c r="F550" s="369"/>
      <c r="G550" s="369"/>
    </row>
    <row r="551">
      <c r="B551" s="369"/>
      <c r="D551" s="370"/>
      <c r="E551" s="369"/>
      <c r="F551" s="369"/>
      <c r="G551" s="369"/>
    </row>
    <row r="552">
      <c r="B552" s="369"/>
      <c r="D552" s="370"/>
      <c r="E552" s="369"/>
      <c r="F552" s="369"/>
      <c r="G552" s="369"/>
    </row>
    <row r="553">
      <c r="B553" s="369"/>
      <c r="D553" s="370"/>
      <c r="E553" s="369"/>
      <c r="F553" s="369"/>
      <c r="G553" s="369"/>
    </row>
    <row r="554">
      <c r="B554" s="369"/>
      <c r="D554" s="370"/>
      <c r="E554" s="369"/>
      <c r="F554" s="369"/>
      <c r="G554" s="369"/>
    </row>
    <row r="555">
      <c r="B555" s="369"/>
      <c r="D555" s="370"/>
      <c r="E555" s="369"/>
      <c r="F555" s="369"/>
      <c r="G555" s="369"/>
    </row>
    <row r="556">
      <c r="B556" s="369"/>
      <c r="D556" s="370"/>
      <c r="E556" s="369"/>
      <c r="F556" s="369"/>
      <c r="G556" s="369"/>
    </row>
    <row r="557">
      <c r="B557" s="369"/>
      <c r="D557" s="370"/>
      <c r="E557" s="369"/>
      <c r="F557" s="369"/>
      <c r="G557" s="369"/>
    </row>
    <row r="558">
      <c r="B558" s="369"/>
      <c r="D558" s="370"/>
      <c r="E558" s="369"/>
      <c r="F558" s="369"/>
      <c r="G558" s="369"/>
    </row>
    <row r="559">
      <c r="B559" s="369"/>
      <c r="D559" s="370"/>
      <c r="E559" s="369"/>
      <c r="F559" s="369"/>
      <c r="G559" s="369"/>
    </row>
    <row r="560">
      <c r="B560" s="369"/>
      <c r="D560" s="370"/>
      <c r="E560" s="369"/>
      <c r="F560" s="369"/>
      <c r="G560" s="369"/>
    </row>
    <row r="561">
      <c r="B561" s="369"/>
      <c r="D561" s="370"/>
      <c r="E561" s="369"/>
      <c r="F561" s="369"/>
      <c r="G561" s="369"/>
    </row>
    <row r="562">
      <c r="B562" s="369"/>
      <c r="D562" s="370"/>
      <c r="E562" s="369"/>
      <c r="F562" s="369"/>
      <c r="G562" s="369"/>
    </row>
    <row r="563">
      <c r="B563" s="369"/>
      <c r="D563" s="370"/>
      <c r="E563" s="369"/>
      <c r="F563" s="369"/>
      <c r="G563" s="369"/>
    </row>
    <row r="564">
      <c r="B564" s="369"/>
      <c r="D564" s="370"/>
      <c r="E564" s="369"/>
      <c r="F564" s="369"/>
      <c r="G564" s="369"/>
    </row>
    <row r="565">
      <c r="B565" s="369"/>
      <c r="D565" s="370"/>
      <c r="E565" s="369"/>
      <c r="F565" s="369"/>
      <c r="G565" s="369"/>
    </row>
    <row r="566">
      <c r="B566" s="369"/>
      <c r="D566" s="370"/>
      <c r="E566" s="369"/>
      <c r="F566" s="369"/>
      <c r="G566" s="369"/>
    </row>
    <row r="567">
      <c r="B567" s="369"/>
      <c r="D567" s="370"/>
      <c r="E567" s="369"/>
      <c r="F567" s="369"/>
      <c r="G567" s="369"/>
    </row>
    <row r="568">
      <c r="B568" s="369"/>
      <c r="D568" s="370"/>
      <c r="E568" s="369"/>
      <c r="F568" s="369"/>
      <c r="G568" s="369"/>
    </row>
    <row r="569">
      <c r="B569" s="369"/>
      <c r="D569" s="370"/>
      <c r="E569" s="369"/>
      <c r="F569" s="369"/>
      <c r="G569" s="369"/>
    </row>
    <row r="570">
      <c r="B570" s="369"/>
      <c r="D570" s="370"/>
      <c r="E570" s="369"/>
      <c r="F570" s="369"/>
      <c r="G570" s="369"/>
    </row>
    <row r="571">
      <c r="B571" s="369"/>
      <c r="D571" s="370"/>
      <c r="E571" s="369"/>
      <c r="F571" s="369"/>
      <c r="G571" s="369"/>
    </row>
    <row r="572">
      <c r="B572" s="369"/>
      <c r="D572" s="370"/>
      <c r="E572" s="369"/>
      <c r="F572" s="369"/>
      <c r="G572" s="369"/>
    </row>
    <row r="573">
      <c r="B573" s="369"/>
      <c r="D573" s="370"/>
      <c r="E573" s="369"/>
      <c r="F573" s="369"/>
      <c r="G573" s="369"/>
    </row>
    <row r="574">
      <c r="B574" s="369"/>
      <c r="D574" s="370"/>
      <c r="E574" s="369"/>
      <c r="F574" s="369"/>
      <c r="G574" s="369"/>
    </row>
    <row r="575">
      <c r="B575" s="369"/>
      <c r="D575" s="370"/>
      <c r="E575" s="369"/>
      <c r="F575" s="369"/>
      <c r="G575" s="369"/>
    </row>
    <row r="576">
      <c r="B576" s="369"/>
      <c r="D576" s="370"/>
      <c r="E576" s="369"/>
      <c r="F576" s="369"/>
      <c r="G576" s="369"/>
    </row>
    <row r="577">
      <c r="B577" s="369"/>
      <c r="D577" s="370"/>
      <c r="E577" s="369"/>
      <c r="F577" s="369"/>
      <c r="G577" s="369"/>
    </row>
    <row r="578">
      <c r="B578" s="369"/>
      <c r="D578" s="370"/>
      <c r="E578" s="369"/>
      <c r="F578" s="369"/>
      <c r="G578" s="369"/>
    </row>
    <row r="579">
      <c r="B579" s="369"/>
      <c r="D579" s="370"/>
      <c r="E579" s="369"/>
      <c r="F579" s="369"/>
      <c r="G579" s="369"/>
    </row>
    <row r="580">
      <c r="B580" s="369"/>
      <c r="D580" s="370"/>
      <c r="E580" s="369"/>
      <c r="F580" s="369"/>
      <c r="G580" s="369"/>
    </row>
    <row r="581">
      <c r="B581" s="369"/>
      <c r="D581" s="370"/>
      <c r="E581" s="369"/>
      <c r="F581" s="369"/>
      <c r="G581" s="369"/>
    </row>
    <row r="582">
      <c r="B582" s="369"/>
      <c r="D582" s="370"/>
      <c r="E582" s="369"/>
      <c r="F582" s="369"/>
      <c r="G582" s="369"/>
    </row>
    <row r="583">
      <c r="B583" s="369"/>
      <c r="D583" s="370"/>
      <c r="E583" s="369"/>
      <c r="F583" s="369"/>
      <c r="G583" s="369"/>
    </row>
    <row r="584">
      <c r="B584" s="369"/>
      <c r="D584" s="370"/>
      <c r="E584" s="369"/>
      <c r="F584" s="369"/>
      <c r="G584" s="369"/>
    </row>
    <row r="585">
      <c r="B585" s="369"/>
      <c r="D585" s="370"/>
      <c r="E585" s="369"/>
      <c r="F585" s="369"/>
      <c r="G585" s="369"/>
    </row>
    <row r="586">
      <c r="B586" s="369"/>
      <c r="D586" s="370"/>
      <c r="E586" s="369"/>
      <c r="F586" s="369"/>
      <c r="G586" s="369"/>
    </row>
    <row r="587">
      <c r="B587" s="369"/>
      <c r="D587" s="370"/>
      <c r="E587" s="369"/>
      <c r="F587" s="369"/>
      <c r="G587" s="369"/>
    </row>
    <row r="588">
      <c r="B588" s="369"/>
      <c r="D588" s="370"/>
      <c r="E588" s="369"/>
      <c r="F588" s="369"/>
      <c r="G588" s="369"/>
    </row>
    <row r="589">
      <c r="B589" s="369"/>
      <c r="D589" s="370"/>
      <c r="E589" s="369"/>
      <c r="F589" s="369"/>
      <c r="G589" s="369"/>
    </row>
    <row r="590">
      <c r="B590" s="369"/>
      <c r="D590" s="370"/>
      <c r="E590" s="369"/>
      <c r="F590" s="369"/>
      <c r="G590" s="369"/>
    </row>
    <row r="591">
      <c r="B591" s="369"/>
      <c r="D591" s="370"/>
      <c r="E591" s="369"/>
      <c r="F591" s="369"/>
      <c r="G591" s="369"/>
    </row>
    <row r="592">
      <c r="B592" s="369"/>
      <c r="D592" s="370"/>
      <c r="E592" s="369"/>
      <c r="F592" s="369"/>
      <c r="G592" s="369"/>
    </row>
    <row r="593">
      <c r="B593" s="369"/>
      <c r="D593" s="370"/>
      <c r="E593" s="369"/>
      <c r="F593" s="369"/>
      <c r="G593" s="369"/>
    </row>
    <row r="594">
      <c r="B594" s="369"/>
      <c r="D594" s="370"/>
      <c r="E594" s="369"/>
      <c r="F594" s="369"/>
      <c r="G594" s="369"/>
    </row>
    <row r="595">
      <c r="B595" s="369"/>
      <c r="D595" s="370"/>
      <c r="E595" s="369"/>
      <c r="F595" s="369"/>
      <c r="G595" s="369"/>
    </row>
    <row r="596">
      <c r="B596" s="369"/>
      <c r="D596" s="370"/>
      <c r="E596" s="369"/>
      <c r="F596" s="369"/>
      <c r="G596" s="369"/>
    </row>
    <row r="597">
      <c r="B597" s="369"/>
      <c r="D597" s="370"/>
      <c r="E597" s="369"/>
      <c r="F597" s="369"/>
      <c r="G597" s="369"/>
    </row>
    <row r="598">
      <c r="B598" s="369"/>
      <c r="D598" s="370"/>
      <c r="E598" s="369"/>
      <c r="F598" s="369"/>
      <c r="G598" s="369"/>
    </row>
    <row r="599">
      <c r="B599" s="369"/>
      <c r="D599" s="370"/>
      <c r="E599" s="369"/>
      <c r="F599" s="369"/>
      <c r="G599" s="369"/>
    </row>
    <row r="600">
      <c r="B600" s="369"/>
      <c r="D600" s="370"/>
      <c r="E600" s="369"/>
      <c r="F600" s="369"/>
      <c r="G600" s="369"/>
    </row>
    <row r="601">
      <c r="B601" s="369"/>
      <c r="D601" s="370"/>
      <c r="E601" s="369"/>
      <c r="F601" s="369"/>
      <c r="G601" s="369"/>
    </row>
    <row r="602">
      <c r="B602" s="369"/>
      <c r="D602" s="370"/>
      <c r="E602" s="369"/>
      <c r="F602" s="369"/>
      <c r="G602" s="369"/>
    </row>
    <row r="603">
      <c r="B603" s="369"/>
      <c r="D603" s="370"/>
      <c r="E603" s="369"/>
      <c r="F603" s="369"/>
      <c r="G603" s="369"/>
    </row>
    <row r="604">
      <c r="B604" s="369"/>
      <c r="D604" s="370"/>
      <c r="E604" s="369"/>
      <c r="F604" s="369"/>
      <c r="G604" s="369"/>
    </row>
    <row r="605">
      <c r="B605" s="369"/>
      <c r="D605" s="370"/>
      <c r="E605" s="369"/>
      <c r="F605" s="369"/>
      <c r="G605" s="369"/>
    </row>
    <row r="606">
      <c r="B606" s="369"/>
      <c r="D606" s="370"/>
      <c r="E606" s="369"/>
      <c r="F606" s="369"/>
      <c r="G606" s="369"/>
    </row>
    <row r="607">
      <c r="B607" s="369"/>
      <c r="D607" s="370"/>
      <c r="E607" s="369"/>
      <c r="F607" s="369"/>
      <c r="G607" s="369"/>
    </row>
    <row r="608">
      <c r="B608" s="369"/>
      <c r="D608" s="370"/>
      <c r="E608" s="369"/>
      <c r="F608" s="369"/>
      <c r="G608" s="369"/>
    </row>
    <row r="609">
      <c r="B609" s="369"/>
      <c r="D609" s="370"/>
      <c r="E609" s="369"/>
      <c r="F609" s="369"/>
      <c r="G609" s="369"/>
    </row>
    <row r="610">
      <c r="B610" s="369"/>
      <c r="D610" s="370"/>
      <c r="E610" s="369"/>
      <c r="F610" s="369"/>
      <c r="G610" s="369"/>
    </row>
    <row r="611">
      <c r="B611" s="369"/>
      <c r="D611" s="370"/>
      <c r="E611" s="369"/>
      <c r="F611" s="369"/>
      <c r="G611" s="369"/>
    </row>
    <row r="612">
      <c r="B612" s="369"/>
      <c r="D612" s="370"/>
      <c r="E612" s="369"/>
      <c r="F612" s="369"/>
      <c r="G612" s="369"/>
    </row>
    <row r="613">
      <c r="B613" s="369"/>
      <c r="D613" s="370"/>
      <c r="E613" s="369"/>
      <c r="F613" s="369"/>
      <c r="G613" s="369"/>
    </row>
    <row r="614">
      <c r="B614" s="369"/>
      <c r="D614" s="370"/>
      <c r="E614" s="369"/>
      <c r="F614" s="369"/>
      <c r="G614" s="369"/>
    </row>
    <row r="615">
      <c r="B615" s="369"/>
      <c r="D615" s="370"/>
      <c r="E615" s="369"/>
      <c r="F615" s="369"/>
      <c r="G615" s="369"/>
    </row>
    <row r="616">
      <c r="B616" s="369"/>
      <c r="D616" s="370"/>
      <c r="E616" s="369"/>
      <c r="F616" s="369"/>
      <c r="G616" s="369"/>
    </row>
    <row r="617">
      <c r="B617" s="369"/>
      <c r="D617" s="370"/>
      <c r="E617" s="369"/>
      <c r="F617" s="369"/>
      <c r="G617" s="369"/>
    </row>
    <row r="618">
      <c r="B618" s="369"/>
      <c r="D618" s="370"/>
      <c r="E618" s="369"/>
      <c r="F618" s="369"/>
      <c r="G618" s="369"/>
    </row>
    <row r="619">
      <c r="B619" s="369"/>
      <c r="D619" s="370"/>
      <c r="E619" s="369"/>
      <c r="F619" s="369"/>
      <c r="G619" s="369"/>
    </row>
    <row r="620">
      <c r="B620" s="369"/>
      <c r="D620" s="370"/>
      <c r="E620" s="369"/>
      <c r="F620" s="369"/>
      <c r="G620" s="369"/>
    </row>
    <row r="621">
      <c r="B621" s="369"/>
      <c r="D621" s="370"/>
      <c r="E621" s="369"/>
      <c r="F621" s="369"/>
      <c r="G621" s="369"/>
    </row>
    <row r="622">
      <c r="B622" s="369"/>
      <c r="D622" s="370"/>
      <c r="E622" s="369"/>
      <c r="F622" s="369"/>
      <c r="G622" s="369"/>
    </row>
    <row r="623">
      <c r="B623" s="369"/>
      <c r="D623" s="370"/>
      <c r="E623" s="369"/>
      <c r="F623" s="369"/>
      <c r="G623" s="369"/>
    </row>
    <row r="624">
      <c r="B624" s="369"/>
      <c r="D624" s="370"/>
      <c r="E624" s="369"/>
      <c r="F624" s="369"/>
      <c r="G624" s="369"/>
    </row>
    <row r="625">
      <c r="B625" s="369"/>
      <c r="D625" s="370"/>
      <c r="E625" s="369"/>
      <c r="F625" s="369"/>
      <c r="G625" s="369"/>
    </row>
    <row r="626">
      <c r="B626" s="369"/>
      <c r="D626" s="370"/>
      <c r="E626" s="369"/>
      <c r="F626" s="369"/>
      <c r="G626" s="369"/>
    </row>
    <row r="627">
      <c r="B627" s="369"/>
      <c r="D627" s="370"/>
      <c r="E627" s="369"/>
      <c r="F627" s="369"/>
      <c r="G627" s="369"/>
    </row>
    <row r="628">
      <c r="B628" s="369"/>
      <c r="D628" s="370"/>
      <c r="E628" s="369"/>
      <c r="F628" s="369"/>
      <c r="G628" s="369"/>
    </row>
    <row r="629">
      <c r="B629" s="369"/>
      <c r="D629" s="370"/>
      <c r="E629" s="369"/>
      <c r="F629" s="369"/>
      <c r="G629" s="369"/>
    </row>
    <row r="630">
      <c r="B630" s="369"/>
      <c r="D630" s="370"/>
      <c r="E630" s="369"/>
      <c r="F630" s="369"/>
      <c r="G630" s="369"/>
    </row>
    <row r="631">
      <c r="B631" s="369"/>
      <c r="D631" s="370"/>
      <c r="E631" s="369"/>
      <c r="F631" s="369"/>
      <c r="G631" s="369"/>
    </row>
    <row r="632">
      <c r="B632" s="369"/>
      <c r="D632" s="370"/>
      <c r="E632" s="369"/>
      <c r="F632" s="369"/>
      <c r="G632" s="369"/>
    </row>
    <row r="633">
      <c r="B633" s="369"/>
      <c r="D633" s="370"/>
      <c r="E633" s="369"/>
      <c r="F633" s="369"/>
      <c r="G633" s="369"/>
    </row>
    <row r="634">
      <c r="B634" s="369"/>
      <c r="D634" s="370"/>
      <c r="E634" s="369"/>
      <c r="F634" s="369"/>
      <c r="G634" s="369"/>
    </row>
    <row r="635">
      <c r="B635" s="369"/>
      <c r="D635" s="370"/>
      <c r="E635" s="369"/>
      <c r="F635" s="369"/>
      <c r="G635" s="369"/>
    </row>
    <row r="636">
      <c r="B636" s="369"/>
      <c r="D636" s="370"/>
      <c r="E636" s="369"/>
      <c r="F636" s="369"/>
      <c r="G636" s="369"/>
    </row>
    <row r="637">
      <c r="B637" s="369"/>
      <c r="D637" s="370"/>
      <c r="E637" s="369"/>
      <c r="F637" s="369"/>
      <c r="G637" s="369"/>
    </row>
    <row r="638">
      <c r="B638" s="369"/>
      <c r="D638" s="370"/>
      <c r="E638" s="369"/>
      <c r="F638" s="369"/>
      <c r="G638" s="369"/>
    </row>
    <row r="639">
      <c r="B639" s="369"/>
      <c r="D639" s="370"/>
      <c r="E639" s="369"/>
      <c r="F639" s="369"/>
      <c r="G639" s="369"/>
    </row>
    <row r="640">
      <c r="B640" s="369"/>
      <c r="D640" s="370"/>
      <c r="E640" s="369"/>
      <c r="F640" s="369"/>
      <c r="G640" s="369"/>
    </row>
    <row r="641">
      <c r="B641" s="369"/>
      <c r="D641" s="370"/>
      <c r="E641" s="369"/>
      <c r="F641" s="369"/>
      <c r="G641" s="369"/>
    </row>
    <row r="642">
      <c r="B642" s="369"/>
      <c r="D642" s="370"/>
      <c r="E642" s="369"/>
      <c r="F642" s="369"/>
      <c r="G642" s="369"/>
    </row>
    <row r="643">
      <c r="B643" s="369"/>
      <c r="D643" s="370"/>
      <c r="E643" s="369"/>
      <c r="F643" s="369"/>
      <c r="G643" s="369"/>
    </row>
    <row r="644">
      <c r="B644" s="369"/>
      <c r="D644" s="370"/>
      <c r="E644" s="369"/>
      <c r="F644" s="369"/>
      <c r="G644" s="369"/>
    </row>
    <row r="645">
      <c r="B645" s="369"/>
      <c r="D645" s="370"/>
      <c r="E645" s="369"/>
      <c r="F645" s="369"/>
      <c r="G645" s="369"/>
    </row>
    <row r="646">
      <c r="B646" s="369"/>
      <c r="D646" s="370"/>
      <c r="E646" s="369"/>
      <c r="F646" s="369"/>
      <c r="G646" s="369"/>
    </row>
    <row r="647">
      <c r="B647" s="369"/>
      <c r="D647" s="370"/>
      <c r="E647" s="369"/>
      <c r="F647" s="369"/>
      <c r="G647" s="369"/>
    </row>
    <row r="648">
      <c r="B648" s="369"/>
      <c r="D648" s="370"/>
      <c r="E648" s="369"/>
      <c r="F648" s="369"/>
      <c r="G648" s="369"/>
    </row>
    <row r="649">
      <c r="B649" s="369"/>
      <c r="D649" s="370"/>
      <c r="E649" s="369"/>
      <c r="F649" s="369"/>
      <c r="G649" s="369"/>
    </row>
    <row r="650">
      <c r="B650" s="369"/>
      <c r="D650" s="370"/>
      <c r="E650" s="369"/>
      <c r="F650" s="369"/>
      <c r="G650" s="369"/>
    </row>
    <row r="651">
      <c r="B651" s="369"/>
      <c r="D651" s="370"/>
      <c r="E651" s="369"/>
      <c r="F651" s="369"/>
      <c r="G651" s="369"/>
    </row>
    <row r="652">
      <c r="B652" s="369"/>
      <c r="D652" s="370"/>
      <c r="E652" s="369"/>
      <c r="F652" s="369"/>
      <c r="G652" s="369"/>
    </row>
    <row r="653">
      <c r="B653" s="369"/>
      <c r="D653" s="370"/>
      <c r="E653" s="369"/>
      <c r="F653" s="369"/>
      <c r="G653" s="369"/>
    </row>
    <row r="654">
      <c r="B654" s="369"/>
      <c r="D654" s="370"/>
      <c r="E654" s="369"/>
      <c r="F654" s="369"/>
      <c r="G654" s="369"/>
    </row>
    <row r="655">
      <c r="B655" s="369"/>
      <c r="D655" s="370"/>
      <c r="E655" s="369"/>
      <c r="F655" s="369"/>
      <c r="G655" s="369"/>
    </row>
    <row r="656">
      <c r="B656" s="369"/>
      <c r="D656" s="370"/>
      <c r="E656" s="369"/>
      <c r="F656" s="369"/>
      <c r="G656" s="369"/>
    </row>
    <row r="657">
      <c r="B657" s="369"/>
      <c r="D657" s="370"/>
      <c r="E657" s="369"/>
      <c r="F657" s="369"/>
      <c r="G657" s="369"/>
    </row>
    <row r="658">
      <c r="B658" s="369"/>
      <c r="D658" s="370"/>
      <c r="E658" s="369"/>
      <c r="F658" s="369"/>
      <c r="G658" s="369"/>
    </row>
    <row r="659">
      <c r="B659" s="369"/>
      <c r="D659" s="370"/>
      <c r="E659" s="369"/>
      <c r="F659" s="369"/>
      <c r="G659" s="369"/>
    </row>
    <row r="660">
      <c r="B660" s="369"/>
      <c r="D660" s="370"/>
      <c r="E660" s="369"/>
      <c r="F660" s="369"/>
      <c r="G660" s="369"/>
    </row>
    <row r="661">
      <c r="B661" s="369"/>
      <c r="D661" s="370"/>
      <c r="E661" s="369"/>
      <c r="F661" s="369"/>
      <c r="G661" s="369"/>
    </row>
    <row r="662">
      <c r="B662" s="369"/>
      <c r="D662" s="370"/>
      <c r="E662" s="369"/>
      <c r="F662" s="369"/>
      <c r="G662" s="369"/>
    </row>
    <row r="663">
      <c r="B663" s="369"/>
      <c r="D663" s="370"/>
      <c r="E663" s="369"/>
      <c r="F663" s="369"/>
      <c r="G663" s="369"/>
    </row>
    <row r="664">
      <c r="B664" s="369"/>
      <c r="D664" s="370"/>
      <c r="E664" s="369"/>
      <c r="F664" s="369"/>
      <c r="G664" s="369"/>
    </row>
    <row r="665">
      <c r="B665" s="369"/>
      <c r="D665" s="370"/>
      <c r="E665" s="369"/>
      <c r="F665" s="369"/>
      <c r="G665" s="369"/>
    </row>
    <row r="666">
      <c r="B666" s="369"/>
      <c r="D666" s="370"/>
      <c r="E666" s="369"/>
      <c r="F666" s="369"/>
      <c r="G666" s="369"/>
    </row>
    <row r="667">
      <c r="B667" s="369"/>
      <c r="D667" s="370"/>
      <c r="E667" s="369"/>
      <c r="F667" s="369"/>
      <c r="G667" s="369"/>
    </row>
    <row r="668">
      <c r="B668" s="369"/>
      <c r="D668" s="370"/>
      <c r="E668" s="369"/>
      <c r="F668" s="369"/>
      <c r="G668" s="369"/>
    </row>
    <row r="669">
      <c r="B669" s="369"/>
      <c r="D669" s="370"/>
      <c r="E669" s="369"/>
      <c r="F669" s="369"/>
      <c r="G669" s="369"/>
    </row>
    <row r="670">
      <c r="B670" s="369"/>
      <c r="D670" s="370"/>
      <c r="E670" s="369"/>
      <c r="F670" s="369"/>
      <c r="G670" s="369"/>
    </row>
    <row r="671">
      <c r="B671" s="369"/>
      <c r="D671" s="370"/>
      <c r="E671" s="369"/>
      <c r="F671" s="369"/>
      <c r="G671" s="369"/>
    </row>
    <row r="672">
      <c r="B672" s="369"/>
      <c r="D672" s="370"/>
      <c r="E672" s="369"/>
      <c r="F672" s="369"/>
      <c r="G672" s="369"/>
    </row>
    <row r="673">
      <c r="B673" s="369"/>
      <c r="D673" s="370"/>
      <c r="E673" s="369"/>
      <c r="F673" s="369"/>
      <c r="G673" s="369"/>
    </row>
    <row r="674">
      <c r="B674" s="369"/>
      <c r="D674" s="370"/>
      <c r="E674" s="369"/>
      <c r="F674" s="369"/>
      <c r="G674" s="369"/>
    </row>
    <row r="675">
      <c r="B675" s="369"/>
      <c r="D675" s="370"/>
      <c r="E675" s="369"/>
      <c r="F675" s="369"/>
      <c r="G675" s="369"/>
    </row>
    <row r="676">
      <c r="B676" s="369"/>
      <c r="D676" s="370"/>
      <c r="E676" s="369"/>
      <c r="F676" s="369"/>
      <c r="G676" s="369"/>
    </row>
    <row r="677">
      <c r="B677" s="369"/>
      <c r="D677" s="370"/>
      <c r="E677" s="369"/>
      <c r="F677" s="369"/>
      <c r="G677" s="369"/>
    </row>
    <row r="678">
      <c r="B678" s="369"/>
      <c r="D678" s="370"/>
      <c r="E678" s="369"/>
      <c r="F678" s="369"/>
      <c r="G678" s="369"/>
    </row>
    <row r="679">
      <c r="B679" s="369"/>
      <c r="D679" s="370"/>
      <c r="E679" s="369"/>
      <c r="F679" s="369"/>
      <c r="G679" s="369"/>
    </row>
    <row r="680">
      <c r="B680" s="369"/>
      <c r="D680" s="370"/>
      <c r="E680" s="369"/>
      <c r="F680" s="369"/>
      <c r="G680" s="369"/>
    </row>
    <row r="681">
      <c r="B681" s="369"/>
      <c r="D681" s="370"/>
      <c r="E681" s="369"/>
      <c r="F681" s="369"/>
      <c r="G681" s="369"/>
    </row>
    <row r="682">
      <c r="B682" s="369"/>
      <c r="D682" s="370"/>
      <c r="E682" s="369"/>
      <c r="F682" s="369"/>
      <c r="G682" s="369"/>
    </row>
    <row r="683">
      <c r="B683" s="369"/>
      <c r="D683" s="370"/>
      <c r="E683" s="369"/>
      <c r="F683" s="369"/>
      <c r="G683" s="369"/>
    </row>
    <row r="684">
      <c r="B684" s="369"/>
      <c r="D684" s="370"/>
      <c r="E684" s="369"/>
      <c r="F684" s="369"/>
      <c r="G684" s="369"/>
    </row>
    <row r="685">
      <c r="B685" s="369"/>
      <c r="D685" s="370"/>
      <c r="E685" s="369"/>
      <c r="F685" s="369"/>
      <c r="G685" s="369"/>
    </row>
    <row r="686">
      <c r="B686" s="369"/>
      <c r="D686" s="370"/>
      <c r="E686" s="369"/>
      <c r="F686" s="369"/>
      <c r="G686" s="369"/>
    </row>
    <row r="687">
      <c r="B687" s="369"/>
      <c r="D687" s="370"/>
      <c r="E687" s="369"/>
      <c r="F687" s="369"/>
      <c r="G687" s="369"/>
    </row>
    <row r="688">
      <c r="B688" s="369"/>
      <c r="D688" s="370"/>
      <c r="E688" s="369"/>
      <c r="F688" s="369"/>
      <c r="G688" s="369"/>
    </row>
    <row r="689">
      <c r="B689" s="369"/>
      <c r="D689" s="370"/>
      <c r="E689" s="369"/>
      <c r="F689" s="369"/>
      <c r="G689" s="369"/>
    </row>
    <row r="690">
      <c r="B690" s="369"/>
      <c r="D690" s="370"/>
      <c r="E690" s="369"/>
      <c r="F690" s="369"/>
      <c r="G690" s="369"/>
    </row>
    <row r="691">
      <c r="B691" s="369"/>
      <c r="D691" s="370"/>
      <c r="E691" s="369"/>
      <c r="F691" s="369"/>
      <c r="G691" s="369"/>
    </row>
    <row r="692">
      <c r="B692" s="369"/>
      <c r="D692" s="370"/>
      <c r="E692" s="369"/>
      <c r="F692" s="369"/>
      <c r="G692" s="369"/>
    </row>
    <row r="693">
      <c r="B693" s="369"/>
      <c r="D693" s="370"/>
      <c r="E693" s="369"/>
      <c r="F693" s="369"/>
      <c r="G693" s="369"/>
    </row>
    <row r="694">
      <c r="B694" s="369"/>
      <c r="D694" s="370"/>
      <c r="E694" s="369"/>
      <c r="F694" s="369"/>
      <c r="G694" s="369"/>
    </row>
    <row r="695">
      <c r="B695" s="369"/>
      <c r="D695" s="370"/>
      <c r="E695" s="369"/>
      <c r="F695" s="369"/>
      <c r="G695" s="369"/>
    </row>
    <row r="696">
      <c r="B696" s="369"/>
      <c r="D696" s="370"/>
      <c r="E696" s="369"/>
      <c r="F696" s="369"/>
      <c r="G696" s="369"/>
    </row>
    <row r="697">
      <c r="B697" s="369"/>
      <c r="D697" s="370"/>
      <c r="E697" s="369"/>
      <c r="F697" s="369"/>
      <c r="G697" s="369"/>
    </row>
    <row r="698">
      <c r="B698" s="369"/>
      <c r="D698" s="370"/>
      <c r="E698" s="369"/>
      <c r="F698" s="369"/>
      <c r="G698" s="369"/>
    </row>
    <row r="699">
      <c r="B699" s="369"/>
      <c r="D699" s="370"/>
      <c r="E699" s="369"/>
      <c r="F699" s="369"/>
      <c r="G699" s="369"/>
    </row>
    <row r="700">
      <c r="B700" s="369"/>
      <c r="D700" s="370"/>
      <c r="E700" s="369"/>
      <c r="F700" s="369"/>
      <c r="G700" s="369"/>
    </row>
    <row r="701">
      <c r="B701" s="369"/>
      <c r="D701" s="370"/>
      <c r="E701" s="369"/>
      <c r="F701" s="369"/>
      <c r="G701" s="369"/>
    </row>
    <row r="702">
      <c r="B702" s="369"/>
      <c r="D702" s="370"/>
      <c r="E702" s="369"/>
      <c r="F702" s="369"/>
      <c r="G702" s="369"/>
    </row>
    <row r="703">
      <c r="B703" s="369"/>
      <c r="D703" s="370"/>
      <c r="E703" s="369"/>
      <c r="F703" s="369"/>
      <c r="G703" s="369"/>
    </row>
    <row r="704">
      <c r="B704" s="369"/>
      <c r="D704" s="370"/>
      <c r="E704" s="369"/>
      <c r="F704" s="369"/>
      <c r="G704" s="369"/>
    </row>
    <row r="705">
      <c r="B705" s="369"/>
      <c r="D705" s="370"/>
      <c r="E705" s="369"/>
      <c r="F705" s="369"/>
      <c r="G705" s="369"/>
    </row>
    <row r="706">
      <c r="B706" s="369"/>
      <c r="D706" s="370"/>
      <c r="E706" s="369"/>
      <c r="F706" s="369"/>
      <c r="G706" s="369"/>
    </row>
    <row r="707">
      <c r="B707" s="369"/>
      <c r="D707" s="370"/>
      <c r="E707" s="369"/>
      <c r="F707" s="369"/>
      <c r="G707" s="369"/>
    </row>
    <row r="708">
      <c r="B708" s="369"/>
      <c r="D708" s="370"/>
      <c r="E708" s="369"/>
      <c r="F708" s="369"/>
      <c r="G708" s="369"/>
    </row>
    <row r="709">
      <c r="B709" s="369"/>
      <c r="D709" s="370"/>
      <c r="E709" s="369"/>
      <c r="F709" s="369"/>
      <c r="G709" s="369"/>
    </row>
    <row r="710">
      <c r="B710" s="369"/>
      <c r="D710" s="370"/>
      <c r="E710" s="369"/>
      <c r="F710" s="369"/>
      <c r="G710" s="369"/>
    </row>
    <row r="711">
      <c r="B711" s="369"/>
      <c r="D711" s="370"/>
      <c r="E711" s="369"/>
      <c r="F711" s="369"/>
      <c r="G711" s="369"/>
    </row>
    <row r="712">
      <c r="B712" s="369"/>
      <c r="D712" s="370"/>
      <c r="E712" s="369"/>
      <c r="F712" s="369"/>
      <c r="G712" s="369"/>
    </row>
    <row r="713">
      <c r="B713" s="369"/>
      <c r="D713" s="370"/>
      <c r="E713" s="369"/>
      <c r="F713" s="369"/>
      <c r="G713" s="369"/>
    </row>
    <row r="714">
      <c r="B714" s="369"/>
      <c r="D714" s="370"/>
      <c r="E714" s="369"/>
      <c r="F714" s="369"/>
      <c r="G714" s="369"/>
    </row>
    <row r="715">
      <c r="B715" s="369"/>
      <c r="D715" s="370"/>
      <c r="E715" s="369"/>
      <c r="F715" s="369"/>
      <c r="G715" s="369"/>
    </row>
    <row r="716">
      <c r="B716" s="369"/>
      <c r="D716" s="370"/>
      <c r="E716" s="369"/>
      <c r="F716" s="369"/>
      <c r="G716" s="369"/>
    </row>
    <row r="717">
      <c r="B717" s="369"/>
      <c r="D717" s="370"/>
      <c r="E717" s="369"/>
      <c r="F717" s="369"/>
      <c r="G717" s="369"/>
    </row>
    <row r="718">
      <c r="B718" s="369"/>
      <c r="D718" s="370"/>
      <c r="E718" s="369"/>
      <c r="F718" s="369"/>
      <c r="G718" s="369"/>
    </row>
    <row r="719">
      <c r="B719" s="369"/>
      <c r="D719" s="370"/>
      <c r="E719" s="369"/>
      <c r="F719" s="369"/>
      <c r="G719" s="369"/>
    </row>
    <row r="720">
      <c r="B720" s="369"/>
      <c r="D720" s="370"/>
      <c r="E720" s="369"/>
      <c r="F720" s="369"/>
      <c r="G720" s="369"/>
    </row>
    <row r="721">
      <c r="B721" s="369"/>
      <c r="D721" s="370"/>
      <c r="E721" s="369"/>
      <c r="F721" s="369"/>
      <c r="G721" s="369"/>
    </row>
    <row r="722">
      <c r="B722" s="369"/>
      <c r="D722" s="370"/>
      <c r="E722" s="369"/>
      <c r="F722" s="369"/>
      <c r="G722" s="369"/>
    </row>
    <row r="723">
      <c r="B723" s="369"/>
      <c r="D723" s="370"/>
      <c r="E723" s="369"/>
      <c r="F723" s="369"/>
      <c r="G723" s="369"/>
    </row>
    <row r="724">
      <c r="B724" s="369"/>
      <c r="D724" s="370"/>
      <c r="E724" s="369"/>
      <c r="F724" s="369"/>
      <c r="G724" s="369"/>
    </row>
    <row r="725">
      <c r="B725" s="369"/>
      <c r="D725" s="370"/>
      <c r="E725" s="369"/>
      <c r="F725" s="369"/>
      <c r="G725" s="369"/>
    </row>
    <row r="726">
      <c r="B726" s="369"/>
      <c r="D726" s="370"/>
      <c r="E726" s="369"/>
      <c r="F726" s="369"/>
      <c r="G726" s="369"/>
    </row>
    <row r="727">
      <c r="B727" s="369"/>
      <c r="D727" s="370"/>
      <c r="E727" s="369"/>
      <c r="F727" s="369"/>
      <c r="G727" s="369"/>
    </row>
    <row r="728">
      <c r="B728" s="369"/>
      <c r="D728" s="370"/>
      <c r="E728" s="369"/>
      <c r="F728" s="369"/>
      <c r="G728" s="369"/>
    </row>
    <row r="729">
      <c r="B729" s="369"/>
      <c r="D729" s="370"/>
      <c r="E729" s="369"/>
      <c r="F729" s="369"/>
      <c r="G729" s="369"/>
    </row>
    <row r="730">
      <c r="B730" s="369"/>
      <c r="D730" s="370"/>
      <c r="E730" s="369"/>
      <c r="F730" s="369"/>
      <c r="G730" s="369"/>
    </row>
    <row r="731">
      <c r="B731" s="369"/>
      <c r="D731" s="370"/>
      <c r="E731" s="369"/>
      <c r="F731" s="369"/>
      <c r="G731" s="369"/>
    </row>
    <row r="732">
      <c r="B732" s="369"/>
      <c r="D732" s="370"/>
      <c r="E732" s="369"/>
      <c r="F732" s="369"/>
      <c r="G732" s="369"/>
    </row>
    <row r="733">
      <c r="B733" s="369"/>
      <c r="D733" s="370"/>
      <c r="E733" s="369"/>
      <c r="F733" s="369"/>
      <c r="G733" s="369"/>
    </row>
    <row r="734">
      <c r="B734" s="369"/>
      <c r="D734" s="370"/>
      <c r="E734" s="369"/>
      <c r="F734" s="369"/>
      <c r="G734" s="369"/>
    </row>
    <row r="735">
      <c r="B735" s="369"/>
      <c r="D735" s="370"/>
      <c r="E735" s="369"/>
      <c r="F735" s="369"/>
      <c r="G735" s="369"/>
    </row>
    <row r="736">
      <c r="B736" s="369"/>
      <c r="D736" s="370"/>
      <c r="E736" s="369"/>
      <c r="F736" s="369"/>
      <c r="G736" s="369"/>
    </row>
    <row r="737">
      <c r="B737" s="369"/>
      <c r="D737" s="370"/>
      <c r="E737" s="369"/>
      <c r="F737" s="369"/>
      <c r="G737" s="369"/>
    </row>
    <row r="738">
      <c r="B738" s="369"/>
      <c r="D738" s="370"/>
      <c r="E738" s="369"/>
      <c r="F738" s="369"/>
      <c r="G738" s="369"/>
    </row>
    <row r="739">
      <c r="B739" s="369"/>
      <c r="D739" s="370"/>
      <c r="E739" s="369"/>
      <c r="F739" s="369"/>
      <c r="G739" s="369"/>
    </row>
    <row r="740">
      <c r="B740" s="369"/>
      <c r="D740" s="370"/>
      <c r="E740" s="369"/>
      <c r="F740" s="369"/>
      <c r="G740" s="369"/>
    </row>
    <row r="741">
      <c r="B741" s="369"/>
      <c r="D741" s="370"/>
      <c r="E741" s="369"/>
      <c r="F741" s="369"/>
      <c r="G741" s="369"/>
    </row>
    <row r="742">
      <c r="B742" s="369"/>
      <c r="D742" s="370"/>
      <c r="E742" s="369"/>
      <c r="F742" s="369"/>
      <c r="G742" s="369"/>
    </row>
    <row r="743">
      <c r="B743" s="369"/>
      <c r="D743" s="370"/>
      <c r="E743" s="369"/>
      <c r="F743" s="369"/>
      <c r="G743" s="369"/>
    </row>
    <row r="744">
      <c r="B744" s="369"/>
      <c r="D744" s="370"/>
      <c r="E744" s="369"/>
      <c r="F744" s="369"/>
      <c r="G744" s="369"/>
    </row>
    <row r="745">
      <c r="B745" s="369"/>
      <c r="D745" s="370"/>
      <c r="E745" s="369"/>
      <c r="F745" s="369"/>
      <c r="G745" s="369"/>
    </row>
    <row r="746">
      <c r="B746" s="369"/>
      <c r="D746" s="370"/>
      <c r="E746" s="369"/>
      <c r="F746" s="369"/>
      <c r="G746" s="369"/>
    </row>
    <row r="747">
      <c r="B747" s="369"/>
      <c r="D747" s="370"/>
      <c r="E747" s="369"/>
      <c r="F747" s="369"/>
      <c r="G747" s="369"/>
    </row>
    <row r="748">
      <c r="B748" s="369"/>
      <c r="D748" s="370"/>
      <c r="E748" s="369"/>
      <c r="F748" s="369"/>
      <c r="G748" s="369"/>
    </row>
    <row r="749">
      <c r="B749" s="369"/>
      <c r="D749" s="370"/>
      <c r="E749" s="369"/>
      <c r="F749" s="369"/>
      <c r="G749" s="369"/>
    </row>
    <row r="750">
      <c r="B750" s="369"/>
      <c r="D750" s="370"/>
      <c r="E750" s="369"/>
      <c r="F750" s="369"/>
      <c r="G750" s="369"/>
    </row>
    <row r="751">
      <c r="B751" s="369"/>
      <c r="D751" s="370"/>
      <c r="E751" s="369"/>
      <c r="F751" s="369"/>
      <c r="G751" s="369"/>
    </row>
    <row r="752">
      <c r="B752" s="369"/>
      <c r="D752" s="370"/>
      <c r="E752" s="369"/>
      <c r="F752" s="369"/>
      <c r="G752" s="369"/>
    </row>
    <row r="753">
      <c r="B753" s="369"/>
      <c r="D753" s="370"/>
      <c r="E753" s="369"/>
      <c r="F753" s="369"/>
      <c r="G753" s="369"/>
    </row>
    <row r="754">
      <c r="B754" s="369"/>
      <c r="D754" s="370"/>
      <c r="E754" s="369"/>
      <c r="F754" s="369"/>
      <c r="G754" s="369"/>
    </row>
    <row r="755">
      <c r="B755" s="369"/>
      <c r="D755" s="370"/>
      <c r="E755" s="369"/>
      <c r="F755" s="369"/>
      <c r="G755" s="369"/>
    </row>
    <row r="756">
      <c r="B756" s="369"/>
      <c r="D756" s="370"/>
      <c r="E756" s="369"/>
      <c r="F756" s="369"/>
      <c r="G756" s="369"/>
    </row>
    <row r="757">
      <c r="B757" s="369"/>
      <c r="D757" s="370"/>
      <c r="E757" s="369"/>
      <c r="F757" s="369"/>
      <c r="G757" s="369"/>
    </row>
    <row r="758">
      <c r="B758" s="369"/>
      <c r="D758" s="370"/>
      <c r="E758" s="369"/>
      <c r="F758" s="369"/>
      <c r="G758" s="369"/>
    </row>
    <row r="759">
      <c r="B759" s="369"/>
      <c r="D759" s="370"/>
      <c r="E759" s="369"/>
      <c r="F759" s="369"/>
      <c r="G759" s="369"/>
    </row>
    <row r="760">
      <c r="B760" s="369"/>
      <c r="D760" s="370"/>
      <c r="E760" s="369"/>
      <c r="F760" s="369"/>
      <c r="G760" s="369"/>
    </row>
    <row r="761">
      <c r="B761" s="369"/>
      <c r="D761" s="370"/>
      <c r="E761" s="369"/>
      <c r="F761" s="369"/>
      <c r="G761" s="369"/>
    </row>
    <row r="762">
      <c r="B762" s="369"/>
      <c r="D762" s="370"/>
      <c r="E762" s="369"/>
      <c r="F762" s="369"/>
      <c r="G762" s="369"/>
    </row>
    <row r="763">
      <c r="B763" s="369"/>
      <c r="D763" s="370"/>
      <c r="E763" s="369"/>
      <c r="F763" s="369"/>
      <c r="G763" s="369"/>
    </row>
    <row r="764">
      <c r="B764" s="369"/>
      <c r="D764" s="370"/>
      <c r="E764" s="369"/>
      <c r="F764" s="369"/>
      <c r="G764" s="369"/>
    </row>
    <row r="765">
      <c r="B765" s="369"/>
      <c r="D765" s="370"/>
      <c r="E765" s="369"/>
      <c r="F765" s="369"/>
      <c r="G765" s="369"/>
    </row>
    <row r="766">
      <c r="B766" s="369"/>
      <c r="D766" s="370"/>
      <c r="E766" s="369"/>
      <c r="F766" s="369"/>
      <c r="G766" s="369"/>
    </row>
    <row r="767">
      <c r="B767" s="369"/>
      <c r="D767" s="370"/>
      <c r="E767" s="369"/>
      <c r="F767" s="369"/>
      <c r="G767" s="369"/>
    </row>
    <row r="768">
      <c r="B768" s="369"/>
      <c r="D768" s="370"/>
      <c r="E768" s="369"/>
      <c r="F768" s="369"/>
      <c r="G768" s="369"/>
    </row>
    <row r="769">
      <c r="B769" s="369"/>
      <c r="D769" s="370"/>
      <c r="E769" s="369"/>
      <c r="F769" s="369"/>
      <c r="G769" s="369"/>
    </row>
    <row r="770">
      <c r="B770" s="369"/>
      <c r="D770" s="370"/>
      <c r="E770" s="369"/>
      <c r="F770" s="369"/>
      <c r="G770" s="369"/>
    </row>
    <row r="771">
      <c r="B771" s="369"/>
      <c r="D771" s="370"/>
      <c r="E771" s="369"/>
      <c r="F771" s="369"/>
      <c r="G771" s="369"/>
    </row>
    <row r="772">
      <c r="B772" s="369"/>
      <c r="D772" s="370"/>
      <c r="E772" s="369"/>
      <c r="F772" s="369"/>
      <c r="G772" s="369"/>
    </row>
    <row r="773">
      <c r="B773" s="369"/>
      <c r="D773" s="370"/>
      <c r="E773" s="369"/>
      <c r="F773" s="369"/>
      <c r="G773" s="369"/>
    </row>
    <row r="774">
      <c r="B774" s="369"/>
      <c r="D774" s="370"/>
      <c r="E774" s="369"/>
      <c r="F774" s="369"/>
      <c r="G774" s="369"/>
    </row>
    <row r="775">
      <c r="B775" s="369"/>
      <c r="D775" s="370"/>
      <c r="E775" s="369"/>
      <c r="F775" s="369"/>
      <c r="G775" s="369"/>
    </row>
    <row r="776">
      <c r="B776" s="369"/>
      <c r="D776" s="370"/>
      <c r="E776" s="369"/>
      <c r="F776" s="369"/>
      <c r="G776" s="369"/>
    </row>
    <row r="777">
      <c r="B777" s="369"/>
      <c r="D777" s="370"/>
      <c r="E777" s="369"/>
      <c r="F777" s="369"/>
      <c r="G777" s="369"/>
    </row>
    <row r="778">
      <c r="B778" s="369"/>
      <c r="D778" s="370"/>
      <c r="E778" s="369"/>
      <c r="F778" s="369"/>
      <c r="G778" s="369"/>
    </row>
    <row r="779">
      <c r="B779" s="369"/>
      <c r="D779" s="370"/>
      <c r="E779" s="369"/>
      <c r="F779" s="369"/>
      <c r="G779" s="369"/>
    </row>
    <row r="780">
      <c r="B780" s="369"/>
      <c r="D780" s="370"/>
      <c r="E780" s="369"/>
      <c r="F780" s="369"/>
      <c r="G780" s="369"/>
    </row>
    <row r="781">
      <c r="B781" s="369"/>
      <c r="D781" s="370"/>
      <c r="E781" s="369"/>
      <c r="F781" s="369"/>
      <c r="G781" s="369"/>
    </row>
    <row r="782">
      <c r="B782" s="369"/>
      <c r="D782" s="370"/>
      <c r="E782" s="369"/>
      <c r="F782" s="369"/>
      <c r="G782" s="369"/>
    </row>
    <row r="783">
      <c r="B783" s="369"/>
      <c r="D783" s="370"/>
      <c r="E783" s="369"/>
      <c r="F783" s="369"/>
      <c r="G783" s="369"/>
    </row>
    <row r="784">
      <c r="B784" s="369"/>
      <c r="D784" s="370"/>
      <c r="E784" s="369"/>
      <c r="F784" s="369"/>
      <c r="G784" s="369"/>
    </row>
    <row r="785">
      <c r="B785" s="369"/>
      <c r="D785" s="370"/>
      <c r="E785" s="369"/>
      <c r="F785" s="369"/>
      <c r="G785" s="369"/>
    </row>
    <row r="786">
      <c r="B786" s="369"/>
      <c r="D786" s="370"/>
      <c r="E786" s="369"/>
      <c r="F786" s="369"/>
      <c r="G786" s="369"/>
    </row>
    <row r="787">
      <c r="B787" s="369"/>
      <c r="D787" s="370"/>
      <c r="E787" s="369"/>
      <c r="F787" s="369"/>
      <c r="G787" s="369"/>
    </row>
    <row r="788">
      <c r="B788" s="369"/>
      <c r="D788" s="370"/>
      <c r="E788" s="369"/>
      <c r="F788" s="369"/>
      <c r="G788" s="369"/>
    </row>
    <row r="789">
      <c r="B789" s="369"/>
      <c r="D789" s="370"/>
      <c r="E789" s="369"/>
      <c r="F789" s="369"/>
      <c r="G789" s="369"/>
    </row>
    <row r="790">
      <c r="B790" s="369"/>
      <c r="D790" s="370"/>
      <c r="E790" s="369"/>
      <c r="F790" s="369"/>
      <c r="G790" s="369"/>
    </row>
    <row r="791">
      <c r="B791" s="369"/>
      <c r="D791" s="370"/>
      <c r="E791" s="369"/>
      <c r="F791" s="369"/>
      <c r="G791" s="369"/>
    </row>
    <row r="792">
      <c r="B792" s="369"/>
      <c r="D792" s="370"/>
      <c r="E792" s="369"/>
      <c r="F792" s="369"/>
      <c r="G792" s="369"/>
    </row>
    <row r="793">
      <c r="B793" s="369"/>
      <c r="D793" s="370"/>
      <c r="E793" s="369"/>
      <c r="F793" s="369"/>
      <c r="G793" s="369"/>
    </row>
    <row r="794">
      <c r="B794" s="369"/>
      <c r="D794" s="370"/>
      <c r="E794" s="369"/>
      <c r="F794" s="369"/>
      <c r="G794" s="369"/>
    </row>
    <row r="795">
      <c r="B795" s="369"/>
      <c r="D795" s="370"/>
      <c r="E795" s="369"/>
      <c r="F795" s="369"/>
      <c r="G795" s="369"/>
    </row>
    <row r="796">
      <c r="B796" s="369"/>
      <c r="D796" s="370"/>
      <c r="E796" s="369"/>
      <c r="F796" s="369"/>
      <c r="G796" s="369"/>
    </row>
    <row r="797">
      <c r="B797" s="369"/>
      <c r="D797" s="370"/>
      <c r="E797" s="369"/>
      <c r="F797" s="369"/>
      <c r="G797" s="369"/>
    </row>
    <row r="798">
      <c r="B798" s="369"/>
      <c r="D798" s="370"/>
      <c r="E798" s="369"/>
      <c r="F798" s="369"/>
      <c r="G798" s="369"/>
    </row>
    <row r="799">
      <c r="B799" s="369"/>
      <c r="D799" s="370"/>
      <c r="E799" s="369"/>
      <c r="F799" s="369"/>
      <c r="G799" s="369"/>
    </row>
    <row r="800">
      <c r="B800" s="369"/>
      <c r="D800" s="370"/>
      <c r="E800" s="369"/>
      <c r="F800" s="369"/>
      <c r="G800" s="369"/>
    </row>
    <row r="801">
      <c r="B801" s="369"/>
      <c r="D801" s="370"/>
      <c r="E801" s="369"/>
      <c r="F801" s="369"/>
      <c r="G801" s="369"/>
    </row>
    <row r="802">
      <c r="B802" s="369"/>
      <c r="D802" s="370"/>
      <c r="E802" s="369"/>
      <c r="F802" s="369"/>
      <c r="G802" s="369"/>
    </row>
    <row r="803">
      <c r="B803" s="369"/>
      <c r="D803" s="370"/>
      <c r="E803" s="369"/>
      <c r="F803" s="369"/>
      <c r="G803" s="369"/>
    </row>
    <row r="804">
      <c r="B804" s="369"/>
      <c r="D804" s="370"/>
      <c r="E804" s="369"/>
      <c r="F804" s="369"/>
      <c r="G804" s="369"/>
    </row>
    <row r="805">
      <c r="B805" s="369"/>
      <c r="D805" s="370"/>
      <c r="E805" s="369"/>
      <c r="F805" s="369"/>
      <c r="G805" s="369"/>
    </row>
    <row r="806">
      <c r="B806" s="369"/>
      <c r="D806" s="370"/>
      <c r="E806" s="369"/>
      <c r="F806" s="369"/>
      <c r="G806" s="369"/>
    </row>
    <row r="807">
      <c r="B807" s="369"/>
      <c r="D807" s="370"/>
      <c r="E807" s="369"/>
      <c r="F807" s="369"/>
      <c r="G807" s="369"/>
    </row>
    <row r="808">
      <c r="B808" s="369"/>
      <c r="D808" s="370"/>
      <c r="E808" s="369"/>
      <c r="F808" s="369"/>
      <c r="G808" s="369"/>
    </row>
    <row r="809">
      <c r="B809" s="369"/>
      <c r="D809" s="370"/>
      <c r="E809" s="369"/>
      <c r="F809" s="369"/>
      <c r="G809" s="369"/>
    </row>
    <row r="810">
      <c r="B810" s="369"/>
      <c r="D810" s="370"/>
      <c r="E810" s="369"/>
      <c r="F810" s="369"/>
      <c r="G810" s="369"/>
    </row>
    <row r="811">
      <c r="B811" s="369"/>
      <c r="D811" s="370"/>
      <c r="E811" s="369"/>
      <c r="F811" s="369"/>
      <c r="G811" s="369"/>
    </row>
    <row r="812">
      <c r="B812" s="369"/>
      <c r="D812" s="370"/>
      <c r="E812" s="369"/>
      <c r="F812" s="369"/>
      <c r="G812" s="369"/>
    </row>
    <row r="813">
      <c r="B813" s="369"/>
      <c r="D813" s="370"/>
      <c r="E813" s="369"/>
      <c r="F813" s="369"/>
      <c r="G813" s="369"/>
    </row>
    <row r="814">
      <c r="B814" s="369"/>
      <c r="D814" s="370"/>
      <c r="E814" s="369"/>
      <c r="F814" s="369"/>
      <c r="G814" s="369"/>
    </row>
    <row r="815">
      <c r="B815" s="369"/>
      <c r="D815" s="370"/>
      <c r="E815" s="369"/>
      <c r="F815" s="369"/>
      <c r="G815" s="369"/>
    </row>
    <row r="816">
      <c r="B816" s="369"/>
      <c r="D816" s="370"/>
      <c r="E816" s="369"/>
      <c r="F816" s="369"/>
      <c r="G816" s="369"/>
    </row>
    <row r="817">
      <c r="B817" s="369"/>
      <c r="D817" s="370"/>
      <c r="E817" s="369"/>
      <c r="F817" s="369"/>
      <c r="G817" s="369"/>
    </row>
    <row r="818">
      <c r="B818" s="369"/>
      <c r="D818" s="370"/>
      <c r="E818" s="369"/>
      <c r="F818" s="369"/>
      <c r="G818" s="369"/>
    </row>
    <row r="819">
      <c r="B819" s="369"/>
      <c r="D819" s="370"/>
      <c r="E819" s="369"/>
      <c r="F819" s="369"/>
      <c r="G819" s="369"/>
    </row>
    <row r="820">
      <c r="B820" s="369"/>
      <c r="D820" s="370"/>
      <c r="E820" s="369"/>
      <c r="F820" s="369"/>
      <c r="G820" s="369"/>
    </row>
    <row r="821">
      <c r="B821" s="369"/>
      <c r="D821" s="370"/>
      <c r="E821" s="369"/>
      <c r="F821" s="369"/>
      <c r="G821" s="369"/>
    </row>
    <row r="822">
      <c r="B822" s="369"/>
      <c r="D822" s="370"/>
      <c r="E822" s="369"/>
      <c r="F822" s="369"/>
      <c r="G822" s="369"/>
    </row>
    <row r="823">
      <c r="B823" s="369"/>
      <c r="D823" s="370"/>
      <c r="E823" s="369"/>
      <c r="F823" s="369"/>
      <c r="G823" s="369"/>
    </row>
    <row r="824">
      <c r="B824" s="369"/>
      <c r="D824" s="370"/>
      <c r="E824" s="369"/>
      <c r="F824" s="369"/>
      <c r="G824" s="369"/>
    </row>
    <row r="825">
      <c r="B825" s="369"/>
      <c r="D825" s="370"/>
      <c r="E825" s="369"/>
      <c r="F825" s="369"/>
      <c r="G825" s="369"/>
    </row>
    <row r="826">
      <c r="B826" s="369"/>
      <c r="D826" s="370"/>
      <c r="E826" s="369"/>
      <c r="F826" s="369"/>
      <c r="G826" s="369"/>
    </row>
    <row r="827">
      <c r="B827" s="369"/>
      <c r="D827" s="370"/>
      <c r="E827" s="369"/>
      <c r="F827" s="369"/>
      <c r="G827" s="369"/>
    </row>
    <row r="828">
      <c r="B828" s="369"/>
      <c r="D828" s="370"/>
      <c r="E828" s="369"/>
      <c r="F828" s="369"/>
      <c r="G828" s="369"/>
    </row>
    <row r="829">
      <c r="B829" s="369"/>
      <c r="D829" s="370"/>
      <c r="E829" s="369"/>
      <c r="F829" s="369"/>
      <c r="G829" s="369"/>
    </row>
    <row r="830">
      <c r="B830" s="369"/>
      <c r="D830" s="370"/>
      <c r="E830" s="369"/>
      <c r="F830" s="369"/>
      <c r="G830" s="369"/>
    </row>
    <row r="831">
      <c r="B831" s="369"/>
      <c r="D831" s="370"/>
      <c r="E831" s="369"/>
      <c r="F831" s="369"/>
      <c r="G831" s="369"/>
    </row>
    <row r="832">
      <c r="B832" s="369"/>
      <c r="D832" s="370"/>
      <c r="E832" s="369"/>
      <c r="F832" s="369"/>
      <c r="G832" s="369"/>
    </row>
    <row r="833">
      <c r="B833" s="369"/>
      <c r="D833" s="370"/>
      <c r="E833" s="369"/>
      <c r="F833" s="369"/>
      <c r="G833" s="369"/>
    </row>
    <row r="834">
      <c r="B834" s="369"/>
      <c r="D834" s="370"/>
      <c r="E834" s="369"/>
      <c r="F834" s="369"/>
      <c r="G834" s="369"/>
    </row>
    <row r="835">
      <c r="B835" s="369"/>
      <c r="D835" s="370"/>
      <c r="E835" s="369"/>
      <c r="F835" s="369"/>
      <c r="G835" s="369"/>
    </row>
    <row r="836">
      <c r="B836" s="369"/>
      <c r="D836" s="370"/>
      <c r="E836" s="369"/>
      <c r="F836" s="369"/>
      <c r="G836" s="369"/>
    </row>
    <row r="837">
      <c r="B837" s="369"/>
      <c r="D837" s="370"/>
      <c r="E837" s="369"/>
      <c r="F837" s="369"/>
      <c r="G837" s="369"/>
    </row>
    <row r="838">
      <c r="B838" s="369"/>
      <c r="D838" s="370"/>
      <c r="E838" s="369"/>
      <c r="F838" s="369"/>
      <c r="G838" s="369"/>
    </row>
    <row r="839">
      <c r="B839" s="369"/>
      <c r="D839" s="370"/>
      <c r="E839" s="369"/>
      <c r="F839" s="369"/>
      <c r="G839" s="369"/>
    </row>
    <row r="840">
      <c r="B840" s="369"/>
      <c r="D840" s="370"/>
      <c r="E840" s="369"/>
      <c r="F840" s="369"/>
      <c r="G840" s="369"/>
    </row>
    <row r="841">
      <c r="B841" s="369"/>
      <c r="D841" s="370"/>
      <c r="E841" s="369"/>
      <c r="F841" s="369"/>
      <c r="G841" s="369"/>
    </row>
    <row r="842">
      <c r="B842" s="369"/>
      <c r="D842" s="370"/>
      <c r="E842" s="369"/>
      <c r="F842" s="369"/>
      <c r="G842" s="369"/>
    </row>
    <row r="843">
      <c r="B843" s="369"/>
      <c r="D843" s="370"/>
      <c r="E843" s="369"/>
      <c r="F843" s="369"/>
      <c r="G843" s="369"/>
    </row>
    <row r="844">
      <c r="B844" s="369"/>
      <c r="D844" s="370"/>
      <c r="E844" s="369"/>
      <c r="F844" s="369"/>
      <c r="G844" s="369"/>
    </row>
    <row r="845">
      <c r="B845" s="369"/>
      <c r="D845" s="370"/>
      <c r="E845" s="369"/>
      <c r="F845" s="369"/>
      <c r="G845" s="369"/>
    </row>
    <row r="846">
      <c r="B846" s="369"/>
      <c r="D846" s="370"/>
      <c r="E846" s="369"/>
      <c r="F846" s="369"/>
      <c r="G846" s="369"/>
    </row>
    <row r="847">
      <c r="B847" s="369"/>
      <c r="D847" s="370"/>
      <c r="E847" s="369"/>
      <c r="F847" s="369"/>
      <c r="G847" s="369"/>
    </row>
    <row r="848">
      <c r="B848" s="369"/>
      <c r="D848" s="370"/>
      <c r="E848" s="369"/>
      <c r="F848" s="369"/>
      <c r="G848" s="369"/>
    </row>
    <row r="849">
      <c r="B849" s="369"/>
      <c r="D849" s="370"/>
      <c r="E849" s="369"/>
      <c r="F849" s="369"/>
      <c r="G849" s="369"/>
    </row>
    <row r="850">
      <c r="B850" s="369"/>
      <c r="D850" s="370"/>
      <c r="E850" s="369"/>
      <c r="F850" s="369"/>
      <c r="G850" s="369"/>
    </row>
    <row r="851">
      <c r="B851" s="369"/>
      <c r="D851" s="370"/>
      <c r="E851" s="369"/>
      <c r="F851" s="369"/>
      <c r="G851" s="369"/>
    </row>
    <row r="852">
      <c r="B852" s="369"/>
      <c r="D852" s="370"/>
      <c r="E852" s="369"/>
      <c r="F852" s="369"/>
      <c r="G852" s="369"/>
    </row>
    <row r="853">
      <c r="B853" s="369"/>
      <c r="D853" s="370"/>
      <c r="E853" s="369"/>
      <c r="F853" s="369"/>
      <c r="G853" s="369"/>
    </row>
    <row r="854">
      <c r="B854" s="369"/>
      <c r="D854" s="370"/>
      <c r="E854" s="369"/>
      <c r="F854" s="369"/>
      <c r="G854" s="369"/>
    </row>
    <row r="855">
      <c r="B855" s="369"/>
      <c r="D855" s="370"/>
      <c r="E855" s="369"/>
      <c r="F855" s="369"/>
      <c r="G855" s="369"/>
    </row>
    <row r="856">
      <c r="B856" s="369"/>
      <c r="D856" s="370"/>
      <c r="E856" s="369"/>
      <c r="F856" s="369"/>
      <c r="G856" s="369"/>
    </row>
    <row r="857">
      <c r="B857" s="369"/>
      <c r="D857" s="370"/>
      <c r="E857" s="369"/>
      <c r="F857" s="369"/>
      <c r="G857" s="369"/>
    </row>
    <row r="858">
      <c r="B858" s="369"/>
      <c r="D858" s="370"/>
      <c r="E858" s="369"/>
      <c r="F858" s="369"/>
      <c r="G858" s="369"/>
    </row>
    <row r="859">
      <c r="B859" s="369"/>
      <c r="D859" s="370"/>
      <c r="E859" s="369"/>
      <c r="F859" s="369"/>
      <c r="G859" s="369"/>
    </row>
    <row r="860">
      <c r="B860" s="369"/>
      <c r="D860" s="370"/>
      <c r="E860" s="369"/>
      <c r="F860" s="369"/>
      <c r="G860" s="369"/>
    </row>
    <row r="861">
      <c r="B861" s="369"/>
      <c r="D861" s="370"/>
      <c r="E861" s="369"/>
      <c r="F861" s="369"/>
      <c r="G861" s="369"/>
    </row>
    <row r="862">
      <c r="B862" s="369"/>
      <c r="D862" s="370"/>
      <c r="E862" s="369"/>
      <c r="F862" s="369"/>
      <c r="G862" s="369"/>
    </row>
    <row r="863">
      <c r="B863" s="369"/>
      <c r="D863" s="370"/>
      <c r="E863" s="369"/>
      <c r="F863" s="369"/>
      <c r="G863" s="369"/>
    </row>
    <row r="864">
      <c r="B864" s="369"/>
      <c r="D864" s="370"/>
      <c r="E864" s="369"/>
      <c r="F864" s="369"/>
      <c r="G864" s="369"/>
    </row>
    <row r="865">
      <c r="B865" s="369"/>
      <c r="D865" s="370"/>
      <c r="E865" s="369"/>
      <c r="F865" s="369"/>
      <c r="G865" s="369"/>
    </row>
    <row r="866">
      <c r="B866" s="369"/>
      <c r="D866" s="370"/>
      <c r="E866" s="369"/>
      <c r="F866" s="369"/>
      <c r="G866" s="369"/>
    </row>
    <row r="867">
      <c r="B867" s="369"/>
      <c r="D867" s="370"/>
      <c r="E867" s="369"/>
      <c r="F867" s="369"/>
      <c r="G867" s="369"/>
    </row>
    <row r="868">
      <c r="B868" s="369"/>
      <c r="D868" s="370"/>
      <c r="E868" s="369"/>
      <c r="F868" s="369"/>
      <c r="G868" s="369"/>
    </row>
    <row r="869">
      <c r="B869" s="369"/>
      <c r="D869" s="370"/>
      <c r="E869" s="369"/>
      <c r="F869" s="369"/>
      <c r="G869" s="369"/>
    </row>
    <row r="870">
      <c r="B870" s="369"/>
      <c r="D870" s="370"/>
      <c r="E870" s="369"/>
      <c r="F870" s="369"/>
      <c r="G870" s="369"/>
    </row>
    <row r="871">
      <c r="B871" s="369"/>
      <c r="D871" s="370"/>
      <c r="E871" s="369"/>
      <c r="F871" s="369"/>
      <c r="G871" s="369"/>
    </row>
    <row r="872">
      <c r="B872" s="369"/>
      <c r="D872" s="370"/>
      <c r="E872" s="369"/>
      <c r="F872" s="369"/>
      <c r="G872" s="369"/>
    </row>
    <row r="873">
      <c r="B873" s="369"/>
      <c r="D873" s="370"/>
      <c r="E873" s="369"/>
      <c r="F873" s="369"/>
      <c r="G873" s="369"/>
    </row>
    <row r="874">
      <c r="B874" s="369"/>
      <c r="D874" s="370"/>
      <c r="E874" s="369"/>
      <c r="F874" s="369"/>
      <c r="G874" s="369"/>
    </row>
    <row r="875">
      <c r="B875" s="369"/>
      <c r="D875" s="370"/>
      <c r="E875" s="369"/>
      <c r="F875" s="369"/>
      <c r="G875" s="369"/>
    </row>
    <row r="876">
      <c r="B876" s="369"/>
      <c r="D876" s="370"/>
      <c r="E876" s="369"/>
      <c r="F876" s="369"/>
      <c r="G876" s="369"/>
    </row>
    <row r="877">
      <c r="B877" s="369"/>
      <c r="D877" s="370"/>
      <c r="E877" s="369"/>
      <c r="F877" s="369"/>
      <c r="G877" s="369"/>
    </row>
    <row r="878">
      <c r="B878" s="369"/>
      <c r="D878" s="370"/>
      <c r="E878" s="369"/>
      <c r="F878" s="369"/>
      <c r="G878" s="369"/>
    </row>
    <row r="879">
      <c r="B879" s="369"/>
      <c r="D879" s="370"/>
      <c r="E879" s="369"/>
      <c r="F879" s="369"/>
      <c r="G879" s="369"/>
    </row>
    <row r="880">
      <c r="B880" s="369"/>
      <c r="D880" s="370"/>
      <c r="E880" s="369"/>
      <c r="F880" s="369"/>
      <c r="G880" s="369"/>
    </row>
    <row r="881">
      <c r="B881" s="369"/>
      <c r="D881" s="370"/>
      <c r="E881" s="369"/>
      <c r="F881" s="369"/>
      <c r="G881" s="369"/>
    </row>
    <row r="882">
      <c r="B882" s="369"/>
      <c r="D882" s="370"/>
      <c r="E882" s="369"/>
      <c r="F882" s="369"/>
      <c r="G882" s="369"/>
    </row>
    <row r="883">
      <c r="B883" s="369"/>
      <c r="D883" s="370"/>
      <c r="E883" s="369"/>
      <c r="F883" s="369"/>
      <c r="G883" s="369"/>
    </row>
    <row r="884">
      <c r="B884" s="369"/>
      <c r="D884" s="370"/>
      <c r="E884" s="369"/>
      <c r="F884" s="369"/>
      <c r="G884" s="369"/>
    </row>
    <row r="885">
      <c r="B885" s="369"/>
      <c r="D885" s="370"/>
      <c r="E885" s="369"/>
      <c r="F885" s="369"/>
      <c r="G885" s="369"/>
    </row>
    <row r="886">
      <c r="B886" s="369"/>
      <c r="D886" s="370"/>
      <c r="E886" s="369"/>
      <c r="F886" s="369"/>
      <c r="G886" s="369"/>
    </row>
    <row r="887">
      <c r="B887" s="369"/>
      <c r="D887" s="370"/>
      <c r="E887" s="369"/>
      <c r="F887" s="369"/>
      <c r="G887" s="369"/>
    </row>
    <row r="888">
      <c r="B888" s="369"/>
      <c r="D888" s="370"/>
      <c r="E888" s="369"/>
      <c r="F888" s="369"/>
      <c r="G888" s="369"/>
    </row>
    <row r="889">
      <c r="B889" s="369"/>
      <c r="D889" s="370"/>
      <c r="E889" s="369"/>
      <c r="F889" s="369"/>
      <c r="G889" s="369"/>
    </row>
    <row r="890">
      <c r="B890" s="369"/>
      <c r="D890" s="370"/>
      <c r="E890" s="369"/>
      <c r="F890" s="369"/>
      <c r="G890" s="369"/>
    </row>
    <row r="891">
      <c r="B891" s="369"/>
      <c r="D891" s="370"/>
      <c r="E891" s="369"/>
      <c r="F891" s="369"/>
      <c r="G891" s="369"/>
    </row>
    <row r="892">
      <c r="B892" s="369"/>
      <c r="D892" s="370"/>
      <c r="E892" s="369"/>
      <c r="F892" s="369"/>
      <c r="G892" s="369"/>
    </row>
    <row r="893">
      <c r="B893" s="369"/>
      <c r="D893" s="370"/>
      <c r="E893" s="369"/>
      <c r="F893" s="369"/>
      <c r="G893" s="369"/>
    </row>
    <row r="894">
      <c r="B894" s="369"/>
      <c r="D894" s="370"/>
      <c r="E894" s="369"/>
      <c r="F894" s="369"/>
      <c r="G894" s="369"/>
    </row>
    <row r="895">
      <c r="B895" s="369"/>
      <c r="D895" s="370"/>
      <c r="E895" s="369"/>
      <c r="F895" s="369"/>
      <c r="G895" s="369"/>
    </row>
    <row r="896">
      <c r="B896" s="369"/>
      <c r="D896" s="370"/>
      <c r="E896" s="369"/>
      <c r="F896" s="369"/>
      <c r="G896" s="369"/>
    </row>
    <row r="897">
      <c r="B897" s="369"/>
      <c r="D897" s="370"/>
      <c r="E897" s="369"/>
      <c r="F897" s="369"/>
      <c r="G897" s="369"/>
    </row>
    <row r="898">
      <c r="B898" s="369"/>
      <c r="D898" s="370"/>
      <c r="E898" s="369"/>
      <c r="F898" s="369"/>
      <c r="G898" s="369"/>
    </row>
    <row r="899">
      <c r="B899" s="369"/>
      <c r="D899" s="370"/>
      <c r="E899" s="369"/>
      <c r="F899" s="369"/>
      <c r="G899" s="369"/>
    </row>
    <row r="900">
      <c r="B900" s="369"/>
      <c r="D900" s="370"/>
      <c r="E900" s="369"/>
      <c r="F900" s="369"/>
      <c r="G900" s="369"/>
    </row>
    <row r="901">
      <c r="B901" s="369"/>
      <c r="D901" s="370"/>
      <c r="E901" s="369"/>
      <c r="F901" s="369"/>
      <c r="G901" s="369"/>
    </row>
    <row r="902">
      <c r="B902" s="369"/>
      <c r="D902" s="370"/>
      <c r="E902" s="369"/>
      <c r="F902" s="369"/>
      <c r="G902" s="369"/>
    </row>
    <row r="903">
      <c r="B903" s="369"/>
      <c r="D903" s="370"/>
      <c r="E903" s="369"/>
      <c r="F903" s="369"/>
      <c r="G903" s="369"/>
    </row>
    <row r="904">
      <c r="B904" s="369"/>
      <c r="D904" s="370"/>
      <c r="E904" s="369"/>
      <c r="F904" s="369"/>
      <c r="G904" s="369"/>
    </row>
    <row r="905">
      <c r="B905" s="369"/>
      <c r="D905" s="370"/>
      <c r="E905" s="369"/>
      <c r="F905" s="369"/>
      <c r="G905" s="369"/>
    </row>
    <row r="906">
      <c r="B906" s="369"/>
      <c r="D906" s="370"/>
      <c r="E906" s="369"/>
      <c r="F906" s="369"/>
      <c r="G906" s="369"/>
    </row>
    <row r="907">
      <c r="B907" s="369"/>
      <c r="D907" s="370"/>
      <c r="E907" s="369"/>
      <c r="F907" s="369"/>
      <c r="G907" s="369"/>
    </row>
    <row r="908">
      <c r="B908" s="369"/>
      <c r="D908" s="370"/>
      <c r="E908" s="369"/>
      <c r="F908" s="369"/>
      <c r="G908" s="369"/>
    </row>
    <row r="909">
      <c r="B909" s="369"/>
      <c r="D909" s="370"/>
      <c r="E909" s="369"/>
      <c r="F909" s="369"/>
      <c r="G909" s="369"/>
    </row>
    <row r="910">
      <c r="B910" s="369"/>
      <c r="D910" s="370"/>
      <c r="E910" s="369"/>
      <c r="F910" s="369"/>
      <c r="G910" s="369"/>
    </row>
    <row r="911">
      <c r="B911" s="369"/>
      <c r="D911" s="370"/>
      <c r="E911" s="369"/>
      <c r="F911" s="369"/>
      <c r="G911" s="369"/>
    </row>
    <row r="912">
      <c r="B912" s="369"/>
      <c r="D912" s="370"/>
      <c r="E912" s="369"/>
      <c r="F912" s="369"/>
      <c r="G912" s="369"/>
    </row>
    <row r="913">
      <c r="B913" s="369"/>
      <c r="D913" s="370"/>
      <c r="E913" s="369"/>
      <c r="F913" s="369"/>
      <c r="G913" s="369"/>
    </row>
    <row r="914">
      <c r="B914" s="369"/>
      <c r="D914" s="370"/>
      <c r="E914" s="369"/>
      <c r="F914" s="369"/>
      <c r="G914" s="369"/>
    </row>
    <row r="915">
      <c r="B915" s="369"/>
      <c r="D915" s="370"/>
      <c r="E915" s="369"/>
      <c r="F915" s="369"/>
      <c r="G915" s="369"/>
    </row>
    <row r="916">
      <c r="B916" s="369"/>
      <c r="D916" s="370"/>
      <c r="E916" s="369"/>
      <c r="F916" s="369"/>
      <c r="G916" s="369"/>
    </row>
    <row r="917">
      <c r="B917" s="369"/>
      <c r="D917" s="370"/>
      <c r="E917" s="369"/>
      <c r="F917" s="369"/>
      <c r="G917" s="369"/>
    </row>
    <row r="918">
      <c r="B918" s="369"/>
      <c r="D918" s="370"/>
      <c r="E918" s="369"/>
      <c r="F918" s="369"/>
      <c r="G918" s="369"/>
    </row>
    <row r="919">
      <c r="B919" s="369"/>
      <c r="D919" s="370"/>
      <c r="E919" s="369"/>
      <c r="F919" s="369"/>
      <c r="G919" s="369"/>
    </row>
    <row r="920">
      <c r="B920" s="369"/>
      <c r="D920" s="370"/>
      <c r="E920" s="369"/>
      <c r="F920" s="369"/>
      <c r="G920" s="369"/>
    </row>
    <row r="921">
      <c r="B921" s="369"/>
      <c r="D921" s="370"/>
      <c r="E921" s="369"/>
      <c r="F921" s="369"/>
      <c r="G921" s="369"/>
    </row>
    <row r="922">
      <c r="B922" s="369"/>
      <c r="D922" s="370"/>
      <c r="E922" s="369"/>
      <c r="F922" s="369"/>
      <c r="G922" s="369"/>
    </row>
    <row r="923">
      <c r="B923" s="369"/>
      <c r="D923" s="370"/>
      <c r="E923" s="369"/>
      <c r="F923" s="369"/>
      <c r="G923" s="369"/>
    </row>
    <row r="924">
      <c r="B924" s="369"/>
      <c r="D924" s="370"/>
      <c r="E924" s="369"/>
      <c r="F924" s="369"/>
      <c r="G924" s="369"/>
    </row>
    <row r="925">
      <c r="B925" s="369"/>
      <c r="D925" s="370"/>
      <c r="E925" s="369"/>
      <c r="F925" s="369"/>
      <c r="G925" s="369"/>
    </row>
    <row r="926">
      <c r="B926" s="369"/>
      <c r="D926" s="370"/>
      <c r="E926" s="369"/>
      <c r="F926" s="369"/>
      <c r="G926" s="369"/>
    </row>
    <row r="927">
      <c r="B927" s="369"/>
      <c r="D927" s="370"/>
      <c r="E927" s="369"/>
      <c r="F927" s="369"/>
      <c r="G927" s="369"/>
    </row>
    <row r="928">
      <c r="B928" s="369"/>
      <c r="D928" s="370"/>
      <c r="E928" s="369"/>
      <c r="F928" s="369"/>
      <c r="G928" s="369"/>
    </row>
    <row r="929">
      <c r="B929" s="369"/>
      <c r="D929" s="370"/>
      <c r="E929" s="369"/>
      <c r="F929" s="369"/>
      <c r="G929" s="369"/>
    </row>
    <row r="930">
      <c r="B930" s="369"/>
      <c r="D930" s="370"/>
      <c r="E930" s="369"/>
      <c r="F930" s="369"/>
      <c r="G930" s="369"/>
    </row>
    <row r="931">
      <c r="B931" s="369"/>
      <c r="D931" s="370"/>
      <c r="E931" s="369"/>
      <c r="F931" s="369"/>
      <c r="G931" s="369"/>
    </row>
    <row r="932">
      <c r="B932" s="369"/>
      <c r="D932" s="370"/>
      <c r="E932" s="369"/>
      <c r="F932" s="369"/>
      <c r="G932" s="369"/>
    </row>
    <row r="933">
      <c r="B933" s="369"/>
      <c r="D933" s="370"/>
      <c r="E933" s="369"/>
      <c r="F933" s="369"/>
      <c r="G933" s="369"/>
    </row>
    <row r="934">
      <c r="B934" s="369"/>
      <c r="D934" s="370"/>
      <c r="E934" s="369"/>
      <c r="F934" s="369"/>
      <c r="G934" s="369"/>
    </row>
    <row r="935">
      <c r="B935" s="369"/>
      <c r="D935" s="370"/>
      <c r="E935" s="369"/>
      <c r="F935" s="369"/>
      <c r="G935" s="369"/>
    </row>
    <row r="936">
      <c r="B936" s="369"/>
      <c r="D936" s="370"/>
      <c r="E936" s="369"/>
      <c r="F936" s="369"/>
      <c r="G936" s="369"/>
    </row>
    <row r="937">
      <c r="B937" s="369"/>
      <c r="D937" s="370"/>
      <c r="E937" s="369"/>
      <c r="F937" s="369"/>
      <c r="G937" s="369"/>
    </row>
    <row r="938">
      <c r="B938" s="369"/>
      <c r="D938" s="370"/>
      <c r="E938" s="369"/>
      <c r="F938" s="369"/>
      <c r="G938" s="369"/>
    </row>
    <row r="939">
      <c r="B939" s="369"/>
      <c r="D939" s="370"/>
      <c r="E939" s="369"/>
      <c r="F939" s="369"/>
      <c r="G939" s="369"/>
    </row>
    <row r="940">
      <c r="B940" s="369"/>
      <c r="D940" s="370"/>
      <c r="E940" s="369"/>
      <c r="F940" s="369"/>
      <c r="G940" s="369"/>
    </row>
    <row r="941">
      <c r="B941" s="369"/>
      <c r="D941" s="370"/>
      <c r="E941" s="369"/>
      <c r="F941" s="369"/>
      <c r="G941" s="369"/>
    </row>
    <row r="942">
      <c r="B942" s="369"/>
      <c r="D942" s="370"/>
      <c r="E942" s="369"/>
      <c r="F942" s="369"/>
      <c r="G942" s="369"/>
    </row>
    <row r="943">
      <c r="B943" s="369"/>
      <c r="D943" s="370"/>
      <c r="E943" s="369"/>
      <c r="F943" s="369"/>
      <c r="G943" s="369"/>
    </row>
    <row r="944">
      <c r="B944" s="369"/>
      <c r="D944" s="370"/>
      <c r="E944" s="369"/>
      <c r="F944" s="369"/>
      <c r="G944" s="369"/>
    </row>
    <row r="945">
      <c r="B945" s="369"/>
      <c r="D945" s="370"/>
      <c r="E945" s="369"/>
      <c r="F945" s="369"/>
      <c r="G945" s="369"/>
    </row>
    <row r="946">
      <c r="B946" s="369"/>
      <c r="D946" s="370"/>
      <c r="E946" s="369"/>
      <c r="F946" s="369"/>
      <c r="G946" s="369"/>
    </row>
    <row r="947">
      <c r="B947" s="369"/>
      <c r="D947" s="370"/>
      <c r="E947" s="369"/>
      <c r="F947" s="369"/>
      <c r="G947" s="369"/>
    </row>
    <row r="948">
      <c r="B948" s="369"/>
      <c r="D948" s="370"/>
      <c r="E948" s="369"/>
      <c r="F948" s="369"/>
      <c r="G948" s="369"/>
    </row>
    <row r="949">
      <c r="B949" s="369"/>
      <c r="D949" s="370"/>
      <c r="E949" s="369"/>
      <c r="F949" s="369"/>
      <c r="G949" s="369"/>
    </row>
    <row r="950">
      <c r="B950" s="369"/>
      <c r="D950" s="370"/>
      <c r="E950" s="369"/>
      <c r="F950" s="369"/>
      <c r="G950" s="369"/>
    </row>
    <row r="951">
      <c r="B951" s="369"/>
      <c r="D951" s="370"/>
      <c r="E951" s="369"/>
      <c r="F951" s="369"/>
      <c r="G951" s="369"/>
    </row>
    <row r="952">
      <c r="B952" s="369"/>
      <c r="D952" s="370"/>
      <c r="E952" s="369"/>
      <c r="F952" s="369"/>
      <c r="G952" s="369"/>
    </row>
    <row r="953">
      <c r="B953" s="369"/>
      <c r="D953" s="370"/>
      <c r="E953" s="369"/>
      <c r="F953" s="369"/>
      <c r="G953" s="369"/>
    </row>
    <row r="954">
      <c r="B954" s="369"/>
      <c r="D954" s="370"/>
      <c r="E954" s="369"/>
      <c r="F954" s="369"/>
      <c r="G954" s="369"/>
    </row>
    <row r="955">
      <c r="B955" s="369"/>
      <c r="D955" s="370"/>
      <c r="E955" s="369"/>
      <c r="F955" s="369"/>
      <c r="G955" s="369"/>
    </row>
    <row r="956">
      <c r="B956" s="369"/>
      <c r="D956" s="370"/>
      <c r="E956" s="369"/>
      <c r="F956" s="369"/>
      <c r="G956" s="369"/>
    </row>
    <row r="957">
      <c r="B957" s="369"/>
      <c r="D957" s="370"/>
      <c r="E957" s="369"/>
      <c r="F957" s="369"/>
      <c r="G957" s="369"/>
    </row>
    <row r="958">
      <c r="B958" s="369"/>
      <c r="D958" s="370"/>
      <c r="E958" s="369"/>
      <c r="F958" s="369"/>
      <c r="G958" s="369"/>
    </row>
    <row r="959">
      <c r="B959" s="369"/>
      <c r="D959" s="370"/>
      <c r="E959" s="369"/>
      <c r="F959" s="369"/>
      <c r="G959" s="369"/>
    </row>
    <row r="960">
      <c r="B960" s="369"/>
      <c r="D960" s="370"/>
      <c r="E960" s="369"/>
      <c r="F960" s="369"/>
      <c r="G960" s="369"/>
    </row>
    <row r="961">
      <c r="B961" s="369"/>
      <c r="D961" s="370"/>
      <c r="E961" s="369"/>
      <c r="F961" s="369"/>
      <c r="G961" s="369"/>
    </row>
    <row r="962">
      <c r="B962" s="369"/>
      <c r="D962" s="370"/>
      <c r="E962" s="369"/>
      <c r="F962" s="369"/>
      <c r="G962" s="369"/>
    </row>
    <row r="963">
      <c r="B963" s="369"/>
      <c r="D963" s="370"/>
      <c r="E963" s="369"/>
      <c r="F963" s="369"/>
      <c r="G963" s="369"/>
    </row>
    <row r="964">
      <c r="B964" s="369"/>
      <c r="D964" s="370"/>
      <c r="E964" s="369"/>
      <c r="F964" s="369"/>
      <c r="G964" s="369"/>
    </row>
    <row r="965">
      <c r="B965" s="369"/>
      <c r="D965" s="370"/>
      <c r="E965" s="369"/>
      <c r="F965" s="369"/>
      <c r="G965" s="369"/>
    </row>
    <row r="966">
      <c r="B966" s="369"/>
      <c r="D966" s="370"/>
      <c r="E966" s="369"/>
      <c r="F966" s="369"/>
      <c r="G966" s="369"/>
    </row>
    <row r="967">
      <c r="B967" s="369"/>
      <c r="D967" s="370"/>
      <c r="E967" s="369"/>
      <c r="F967" s="369"/>
      <c r="G967" s="369"/>
    </row>
    <row r="968">
      <c r="B968" s="369"/>
      <c r="D968" s="370"/>
      <c r="E968" s="369"/>
      <c r="F968" s="369"/>
      <c r="G968" s="369"/>
    </row>
    <row r="969">
      <c r="B969" s="369"/>
      <c r="D969" s="370"/>
      <c r="E969" s="369"/>
      <c r="F969" s="369"/>
      <c r="G969" s="369"/>
    </row>
    <row r="970">
      <c r="B970" s="369"/>
      <c r="D970" s="370"/>
      <c r="E970" s="369"/>
      <c r="F970" s="369"/>
      <c r="G970" s="369"/>
    </row>
    <row r="971">
      <c r="B971" s="369"/>
      <c r="D971" s="370"/>
      <c r="E971" s="369"/>
      <c r="F971" s="369"/>
      <c r="G971" s="369"/>
    </row>
    <row r="972">
      <c r="B972" s="369"/>
      <c r="D972" s="370"/>
      <c r="E972" s="369"/>
      <c r="F972" s="369"/>
      <c r="G972" s="369"/>
    </row>
    <row r="973">
      <c r="B973" s="369"/>
      <c r="D973" s="370"/>
      <c r="E973" s="369"/>
      <c r="F973" s="369"/>
      <c r="G973" s="369"/>
    </row>
    <row r="974">
      <c r="B974" s="369"/>
      <c r="D974" s="370"/>
      <c r="E974" s="369"/>
      <c r="F974" s="369"/>
      <c r="G974" s="369"/>
    </row>
    <row r="975">
      <c r="B975" s="369"/>
      <c r="D975" s="370"/>
      <c r="E975" s="369"/>
      <c r="F975" s="369"/>
      <c r="G975" s="369"/>
    </row>
    <row r="976">
      <c r="B976" s="369"/>
      <c r="D976" s="370"/>
      <c r="E976" s="369"/>
      <c r="F976" s="369"/>
      <c r="G976" s="369"/>
    </row>
    <row r="977">
      <c r="B977" s="369"/>
      <c r="D977" s="370"/>
      <c r="E977" s="369"/>
      <c r="F977" s="369"/>
      <c r="G977" s="369"/>
    </row>
    <row r="978">
      <c r="B978" s="369"/>
      <c r="D978" s="370"/>
      <c r="E978" s="369"/>
      <c r="F978" s="369"/>
      <c r="G978" s="369"/>
    </row>
    <row r="979">
      <c r="B979" s="369"/>
      <c r="D979" s="370"/>
      <c r="E979" s="369"/>
      <c r="F979" s="369"/>
      <c r="G979" s="369"/>
    </row>
    <row r="980">
      <c r="B980" s="369"/>
      <c r="D980" s="370"/>
      <c r="E980" s="369"/>
      <c r="F980" s="369"/>
      <c r="G980" s="369"/>
    </row>
    <row r="981">
      <c r="B981" s="369"/>
      <c r="D981" s="370"/>
      <c r="E981" s="369"/>
      <c r="F981" s="369"/>
      <c r="G981" s="369"/>
    </row>
    <row r="982">
      <c r="B982" s="369"/>
      <c r="D982" s="370"/>
      <c r="E982" s="369"/>
      <c r="F982" s="369"/>
      <c r="G982" s="369"/>
    </row>
    <row r="983">
      <c r="B983" s="369"/>
      <c r="D983" s="370"/>
      <c r="E983" s="369"/>
      <c r="F983" s="369"/>
      <c r="G983" s="369"/>
    </row>
    <row r="984">
      <c r="B984" s="369"/>
      <c r="D984" s="370"/>
      <c r="E984" s="369"/>
      <c r="F984" s="369"/>
      <c r="G984" s="369"/>
    </row>
    <row r="985">
      <c r="B985" s="369"/>
      <c r="D985" s="370"/>
      <c r="E985" s="369"/>
      <c r="F985" s="369"/>
      <c r="G985" s="369"/>
    </row>
    <row r="986">
      <c r="B986" s="369"/>
      <c r="D986" s="370"/>
      <c r="E986" s="369"/>
      <c r="F986" s="369"/>
      <c r="G986" s="369"/>
    </row>
    <row r="987">
      <c r="B987" s="369"/>
      <c r="D987" s="370"/>
      <c r="E987" s="369"/>
      <c r="F987" s="369"/>
      <c r="G987" s="369"/>
    </row>
    <row r="988">
      <c r="B988" s="369"/>
      <c r="D988" s="370"/>
      <c r="E988" s="369"/>
      <c r="F988" s="369"/>
      <c r="G988" s="369"/>
    </row>
    <row r="989">
      <c r="B989" s="369"/>
      <c r="D989" s="370"/>
      <c r="E989" s="369"/>
      <c r="F989" s="369"/>
      <c r="G989" s="369"/>
    </row>
    <row r="990">
      <c r="B990" s="369"/>
      <c r="D990" s="370"/>
      <c r="E990" s="369"/>
      <c r="F990" s="369"/>
      <c r="G990" s="369"/>
    </row>
    <row r="991">
      <c r="B991" s="369"/>
      <c r="D991" s="370"/>
      <c r="E991" s="369"/>
      <c r="F991" s="369"/>
      <c r="G991" s="369"/>
    </row>
    <row r="992">
      <c r="B992" s="369"/>
      <c r="D992" s="370"/>
      <c r="E992" s="369"/>
      <c r="F992" s="369"/>
      <c r="G992" s="369"/>
    </row>
    <row r="993">
      <c r="B993" s="369"/>
      <c r="D993" s="370"/>
      <c r="E993" s="369"/>
      <c r="F993" s="369"/>
      <c r="G993" s="369"/>
    </row>
    <row r="994">
      <c r="B994" s="369"/>
      <c r="D994" s="370"/>
      <c r="E994" s="369"/>
      <c r="F994" s="369"/>
      <c r="G994" s="369"/>
    </row>
    <row r="995">
      <c r="B995" s="369"/>
      <c r="D995" s="370"/>
      <c r="E995" s="369"/>
      <c r="F995" s="369"/>
      <c r="G995" s="369"/>
    </row>
    <row r="996">
      <c r="B996" s="369"/>
      <c r="D996" s="370"/>
      <c r="E996" s="369"/>
      <c r="F996" s="369"/>
      <c r="G996" s="369"/>
    </row>
    <row r="997">
      <c r="B997" s="369"/>
      <c r="D997" s="370"/>
      <c r="E997" s="369"/>
      <c r="F997" s="369"/>
      <c r="G997" s="369"/>
    </row>
    <row r="998">
      <c r="B998" s="369"/>
      <c r="D998" s="370"/>
      <c r="E998" s="369"/>
      <c r="F998" s="369"/>
      <c r="G998" s="369"/>
    </row>
    <row r="999">
      <c r="B999" s="369"/>
      <c r="D999" s="370"/>
      <c r="E999" s="369"/>
      <c r="F999" s="369"/>
      <c r="G999" s="369"/>
    </row>
    <row r="1000">
      <c r="B1000" s="369"/>
      <c r="D1000" s="370"/>
      <c r="E1000" s="369"/>
      <c r="F1000" s="369"/>
      <c r="G1000" s="369"/>
    </row>
  </sheetData>
  <autoFilter ref="$A$5:$L$205"/>
  <mergeCells count="3">
    <mergeCell ref="A1:B2"/>
    <mergeCell ref="C1:L1"/>
    <mergeCell ref="C2:L2"/>
  </mergeCells>
  <conditionalFormatting sqref="J6:J205">
    <cfRule type="cellIs" dxfId="2" priority="1" stopIfTrue="1" operator="equal">
      <formula>"Entregue"</formula>
    </cfRule>
  </conditionalFormatting>
  <conditionalFormatting sqref="J6:J205">
    <cfRule type="cellIs" dxfId="3" priority="2" stopIfTrue="1" operator="equal">
      <formula>"Comprada"</formula>
    </cfRule>
  </conditionalFormatting>
  <conditionalFormatting sqref="J6:J205">
    <cfRule type="cellIs" dxfId="3" priority="3" stopIfTrue="1" operator="equal">
      <formula>"Aprovada"</formula>
    </cfRule>
  </conditionalFormatting>
  <conditionalFormatting sqref="J6:J205">
    <cfRule type="cellIs" dxfId="1" priority="4" stopIfTrue="1" operator="equal">
      <formula>"Em cotacao"</formula>
    </cfRule>
  </conditionalFormatting>
  <conditionalFormatting sqref="J6:J205">
    <cfRule type="cellIs" dxfId="4" priority="5" stopIfTrue="1" operator="equal">
      <formula>"Pendente"</formula>
    </cfRule>
  </conditionalFormatting>
  <conditionalFormatting sqref="J6:J205">
    <cfRule type="cellIs" dxfId="5" priority="6" stopIfTrue="1" operator="equal">
      <formula>"Cancelada"</formula>
    </cfRule>
  </conditionalFormatting>
  <conditionalFormatting sqref="A6:A205">
    <cfRule type="cellIs" dxfId="12" priority="7" stopIfTrue="1" operator="equal">
      <formula>"Material"</formula>
    </cfRule>
  </conditionalFormatting>
  <conditionalFormatting sqref="A6:A205">
    <cfRule type="cellIs" dxfId="13" priority="8" stopIfTrue="1" operator="equal">
      <formula>"Ferramenta"</formula>
    </cfRule>
  </conditionalFormatting>
  <conditionalFormatting sqref="A6:A205">
    <cfRule type="cellIs" dxfId="4" priority="9" stopIfTrue="1" operator="equal">
      <formula>"Equipamento"</formula>
    </cfRule>
  </conditionalFormatting>
  <dataValidations>
    <dataValidation type="list" allowBlank="1" sqref="C6:C12">
      <formula1>Catalogo!$A$3:$A$600</formula1>
    </dataValidation>
    <dataValidation type="list" allowBlank="1" sqref="C13 C16:C500">
      <formula1>Catalogo!$F$3:$F$600</formula1>
    </dataValidation>
    <dataValidation type="list" allowBlank="1" sqref="A6:A500">
      <formula1>"Material,Ferramenta,Equipamento,EPI,EPC"</formula1>
    </dataValidation>
    <dataValidation type="list" allowBlank="1" sqref="C14:C15">
      <formula1>Catalogo!$D$3:$D$600</formula1>
    </dataValidation>
    <dataValidation type="list" allowBlank="1" sqref="J6:J205">
      <formula1>"Pendente,Em cotacao,Aprovada,Comprada,Entregue,Cancelada"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3.71"/>
    <col customWidth="1" min="3" max="3" width="16.57"/>
    <col customWidth="1" min="4" max="4" width="30.14"/>
    <col customWidth="1" min="5" max="5" width="17.29"/>
    <col hidden="1" min="6" max="6" width="14.43"/>
    <col customWidth="1" min="13" max="13" width="23.0"/>
    <col customWidth="1" min="15" max="15" width="30.14"/>
    <col hidden="1" min="27" max="29" width="14.43"/>
  </cols>
  <sheetData>
    <row r="1" ht="24.0" customHeight="1">
      <c r="A1" s="24" t="s">
        <v>1688</v>
      </c>
    </row>
    <row r="2">
      <c r="A2" s="372" t="s">
        <v>1689</v>
      </c>
    </row>
    <row r="4">
      <c r="A4" s="373"/>
      <c r="B4" s="373"/>
      <c r="C4" s="373"/>
      <c r="D4" s="373"/>
      <c r="E4" s="373"/>
      <c r="F4" s="373"/>
      <c r="G4" s="373"/>
      <c r="H4" s="373"/>
      <c r="I4" s="373"/>
      <c r="J4" s="373"/>
      <c r="K4" s="373"/>
      <c r="L4" s="373"/>
      <c r="M4" s="373"/>
      <c r="O4" s="374"/>
    </row>
    <row r="5">
      <c r="A5" s="340" t="s">
        <v>1690</v>
      </c>
      <c r="B5" s="340" t="s">
        <v>1691</v>
      </c>
      <c r="C5" s="340" t="s">
        <v>1692</v>
      </c>
      <c r="D5" s="340" t="s">
        <v>37</v>
      </c>
      <c r="E5" s="340" t="s">
        <v>38</v>
      </c>
      <c r="F5" s="340" t="s">
        <v>1664</v>
      </c>
      <c r="G5" s="340" t="s">
        <v>17</v>
      </c>
      <c r="H5" s="340" t="s">
        <v>89</v>
      </c>
      <c r="I5" s="340" t="s">
        <v>1693</v>
      </c>
      <c r="J5" s="340" t="s">
        <v>1694</v>
      </c>
      <c r="K5" s="340" t="s">
        <v>1670</v>
      </c>
      <c r="L5" s="340" t="s">
        <v>13</v>
      </c>
      <c r="M5" s="340" t="s">
        <v>1695</v>
      </c>
      <c r="O5" s="375"/>
      <c r="P5" s="375"/>
      <c r="Q5" s="375"/>
      <c r="R5" s="375"/>
      <c r="S5" s="375"/>
      <c r="T5" s="375"/>
      <c r="U5" s="375"/>
      <c r="V5" s="375"/>
      <c r="W5" s="375"/>
      <c r="X5" s="375"/>
      <c r="Y5" s="375"/>
    </row>
    <row r="6">
      <c r="A6" s="341"/>
      <c r="B6" s="376"/>
      <c r="C6" s="377"/>
      <c r="D6" s="378" t="s">
        <v>1671</v>
      </c>
      <c r="E6" s="379" t="s">
        <v>37</v>
      </c>
      <c r="F6" s="378" t="s">
        <v>1672</v>
      </c>
      <c r="G6" s="378" t="s">
        <v>1696</v>
      </c>
      <c r="H6" s="380">
        <v>318.0</v>
      </c>
      <c r="I6" s="378" t="s">
        <v>1697</v>
      </c>
      <c r="J6" s="381">
        <v>4.89</v>
      </c>
      <c r="K6" s="378" t="s">
        <v>1674</v>
      </c>
      <c r="L6" s="378" t="s">
        <v>1673</v>
      </c>
      <c r="M6" s="378" t="s">
        <v>1675</v>
      </c>
      <c r="AA6" s="44" t="str">
        <f t="array" ref="AA6:AA205">IF(D6:D205="","",D6:D205&amp;"|"&amp;G6:G205)</f>
        <v>Areia media lavada|Entrada</v>
      </c>
      <c r="AB6" s="44" t="str">
        <f t="array" ref="AB6:AB205">IF(D6:D205="","",D6:D205&amp;"|"&amp;I6:I205)</f>
        <v>Areia media lavada|Comprar</v>
      </c>
      <c r="AC6" s="44" t="str">
        <f t="array" ref="AC6:AC205">IF(D6:D205="","",D6:D205&amp;"|"&amp;G6:G205&amp;"|"&amp;I6:I205)</f>
        <v>Areia media lavada|Entrada|Comprar</v>
      </c>
    </row>
    <row r="7">
      <c r="A7" s="341"/>
      <c r="B7" s="376"/>
      <c r="C7" s="377"/>
      <c r="D7" s="378" t="s">
        <v>1676</v>
      </c>
      <c r="E7" s="379" t="s">
        <v>37</v>
      </c>
      <c r="F7" s="378" t="s">
        <v>1672</v>
      </c>
      <c r="G7" s="378" t="s">
        <v>1696</v>
      </c>
      <c r="H7" s="380">
        <v>50.0</v>
      </c>
      <c r="I7" s="378" t="s">
        <v>1697</v>
      </c>
      <c r="J7" s="381">
        <v>42.99</v>
      </c>
      <c r="K7" s="378" t="s">
        <v>1674</v>
      </c>
      <c r="L7" s="378" t="s">
        <v>1673</v>
      </c>
      <c r="M7" s="341"/>
      <c r="AA7" s="44" t="s">
        <v>1698</v>
      </c>
      <c r="AB7" s="44" t="s">
        <v>1699</v>
      </c>
      <c r="AC7" s="44" t="s">
        <v>1700</v>
      </c>
    </row>
    <row r="8">
      <c r="A8" s="378" t="s">
        <v>109</v>
      </c>
      <c r="B8" s="376"/>
      <c r="C8" s="377"/>
      <c r="D8" s="378" t="s">
        <v>1677</v>
      </c>
      <c r="E8" s="379" t="s">
        <v>37</v>
      </c>
      <c r="F8" s="378" t="s">
        <v>1672</v>
      </c>
      <c r="G8" s="378" t="s">
        <v>1696</v>
      </c>
      <c r="H8" s="380">
        <v>334.0</v>
      </c>
      <c r="I8" s="378" t="s">
        <v>1697</v>
      </c>
      <c r="J8" s="381">
        <v>4.89</v>
      </c>
      <c r="K8" s="378" t="s">
        <v>1678</v>
      </c>
      <c r="L8" s="378" t="s">
        <v>1673</v>
      </c>
      <c r="M8" s="378" t="s">
        <v>1679</v>
      </c>
      <c r="AA8" s="44" t="s">
        <v>1701</v>
      </c>
      <c r="AB8" s="44" t="s">
        <v>1702</v>
      </c>
      <c r="AC8" s="44" t="s">
        <v>1703</v>
      </c>
    </row>
    <row r="9">
      <c r="A9" s="378" t="s">
        <v>109</v>
      </c>
      <c r="B9" s="376"/>
      <c r="C9" s="377"/>
      <c r="D9" s="378" t="s">
        <v>1680</v>
      </c>
      <c r="E9" s="379" t="s">
        <v>37</v>
      </c>
      <c r="F9" s="378" t="s">
        <v>1107</v>
      </c>
      <c r="G9" s="378" t="s">
        <v>1696</v>
      </c>
      <c r="H9" s="380">
        <v>111.0</v>
      </c>
      <c r="I9" s="378" t="s">
        <v>1697</v>
      </c>
      <c r="J9" s="381">
        <v>2.57</v>
      </c>
      <c r="K9" s="378" t="s">
        <v>1678</v>
      </c>
      <c r="L9" s="378" t="s">
        <v>1673</v>
      </c>
      <c r="M9" s="378" t="s">
        <v>1681</v>
      </c>
      <c r="AA9" s="44" t="s">
        <v>1704</v>
      </c>
      <c r="AB9" s="44" t="s">
        <v>1705</v>
      </c>
      <c r="AC9" s="44" t="s">
        <v>1706</v>
      </c>
    </row>
    <row r="10">
      <c r="A10" s="341"/>
      <c r="B10" s="376"/>
      <c r="C10" s="377"/>
      <c r="D10" s="378" t="s">
        <v>1682</v>
      </c>
      <c r="E10" s="379" t="s">
        <v>37</v>
      </c>
      <c r="F10" s="378" t="s">
        <v>1107</v>
      </c>
      <c r="G10" s="378" t="s">
        <v>1696</v>
      </c>
      <c r="H10" s="380">
        <v>166.0</v>
      </c>
      <c r="I10" s="378" t="s">
        <v>1697</v>
      </c>
      <c r="J10" s="381">
        <v>7.49</v>
      </c>
      <c r="K10" s="378" t="s">
        <v>1678</v>
      </c>
      <c r="L10" s="378" t="s">
        <v>1673</v>
      </c>
      <c r="M10" s="378" t="s">
        <v>1683</v>
      </c>
      <c r="AA10" s="44" t="s">
        <v>1707</v>
      </c>
      <c r="AB10" s="44" t="s">
        <v>1708</v>
      </c>
      <c r="AC10" s="44" t="s">
        <v>1709</v>
      </c>
    </row>
    <row r="11">
      <c r="A11" s="341"/>
      <c r="B11" s="376"/>
      <c r="C11" s="377"/>
      <c r="D11" s="378" t="s">
        <v>1684</v>
      </c>
      <c r="E11" s="379" t="s">
        <v>37</v>
      </c>
      <c r="F11" s="378" t="s">
        <v>1107</v>
      </c>
      <c r="G11" s="378" t="s">
        <v>1696</v>
      </c>
      <c r="H11" s="380">
        <v>10.0</v>
      </c>
      <c r="I11" s="378" t="s">
        <v>1697</v>
      </c>
      <c r="J11" s="382"/>
      <c r="K11" s="341"/>
      <c r="L11" s="378" t="s">
        <v>1673</v>
      </c>
      <c r="M11" s="341"/>
      <c r="AA11" s="44" t="s">
        <v>1710</v>
      </c>
      <c r="AB11" s="44" t="s">
        <v>1711</v>
      </c>
      <c r="AC11" s="44" t="s">
        <v>1712</v>
      </c>
    </row>
    <row r="12">
      <c r="A12" s="341"/>
      <c r="B12" s="376"/>
      <c r="C12" s="377"/>
      <c r="D12" s="378" t="s">
        <v>1685</v>
      </c>
      <c r="E12" s="379" t="s">
        <v>37</v>
      </c>
      <c r="F12" s="378" t="s">
        <v>1107</v>
      </c>
      <c r="G12" s="378" t="s">
        <v>1696</v>
      </c>
      <c r="H12" s="380">
        <v>75.0</v>
      </c>
      <c r="I12" s="378" t="s">
        <v>1697</v>
      </c>
      <c r="J12" s="381">
        <v>100.75</v>
      </c>
      <c r="K12" s="378" t="s">
        <v>1687</v>
      </c>
      <c r="L12" s="378" t="s">
        <v>1686</v>
      </c>
      <c r="M12" s="341"/>
      <c r="AA12" s="44" t="s">
        <v>1713</v>
      </c>
      <c r="AB12" s="44" t="s">
        <v>1714</v>
      </c>
      <c r="AC12" s="44" t="s">
        <v>1715</v>
      </c>
    </row>
    <row r="13">
      <c r="A13" s="341"/>
      <c r="B13" s="376"/>
      <c r="C13" s="383"/>
      <c r="D13" s="341"/>
      <c r="E13" s="384"/>
      <c r="F13" s="341"/>
      <c r="G13" s="341"/>
      <c r="H13" s="341"/>
      <c r="I13" s="341"/>
      <c r="J13" s="382"/>
      <c r="K13" s="341"/>
      <c r="L13" s="341"/>
      <c r="M13" s="341"/>
      <c r="AA13" s="44" t="s">
        <v>44</v>
      </c>
      <c r="AB13" s="44" t="s">
        <v>44</v>
      </c>
      <c r="AC13" s="44" t="s">
        <v>44</v>
      </c>
    </row>
    <row r="14">
      <c r="A14" s="341"/>
      <c r="B14" s="376"/>
      <c r="C14" s="383"/>
      <c r="D14" s="341"/>
      <c r="E14" s="384"/>
      <c r="F14" s="341"/>
      <c r="G14" s="341"/>
      <c r="H14" s="341"/>
      <c r="I14" s="341"/>
      <c r="J14" s="382"/>
      <c r="K14" s="341"/>
      <c r="L14" s="341"/>
      <c r="M14" s="341"/>
      <c r="AA14" s="44" t="s">
        <v>44</v>
      </c>
      <c r="AB14" s="44" t="s">
        <v>44</v>
      </c>
      <c r="AC14" s="44" t="s">
        <v>44</v>
      </c>
    </row>
    <row r="15">
      <c r="A15" s="341"/>
      <c r="B15" s="376"/>
      <c r="C15" s="383"/>
      <c r="D15" s="341"/>
      <c r="E15" s="384"/>
      <c r="F15" s="341"/>
      <c r="G15" s="341"/>
      <c r="H15" s="341"/>
      <c r="I15" s="341"/>
      <c r="J15" s="382"/>
      <c r="K15" s="341"/>
      <c r="L15" s="341"/>
      <c r="M15" s="341"/>
      <c r="AA15" s="44" t="s">
        <v>44</v>
      </c>
      <c r="AB15" s="44" t="s">
        <v>44</v>
      </c>
      <c r="AC15" s="44" t="s">
        <v>44</v>
      </c>
    </row>
    <row r="16">
      <c r="A16" s="341"/>
      <c r="B16" s="376"/>
      <c r="C16" s="383"/>
      <c r="D16" s="341"/>
      <c r="E16" s="384"/>
      <c r="F16" s="341"/>
      <c r="G16" s="341"/>
      <c r="H16" s="341"/>
      <c r="I16" s="341"/>
      <c r="J16" s="382"/>
      <c r="K16" s="341"/>
      <c r="L16" s="341"/>
      <c r="M16" s="341"/>
      <c r="AA16" s="44" t="s">
        <v>44</v>
      </c>
      <c r="AB16" s="44" t="s">
        <v>44</v>
      </c>
      <c r="AC16" s="44" t="s">
        <v>44</v>
      </c>
    </row>
    <row r="17">
      <c r="A17" s="341"/>
      <c r="B17" s="376"/>
      <c r="C17" s="383"/>
      <c r="D17" s="341"/>
      <c r="E17" s="384"/>
      <c r="F17" s="341"/>
      <c r="G17" s="341"/>
      <c r="H17" s="341"/>
      <c r="I17" s="341"/>
      <c r="J17" s="382"/>
      <c r="K17" s="341"/>
      <c r="L17" s="341"/>
      <c r="M17" s="341"/>
      <c r="AA17" s="44" t="s">
        <v>44</v>
      </c>
      <c r="AB17" s="44" t="s">
        <v>44</v>
      </c>
      <c r="AC17" s="44" t="s">
        <v>44</v>
      </c>
    </row>
    <row r="18">
      <c r="A18" s="341"/>
      <c r="B18" s="376"/>
      <c r="C18" s="383"/>
      <c r="D18" s="341"/>
      <c r="E18" s="384"/>
      <c r="F18" s="341"/>
      <c r="G18" s="341"/>
      <c r="H18" s="341"/>
      <c r="I18" s="341"/>
      <c r="J18" s="382"/>
      <c r="K18" s="341"/>
      <c r="L18" s="341"/>
      <c r="M18" s="341"/>
      <c r="AA18" s="44" t="s">
        <v>44</v>
      </c>
      <c r="AB18" s="44" t="s">
        <v>44</v>
      </c>
      <c r="AC18" s="44" t="s">
        <v>44</v>
      </c>
    </row>
    <row r="19">
      <c r="A19" s="341"/>
      <c r="B19" s="376"/>
      <c r="C19" s="383"/>
      <c r="D19" s="341"/>
      <c r="E19" s="384"/>
      <c r="F19" s="341"/>
      <c r="G19" s="341"/>
      <c r="H19" s="341"/>
      <c r="I19" s="341"/>
      <c r="J19" s="382"/>
      <c r="K19" s="341"/>
      <c r="L19" s="341"/>
      <c r="M19" s="341"/>
      <c r="AA19" s="44" t="s">
        <v>44</v>
      </c>
      <c r="AB19" s="44" t="s">
        <v>44</v>
      </c>
      <c r="AC19" s="44" t="s">
        <v>44</v>
      </c>
    </row>
    <row r="20">
      <c r="A20" s="341"/>
      <c r="B20" s="376"/>
      <c r="C20" s="383"/>
      <c r="D20" s="341"/>
      <c r="E20" s="384"/>
      <c r="F20" s="341"/>
      <c r="G20" s="341"/>
      <c r="H20" s="341"/>
      <c r="I20" s="341"/>
      <c r="J20" s="382"/>
      <c r="K20" s="341"/>
      <c r="L20" s="341"/>
      <c r="M20" s="341"/>
      <c r="AA20" s="44" t="s">
        <v>44</v>
      </c>
      <c r="AB20" s="44" t="s">
        <v>44</v>
      </c>
      <c r="AC20" s="44" t="s">
        <v>44</v>
      </c>
    </row>
    <row r="21">
      <c r="A21" s="341"/>
      <c r="B21" s="376"/>
      <c r="C21" s="383"/>
      <c r="D21" s="341"/>
      <c r="E21" s="384"/>
      <c r="F21" s="341"/>
      <c r="G21" s="341"/>
      <c r="H21" s="341"/>
      <c r="I21" s="341"/>
      <c r="J21" s="382"/>
      <c r="K21" s="341"/>
      <c r="L21" s="341"/>
      <c r="M21" s="341"/>
      <c r="AA21" s="44" t="s">
        <v>44</v>
      </c>
      <c r="AB21" s="44" t="s">
        <v>44</v>
      </c>
      <c r="AC21" s="44" t="s">
        <v>44</v>
      </c>
    </row>
    <row r="22">
      <c r="A22" s="341"/>
      <c r="B22" s="376"/>
      <c r="C22" s="383"/>
      <c r="D22" s="341"/>
      <c r="E22" s="384"/>
      <c r="F22" s="341"/>
      <c r="G22" s="341"/>
      <c r="H22" s="341"/>
      <c r="I22" s="341"/>
      <c r="J22" s="382"/>
      <c r="K22" s="341"/>
      <c r="L22" s="341"/>
      <c r="M22" s="341"/>
      <c r="AA22" s="44" t="s">
        <v>44</v>
      </c>
      <c r="AB22" s="44" t="s">
        <v>44</v>
      </c>
      <c r="AC22" s="44" t="s">
        <v>44</v>
      </c>
    </row>
    <row r="23">
      <c r="A23" s="341"/>
      <c r="B23" s="376"/>
      <c r="C23" s="383"/>
      <c r="D23" s="341"/>
      <c r="E23" s="384"/>
      <c r="F23" s="341"/>
      <c r="G23" s="341"/>
      <c r="H23" s="341"/>
      <c r="I23" s="341"/>
      <c r="J23" s="382"/>
      <c r="K23" s="341"/>
      <c r="L23" s="341"/>
      <c r="M23" s="341"/>
      <c r="AA23" s="44" t="s">
        <v>44</v>
      </c>
      <c r="AB23" s="44" t="s">
        <v>44</v>
      </c>
      <c r="AC23" s="44" t="s">
        <v>44</v>
      </c>
    </row>
    <row r="24">
      <c r="A24" s="341"/>
      <c r="B24" s="376"/>
      <c r="C24" s="383"/>
      <c r="D24" s="341"/>
      <c r="E24" s="384"/>
      <c r="F24" s="341"/>
      <c r="G24" s="341"/>
      <c r="H24" s="341"/>
      <c r="I24" s="341"/>
      <c r="J24" s="382"/>
      <c r="K24" s="341"/>
      <c r="L24" s="341"/>
      <c r="M24" s="341"/>
      <c r="AA24" s="44" t="s">
        <v>44</v>
      </c>
      <c r="AB24" s="44" t="s">
        <v>44</v>
      </c>
      <c r="AC24" s="44" t="s">
        <v>44</v>
      </c>
    </row>
    <row r="25">
      <c r="A25" s="341"/>
      <c r="B25" s="376"/>
      <c r="C25" s="383"/>
      <c r="D25" s="341"/>
      <c r="E25" s="384"/>
      <c r="F25" s="341"/>
      <c r="G25" s="341"/>
      <c r="H25" s="341"/>
      <c r="I25" s="341"/>
      <c r="J25" s="382"/>
      <c r="K25" s="341"/>
      <c r="L25" s="341"/>
      <c r="M25" s="341"/>
      <c r="AA25" s="44" t="s">
        <v>44</v>
      </c>
      <c r="AB25" s="44" t="s">
        <v>44</v>
      </c>
      <c r="AC25" s="44" t="s">
        <v>44</v>
      </c>
    </row>
    <row r="26">
      <c r="A26" s="341"/>
      <c r="B26" s="376"/>
      <c r="C26" s="383"/>
      <c r="D26" s="341"/>
      <c r="E26" s="384"/>
      <c r="F26" s="341"/>
      <c r="G26" s="341"/>
      <c r="H26" s="341"/>
      <c r="I26" s="341"/>
      <c r="J26" s="382"/>
      <c r="K26" s="341"/>
      <c r="L26" s="341"/>
      <c r="M26" s="341"/>
      <c r="AA26" s="44" t="s">
        <v>44</v>
      </c>
      <c r="AB26" s="44" t="s">
        <v>44</v>
      </c>
      <c r="AC26" s="44" t="s">
        <v>44</v>
      </c>
    </row>
    <row r="27">
      <c r="A27" s="341"/>
      <c r="B27" s="376"/>
      <c r="C27" s="383"/>
      <c r="D27" s="341"/>
      <c r="E27" s="384"/>
      <c r="F27" s="341"/>
      <c r="G27" s="341"/>
      <c r="H27" s="341"/>
      <c r="I27" s="341"/>
      <c r="J27" s="382"/>
      <c r="K27" s="341"/>
      <c r="L27" s="341"/>
      <c r="M27" s="341"/>
      <c r="AA27" s="44" t="s">
        <v>44</v>
      </c>
      <c r="AB27" s="44" t="s">
        <v>44</v>
      </c>
      <c r="AC27" s="44" t="s">
        <v>44</v>
      </c>
    </row>
    <row r="28">
      <c r="A28" s="341"/>
      <c r="B28" s="376"/>
      <c r="C28" s="383"/>
      <c r="D28" s="341"/>
      <c r="E28" s="384"/>
      <c r="F28" s="341"/>
      <c r="G28" s="341"/>
      <c r="H28" s="341"/>
      <c r="I28" s="341"/>
      <c r="J28" s="382"/>
      <c r="K28" s="341"/>
      <c r="L28" s="341"/>
      <c r="M28" s="341"/>
      <c r="AA28" s="44" t="s">
        <v>44</v>
      </c>
      <c r="AB28" s="44" t="s">
        <v>44</v>
      </c>
      <c r="AC28" s="44" t="s">
        <v>44</v>
      </c>
    </row>
    <row r="29">
      <c r="A29" s="341"/>
      <c r="B29" s="376"/>
      <c r="C29" s="383"/>
      <c r="D29" s="341"/>
      <c r="E29" s="384"/>
      <c r="F29" s="341"/>
      <c r="G29" s="341"/>
      <c r="H29" s="341"/>
      <c r="I29" s="341"/>
      <c r="J29" s="382"/>
      <c r="K29" s="341"/>
      <c r="L29" s="341"/>
      <c r="M29" s="341"/>
      <c r="AA29" s="44" t="s">
        <v>44</v>
      </c>
      <c r="AB29" s="44" t="s">
        <v>44</v>
      </c>
      <c r="AC29" s="44" t="s">
        <v>44</v>
      </c>
    </row>
    <row r="30">
      <c r="A30" s="341"/>
      <c r="B30" s="376"/>
      <c r="C30" s="383"/>
      <c r="D30" s="341"/>
      <c r="E30" s="384"/>
      <c r="F30" s="341"/>
      <c r="G30" s="341"/>
      <c r="H30" s="341"/>
      <c r="I30" s="341"/>
      <c r="J30" s="382"/>
      <c r="K30" s="341"/>
      <c r="L30" s="341"/>
      <c r="M30" s="341"/>
      <c r="AA30" s="44" t="s">
        <v>44</v>
      </c>
      <c r="AB30" s="44" t="s">
        <v>44</v>
      </c>
      <c r="AC30" s="44" t="s">
        <v>44</v>
      </c>
    </row>
    <row r="31">
      <c r="A31" s="341"/>
      <c r="B31" s="376"/>
      <c r="C31" s="383"/>
      <c r="D31" s="341"/>
      <c r="E31" s="384"/>
      <c r="F31" s="341"/>
      <c r="G31" s="341"/>
      <c r="H31" s="341"/>
      <c r="I31" s="341"/>
      <c r="J31" s="382"/>
      <c r="K31" s="341"/>
      <c r="L31" s="341"/>
      <c r="M31" s="341"/>
      <c r="AA31" s="44" t="s">
        <v>44</v>
      </c>
      <c r="AB31" s="44" t="s">
        <v>44</v>
      </c>
      <c r="AC31" s="44" t="s">
        <v>44</v>
      </c>
    </row>
    <row r="32">
      <c r="A32" s="341"/>
      <c r="B32" s="376"/>
      <c r="C32" s="383"/>
      <c r="D32" s="341"/>
      <c r="E32" s="384"/>
      <c r="F32" s="341"/>
      <c r="G32" s="341"/>
      <c r="H32" s="341"/>
      <c r="I32" s="341"/>
      <c r="J32" s="382"/>
      <c r="K32" s="341"/>
      <c r="L32" s="341"/>
      <c r="M32" s="341"/>
      <c r="AA32" s="44" t="s">
        <v>44</v>
      </c>
      <c r="AB32" s="44" t="s">
        <v>44</v>
      </c>
      <c r="AC32" s="44" t="s">
        <v>44</v>
      </c>
    </row>
    <row r="33">
      <c r="A33" s="341"/>
      <c r="B33" s="376"/>
      <c r="C33" s="383"/>
      <c r="D33" s="341"/>
      <c r="E33" s="384"/>
      <c r="F33" s="341"/>
      <c r="G33" s="341"/>
      <c r="H33" s="341"/>
      <c r="I33" s="341"/>
      <c r="J33" s="382"/>
      <c r="K33" s="341"/>
      <c r="L33" s="341"/>
      <c r="M33" s="341"/>
      <c r="AA33" s="44" t="s">
        <v>44</v>
      </c>
      <c r="AB33" s="44" t="s">
        <v>44</v>
      </c>
      <c r="AC33" s="44" t="s">
        <v>44</v>
      </c>
    </row>
    <row r="34">
      <c r="A34" s="341"/>
      <c r="B34" s="376"/>
      <c r="C34" s="383"/>
      <c r="D34" s="341"/>
      <c r="E34" s="384"/>
      <c r="F34" s="341"/>
      <c r="G34" s="341"/>
      <c r="H34" s="341"/>
      <c r="I34" s="341"/>
      <c r="J34" s="382"/>
      <c r="K34" s="341"/>
      <c r="L34" s="341"/>
      <c r="M34" s="341"/>
      <c r="AA34" s="44" t="s">
        <v>44</v>
      </c>
      <c r="AB34" s="44" t="s">
        <v>44</v>
      </c>
      <c r="AC34" s="44" t="s">
        <v>44</v>
      </c>
    </row>
    <row r="35">
      <c r="A35" s="341"/>
      <c r="B35" s="376"/>
      <c r="C35" s="383"/>
      <c r="D35" s="341"/>
      <c r="E35" s="384"/>
      <c r="F35" s="341"/>
      <c r="G35" s="341"/>
      <c r="H35" s="341"/>
      <c r="I35" s="341"/>
      <c r="J35" s="382"/>
      <c r="K35" s="341"/>
      <c r="L35" s="341"/>
      <c r="M35" s="341"/>
      <c r="AA35" s="44" t="s">
        <v>44</v>
      </c>
      <c r="AB35" s="44" t="s">
        <v>44</v>
      </c>
      <c r="AC35" s="44" t="s">
        <v>44</v>
      </c>
    </row>
    <row r="36">
      <c r="A36" s="341"/>
      <c r="B36" s="376"/>
      <c r="C36" s="383"/>
      <c r="D36" s="341"/>
      <c r="E36" s="384"/>
      <c r="F36" s="341"/>
      <c r="G36" s="341"/>
      <c r="H36" s="341"/>
      <c r="I36" s="341"/>
      <c r="J36" s="382"/>
      <c r="K36" s="341"/>
      <c r="L36" s="341"/>
      <c r="M36" s="341"/>
      <c r="AA36" s="44" t="s">
        <v>44</v>
      </c>
      <c r="AB36" s="44" t="s">
        <v>44</v>
      </c>
      <c r="AC36" s="44" t="s">
        <v>44</v>
      </c>
    </row>
    <row r="37">
      <c r="A37" s="341"/>
      <c r="B37" s="376"/>
      <c r="C37" s="383"/>
      <c r="D37" s="341"/>
      <c r="E37" s="384"/>
      <c r="F37" s="341"/>
      <c r="G37" s="341"/>
      <c r="H37" s="341"/>
      <c r="I37" s="341"/>
      <c r="J37" s="382"/>
      <c r="K37" s="341"/>
      <c r="L37" s="341"/>
      <c r="M37" s="341"/>
      <c r="AA37" s="44" t="s">
        <v>44</v>
      </c>
      <c r="AB37" s="44" t="s">
        <v>44</v>
      </c>
      <c r="AC37" s="44" t="s">
        <v>44</v>
      </c>
    </row>
    <row r="38">
      <c r="A38" s="341"/>
      <c r="B38" s="376"/>
      <c r="C38" s="383"/>
      <c r="D38" s="341"/>
      <c r="E38" s="384"/>
      <c r="F38" s="341"/>
      <c r="G38" s="341"/>
      <c r="H38" s="341"/>
      <c r="I38" s="341"/>
      <c r="J38" s="382"/>
      <c r="K38" s="341"/>
      <c r="L38" s="341"/>
      <c r="M38" s="341"/>
      <c r="AA38" s="44" t="s">
        <v>44</v>
      </c>
      <c r="AB38" s="44" t="s">
        <v>44</v>
      </c>
      <c r="AC38" s="44" t="s">
        <v>44</v>
      </c>
    </row>
    <row r="39">
      <c r="A39" s="341"/>
      <c r="B39" s="376"/>
      <c r="C39" s="383"/>
      <c r="D39" s="341"/>
      <c r="E39" s="384"/>
      <c r="F39" s="341"/>
      <c r="G39" s="341"/>
      <c r="H39" s="341"/>
      <c r="I39" s="341"/>
      <c r="J39" s="382"/>
      <c r="K39" s="341"/>
      <c r="L39" s="341"/>
      <c r="M39" s="341"/>
      <c r="AA39" s="44" t="s">
        <v>44</v>
      </c>
      <c r="AB39" s="44" t="s">
        <v>44</v>
      </c>
      <c r="AC39" s="44" t="s">
        <v>44</v>
      </c>
    </row>
    <row r="40">
      <c r="A40" s="341"/>
      <c r="B40" s="376"/>
      <c r="C40" s="383"/>
      <c r="D40" s="341"/>
      <c r="E40" s="384"/>
      <c r="F40" s="341"/>
      <c r="G40" s="341"/>
      <c r="H40" s="341"/>
      <c r="I40" s="341"/>
      <c r="J40" s="382"/>
      <c r="K40" s="341"/>
      <c r="L40" s="341"/>
      <c r="M40" s="341"/>
      <c r="AA40" s="44" t="s">
        <v>44</v>
      </c>
      <c r="AB40" s="44" t="s">
        <v>44</v>
      </c>
      <c r="AC40" s="44" t="s">
        <v>44</v>
      </c>
    </row>
    <row r="41">
      <c r="A41" s="341"/>
      <c r="B41" s="376"/>
      <c r="C41" s="383"/>
      <c r="D41" s="341"/>
      <c r="E41" s="384"/>
      <c r="F41" s="341"/>
      <c r="G41" s="341"/>
      <c r="H41" s="341"/>
      <c r="I41" s="341"/>
      <c r="J41" s="382"/>
      <c r="K41" s="341"/>
      <c r="L41" s="341"/>
      <c r="M41" s="341"/>
      <c r="AA41" s="44" t="s">
        <v>44</v>
      </c>
      <c r="AB41" s="44" t="s">
        <v>44</v>
      </c>
      <c r="AC41" s="44" t="s">
        <v>44</v>
      </c>
    </row>
    <row r="42">
      <c r="A42" s="341"/>
      <c r="B42" s="376"/>
      <c r="C42" s="383"/>
      <c r="D42" s="341"/>
      <c r="E42" s="384"/>
      <c r="F42" s="341"/>
      <c r="G42" s="341"/>
      <c r="H42" s="341"/>
      <c r="I42" s="341"/>
      <c r="J42" s="382"/>
      <c r="K42" s="341"/>
      <c r="L42" s="341"/>
      <c r="M42" s="341"/>
      <c r="AA42" s="44" t="s">
        <v>44</v>
      </c>
      <c r="AB42" s="44" t="s">
        <v>44</v>
      </c>
      <c r="AC42" s="44" t="s">
        <v>44</v>
      </c>
    </row>
    <row r="43">
      <c r="A43" s="341"/>
      <c r="B43" s="376"/>
      <c r="C43" s="383"/>
      <c r="D43" s="341"/>
      <c r="E43" s="384"/>
      <c r="F43" s="341"/>
      <c r="G43" s="341"/>
      <c r="H43" s="341"/>
      <c r="I43" s="341"/>
      <c r="J43" s="382"/>
      <c r="K43" s="341"/>
      <c r="L43" s="341"/>
      <c r="M43" s="341"/>
      <c r="AA43" s="44" t="s">
        <v>44</v>
      </c>
      <c r="AB43" s="44" t="s">
        <v>44</v>
      </c>
      <c r="AC43" s="44" t="s">
        <v>44</v>
      </c>
    </row>
    <row r="44">
      <c r="A44" s="341"/>
      <c r="B44" s="376"/>
      <c r="C44" s="383"/>
      <c r="D44" s="341"/>
      <c r="E44" s="384"/>
      <c r="F44" s="341"/>
      <c r="G44" s="341"/>
      <c r="H44" s="341"/>
      <c r="I44" s="341"/>
      <c r="J44" s="382"/>
      <c r="K44" s="341"/>
      <c r="L44" s="341"/>
      <c r="M44" s="341"/>
      <c r="AA44" s="44" t="s">
        <v>44</v>
      </c>
      <c r="AB44" s="44" t="s">
        <v>44</v>
      </c>
      <c r="AC44" s="44" t="s">
        <v>44</v>
      </c>
    </row>
    <row r="45">
      <c r="A45" s="341"/>
      <c r="B45" s="376"/>
      <c r="C45" s="383"/>
      <c r="D45" s="341"/>
      <c r="E45" s="384"/>
      <c r="F45" s="341"/>
      <c r="G45" s="341"/>
      <c r="H45" s="341"/>
      <c r="I45" s="341"/>
      <c r="J45" s="382"/>
      <c r="K45" s="341"/>
      <c r="L45" s="341"/>
      <c r="M45" s="341"/>
      <c r="AA45" s="44" t="s">
        <v>44</v>
      </c>
      <c r="AB45" s="44" t="s">
        <v>44</v>
      </c>
      <c r="AC45" s="44" t="s">
        <v>44</v>
      </c>
    </row>
    <row r="46">
      <c r="A46" s="341"/>
      <c r="B46" s="376"/>
      <c r="C46" s="383"/>
      <c r="D46" s="341"/>
      <c r="E46" s="384"/>
      <c r="F46" s="341"/>
      <c r="G46" s="341"/>
      <c r="H46" s="341"/>
      <c r="I46" s="341"/>
      <c r="J46" s="382"/>
      <c r="K46" s="341"/>
      <c r="L46" s="341"/>
      <c r="M46" s="341"/>
      <c r="AA46" s="44" t="s">
        <v>44</v>
      </c>
      <c r="AB46" s="44" t="s">
        <v>44</v>
      </c>
      <c r="AC46" s="44" t="s">
        <v>44</v>
      </c>
    </row>
    <row r="47">
      <c r="A47" s="341"/>
      <c r="B47" s="376"/>
      <c r="C47" s="383"/>
      <c r="D47" s="341"/>
      <c r="E47" s="384"/>
      <c r="F47" s="341"/>
      <c r="G47" s="341"/>
      <c r="H47" s="341"/>
      <c r="I47" s="341"/>
      <c r="J47" s="382"/>
      <c r="K47" s="341"/>
      <c r="L47" s="341"/>
      <c r="M47" s="341"/>
      <c r="AA47" s="44" t="s">
        <v>44</v>
      </c>
      <c r="AB47" s="44" t="s">
        <v>44</v>
      </c>
      <c r="AC47" s="44" t="s">
        <v>44</v>
      </c>
    </row>
    <row r="48">
      <c r="A48" s="341"/>
      <c r="B48" s="376"/>
      <c r="C48" s="383"/>
      <c r="D48" s="341"/>
      <c r="E48" s="384"/>
      <c r="F48" s="341"/>
      <c r="G48" s="341"/>
      <c r="H48" s="341"/>
      <c r="I48" s="341"/>
      <c r="J48" s="382"/>
      <c r="K48" s="341"/>
      <c r="L48" s="341"/>
      <c r="M48" s="341"/>
      <c r="AA48" s="44" t="s">
        <v>44</v>
      </c>
      <c r="AB48" s="44" t="s">
        <v>44</v>
      </c>
      <c r="AC48" s="44" t="s">
        <v>44</v>
      </c>
    </row>
    <row r="49">
      <c r="A49" s="341"/>
      <c r="B49" s="376"/>
      <c r="C49" s="383"/>
      <c r="D49" s="341"/>
      <c r="E49" s="384"/>
      <c r="F49" s="341"/>
      <c r="G49" s="341"/>
      <c r="H49" s="341"/>
      <c r="I49" s="341"/>
      <c r="J49" s="382"/>
      <c r="K49" s="341"/>
      <c r="L49" s="341"/>
      <c r="M49" s="341"/>
      <c r="AA49" s="44" t="s">
        <v>44</v>
      </c>
      <c r="AB49" s="44" t="s">
        <v>44</v>
      </c>
      <c r="AC49" s="44" t="s">
        <v>44</v>
      </c>
    </row>
    <row r="50">
      <c r="A50" s="341"/>
      <c r="B50" s="376"/>
      <c r="C50" s="383"/>
      <c r="D50" s="341"/>
      <c r="E50" s="384"/>
      <c r="F50" s="341"/>
      <c r="G50" s="341"/>
      <c r="H50" s="341"/>
      <c r="I50" s="341"/>
      <c r="J50" s="382"/>
      <c r="K50" s="341"/>
      <c r="L50" s="341"/>
      <c r="M50" s="341"/>
      <c r="AA50" s="44" t="s">
        <v>44</v>
      </c>
      <c r="AB50" s="44" t="s">
        <v>44</v>
      </c>
      <c r="AC50" s="44" t="s">
        <v>44</v>
      </c>
    </row>
    <row r="51">
      <c r="A51" s="341"/>
      <c r="B51" s="376"/>
      <c r="C51" s="383"/>
      <c r="D51" s="341"/>
      <c r="E51" s="384"/>
      <c r="F51" s="341"/>
      <c r="G51" s="341"/>
      <c r="H51" s="341"/>
      <c r="I51" s="341"/>
      <c r="J51" s="382"/>
      <c r="K51" s="341"/>
      <c r="L51" s="341"/>
      <c r="M51" s="341"/>
      <c r="AA51" s="44" t="s">
        <v>44</v>
      </c>
      <c r="AB51" s="44" t="s">
        <v>44</v>
      </c>
      <c r="AC51" s="44" t="s">
        <v>44</v>
      </c>
    </row>
    <row r="52">
      <c r="A52" s="341"/>
      <c r="B52" s="376"/>
      <c r="C52" s="383"/>
      <c r="D52" s="341"/>
      <c r="E52" s="384"/>
      <c r="F52" s="341"/>
      <c r="G52" s="341"/>
      <c r="H52" s="341"/>
      <c r="I52" s="341"/>
      <c r="J52" s="382"/>
      <c r="K52" s="341"/>
      <c r="L52" s="341"/>
      <c r="M52" s="341"/>
      <c r="AA52" s="44" t="s">
        <v>44</v>
      </c>
      <c r="AB52" s="44" t="s">
        <v>44</v>
      </c>
      <c r="AC52" s="44" t="s">
        <v>44</v>
      </c>
    </row>
    <row r="53">
      <c r="A53" s="341"/>
      <c r="B53" s="376"/>
      <c r="C53" s="383"/>
      <c r="D53" s="341"/>
      <c r="E53" s="384"/>
      <c r="F53" s="341"/>
      <c r="G53" s="341"/>
      <c r="H53" s="341"/>
      <c r="I53" s="341"/>
      <c r="J53" s="382"/>
      <c r="K53" s="341"/>
      <c r="L53" s="341"/>
      <c r="M53" s="341"/>
      <c r="AA53" s="44" t="s">
        <v>44</v>
      </c>
      <c r="AB53" s="44" t="s">
        <v>44</v>
      </c>
      <c r="AC53" s="44" t="s">
        <v>44</v>
      </c>
    </row>
    <row r="54">
      <c r="A54" s="341"/>
      <c r="B54" s="376"/>
      <c r="C54" s="383"/>
      <c r="D54" s="341"/>
      <c r="E54" s="384"/>
      <c r="F54" s="341"/>
      <c r="G54" s="341"/>
      <c r="H54" s="341"/>
      <c r="I54" s="341"/>
      <c r="J54" s="382"/>
      <c r="K54" s="341"/>
      <c r="L54" s="341"/>
      <c r="M54" s="341"/>
      <c r="AA54" s="44" t="s">
        <v>44</v>
      </c>
      <c r="AB54" s="44" t="s">
        <v>44</v>
      </c>
      <c r="AC54" s="44" t="s">
        <v>44</v>
      </c>
    </row>
    <row r="55">
      <c r="A55" s="341"/>
      <c r="B55" s="376"/>
      <c r="C55" s="383"/>
      <c r="D55" s="341"/>
      <c r="E55" s="384"/>
      <c r="F55" s="341"/>
      <c r="G55" s="341"/>
      <c r="H55" s="341"/>
      <c r="I55" s="341"/>
      <c r="J55" s="382"/>
      <c r="K55" s="341"/>
      <c r="L55" s="341"/>
      <c r="M55" s="341"/>
      <c r="AA55" s="44" t="s">
        <v>44</v>
      </c>
      <c r="AB55" s="44" t="s">
        <v>44</v>
      </c>
      <c r="AC55" s="44" t="s">
        <v>44</v>
      </c>
    </row>
    <row r="56">
      <c r="A56" s="341"/>
      <c r="B56" s="376"/>
      <c r="C56" s="383"/>
      <c r="D56" s="341"/>
      <c r="E56" s="384"/>
      <c r="F56" s="341"/>
      <c r="G56" s="341"/>
      <c r="H56" s="341"/>
      <c r="I56" s="341"/>
      <c r="J56" s="382"/>
      <c r="K56" s="341"/>
      <c r="L56" s="341"/>
      <c r="M56" s="341"/>
      <c r="AA56" s="44" t="s">
        <v>44</v>
      </c>
      <c r="AB56" s="44" t="s">
        <v>44</v>
      </c>
      <c r="AC56" s="44" t="s">
        <v>44</v>
      </c>
    </row>
    <row r="57">
      <c r="A57" s="341"/>
      <c r="B57" s="376"/>
      <c r="C57" s="383"/>
      <c r="D57" s="341"/>
      <c r="E57" s="384"/>
      <c r="F57" s="341"/>
      <c r="G57" s="341"/>
      <c r="H57" s="341"/>
      <c r="I57" s="341"/>
      <c r="J57" s="382"/>
      <c r="K57" s="341"/>
      <c r="L57" s="341"/>
      <c r="M57" s="341"/>
      <c r="AA57" s="44" t="s">
        <v>44</v>
      </c>
      <c r="AB57" s="44" t="s">
        <v>44</v>
      </c>
      <c r="AC57" s="44" t="s">
        <v>44</v>
      </c>
    </row>
    <row r="58">
      <c r="A58" s="341"/>
      <c r="B58" s="376"/>
      <c r="C58" s="383"/>
      <c r="D58" s="341"/>
      <c r="E58" s="384"/>
      <c r="F58" s="341"/>
      <c r="G58" s="341"/>
      <c r="H58" s="341"/>
      <c r="I58" s="341"/>
      <c r="J58" s="382"/>
      <c r="K58" s="341"/>
      <c r="L58" s="341"/>
      <c r="M58" s="341"/>
      <c r="AA58" s="44" t="s">
        <v>44</v>
      </c>
      <c r="AB58" s="44" t="s">
        <v>44</v>
      </c>
      <c r="AC58" s="44" t="s">
        <v>44</v>
      </c>
    </row>
    <row r="59">
      <c r="A59" s="341"/>
      <c r="B59" s="376"/>
      <c r="C59" s="383"/>
      <c r="D59" s="341"/>
      <c r="E59" s="384"/>
      <c r="F59" s="341"/>
      <c r="G59" s="341"/>
      <c r="H59" s="341"/>
      <c r="I59" s="341"/>
      <c r="J59" s="382"/>
      <c r="K59" s="341"/>
      <c r="L59" s="341"/>
      <c r="M59" s="341"/>
      <c r="AA59" s="44" t="s">
        <v>44</v>
      </c>
      <c r="AB59" s="44" t="s">
        <v>44</v>
      </c>
      <c r="AC59" s="44" t="s">
        <v>44</v>
      </c>
    </row>
    <row r="60">
      <c r="A60" s="341"/>
      <c r="B60" s="376"/>
      <c r="C60" s="383"/>
      <c r="D60" s="341"/>
      <c r="E60" s="384"/>
      <c r="F60" s="341"/>
      <c r="G60" s="341"/>
      <c r="H60" s="341"/>
      <c r="I60" s="341"/>
      <c r="J60" s="382"/>
      <c r="K60" s="341"/>
      <c r="L60" s="341"/>
      <c r="M60" s="341"/>
      <c r="AA60" s="44" t="s">
        <v>44</v>
      </c>
      <c r="AB60" s="44" t="s">
        <v>44</v>
      </c>
      <c r="AC60" s="44" t="s">
        <v>44</v>
      </c>
    </row>
    <row r="61">
      <c r="A61" s="341"/>
      <c r="B61" s="376"/>
      <c r="C61" s="383"/>
      <c r="D61" s="341"/>
      <c r="E61" s="384"/>
      <c r="F61" s="341"/>
      <c r="G61" s="341"/>
      <c r="H61" s="341"/>
      <c r="I61" s="341"/>
      <c r="J61" s="382"/>
      <c r="K61" s="341"/>
      <c r="L61" s="341"/>
      <c r="M61" s="341"/>
      <c r="AA61" s="44" t="s">
        <v>44</v>
      </c>
      <c r="AB61" s="44" t="s">
        <v>44</v>
      </c>
      <c r="AC61" s="44" t="s">
        <v>44</v>
      </c>
    </row>
    <row r="62">
      <c r="A62" s="341"/>
      <c r="B62" s="376"/>
      <c r="C62" s="383"/>
      <c r="D62" s="341"/>
      <c r="E62" s="384"/>
      <c r="F62" s="341"/>
      <c r="G62" s="341"/>
      <c r="H62" s="341"/>
      <c r="I62" s="341"/>
      <c r="J62" s="382"/>
      <c r="K62" s="341"/>
      <c r="L62" s="341"/>
      <c r="M62" s="341"/>
      <c r="AA62" s="44" t="s">
        <v>44</v>
      </c>
      <c r="AB62" s="44" t="s">
        <v>44</v>
      </c>
      <c r="AC62" s="44" t="s">
        <v>44</v>
      </c>
    </row>
    <row r="63">
      <c r="A63" s="341"/>
      <c r="B63" s="376"/>
      <c r="C63" s="383"/>
      <c r="D63" s="341"/>
      <c r="E63" s="384"/>
      <c r="F63" s="341"/>
      <c r="G63" s="341"/>
      <c r="H63" s="341"/>
      <c r="I63" s="341"/>
      <c r="J63" s="382"/>
      <c r="K63" s="341"/>
      <c r="L63" s="341"/>
      <c r="M63" s="341"/>
      <c r="AA63" s="44" t="s">
        <v>44</v>
      </c>
      <c r="AB63" s="44" t="s">
        <v>44</v>
      </c>
      <c r="AC63" s="44" t="s">
        <v>44</v>
      </c>
    </row>
    <row r="64">
      <c r="A64" s="341"/>
      <c r="B64" s="376"/>
      <c r="C64" s="383"/>
      <c r="D64" s="341"/>
      <c r="E64" s="384"/>
      <c r="F64" s="341"/>
      <c r="G64" s="341"/>
      <c r="H64" s="341"/>
      <c r="I64" s="341"/>
      <c r="J64" s="382"/>
      <c r="K64" s="341"/>
      <c r="L64" s="341"/>
      <c r="M64" s="341"/>
      <c r="AA64" s="44" t="s">
        <v>44</v>
      </c>
      <c r="AB64" s="44" t="s">
        <v>44</v>
      </c>
      <c r="AC64" s="44" t="s">
        <v>44</v>
      </c>
    </row>
    <row r="65">
      <c r="A65" s="341"/>
      <c r="B65" s="376"/>
      <c r="C65" s="383"/>
      <c r="D65" s="341"/>
      <c r="E65" s="384"/>
      <c r="F65" s="341"/>
      <c r="G65" s="341"/>
      <c r="H65" s="341"/>
      <c r="I65" s="341"/>
      <c r="J65" s="382"/>
      <c r="K65" s="341"/>
      <c r="L65" s="341"/>
      <c r="M65" s="341"/>
      <c r="AA65" s="44" t="s">
        <v>44</v>
      </c>
      <c r="AB65" s="44" t="s">
        <v>44</v>
      </c>
      <c r="AC65" s="44" t="s">
        <v>44</v>
      </c>
    </row>
    <row r="66">
      <c r="A66" s="341"/>
      <c r="B66" s="376"/>
      <c r="C66" s="383"/>
      <c r="D66" s="341"/>
      <c r="E66" s="384"/>
      <c r="F66" s="341"/>
      <c r="G66" s="341"/>
      <c r="H66" s="341"/>
      <c r="I66" s="341"/>
      <c r="J66" s="382"/>
      <c r="K66" s="341"/>
      <c r="L66" s="341"/>
      <c r="M66" s="341"/>
      <c r="AA66" s="44" t="s">
        <v>44</v>
      </c>
      <c r="AB66" s="44" t="s">
        <v>44</v>
      </c>
      <c r="AC66" s="44" t="s">
        <v>44</v>
      </c>
    </row>
    <row r="67">
      <c r="A67" s="341"/>
      <c r="B67" s="376"/>
      <c r="C67" s="383"/>
      <c r="D67" s="341"/>
      <c r="E67" s="384"/>
      <c r="F67" s="341"/>
      <c r="G67" s="341"/>
      <c r="H67" s="341"/>
      <c r="I67" s="341"/>
      <c r="J67" s="382"/>
      <c r="K67" s="341"/>
      <c r="L67" s="341"/>
      <c r="M67" s="341"/>
      <c r="AA67" s="44" t="s">
        <v>44</v>
      </c>
      <c r="AB67" s="44" t="s">
        <v>44</v>
      </c>
      <c r="AC67" s="44" t="s">
        <v>44</v>
      </c>
    </row>
    <row r="68">
      <c r="A68" s="341"/>
      <c r="B68" s="376"/>
      <c r="C68" s="383"/>
      <c r="D68" s="341"/>
      <c r="E68" s="384"/>
      <c r="F68" s="341"/>
      <c r="G68" s="341"/>
      <c r="H68" s="341"/>
      <c r="I68" s="341"/>
      <c r="J68" s="382"/>
      <c r="K68" s="341"/>
      <c r="L68" s="341"/>
      <c r="M68" s="341"/>
      <c r="AA68" s="44" t="s">
        <v>44</v>
      </c>
      <c r="AB68" s="44" t="s">
        <v>44</v>
      </c>
      <c r="AC68" s="44" t="s">
        <v>44</v>
      </c>
    </row>
    <row r="69">
      <c r="A69" s="341"/>
      <c r="B69" s="376"/>
      <c r="C69" s="383"/>
      <c r="D69" s="341"/>
      <c r="E69" s="384"/>
      <c r="F69" s="341"/>
      <c r="G69" s="341"/>
      <c r="H69" s="341"/>
      <c r="I69" s="341"/>
      <c r="J69" s="382"/>
      <c r="K69" s="341"/>
      <c r="L69" s="341"/>
      <c r="M69" s="341"/>
      <c r="AA69" s="44" t="s">
        <v>44</v>
      </c>
      <c r="AB69" s="44" t="s">
        <v>44</v>
      </c>
      <c r="AC69" s="44" t="s">
        <v>44</v>
      </c>
    </row>
    <row r="70">
      <c r="A70" s="341"/>
      <c r="B70" s="376"/>
      <c r="C70" s="383"/>
      <c r="D70" s="341"/>
      <c r="E70" s="384"/>
      <c r="F70" s="341"/>
      <c r="G70" s="341"/>
      <c r="H70" s="341"/>
      <c r="I70" s="341"/>
      <c r="J70" s="382"/>
      <c r="K70" s="341"/>
      <c r="L70" s="341"/>
      <c r="M70" s="341"/>
      <c r="AA70" s="44" t="s">
        <v>44</v>
      </c>
      <c r="AB70" s="44" t="s">
        <v>44</v>
      </c>
      <c r="AC70" s="44" t="s">
        <v>44</v>
      </c>
    </row>
    <row r="71">
      <c r="A71" s="341"/>
      <c r="B71" s="376"/>
      <c r="C71" s="383"/>
      <c r="D71" s="341"/>
      <c r="E71" s="384"/>
      <c r="F71" s="341"/>
      <c r="G71" s="341"/>
      <c r="H71" s="341"/>
      <c r="I71" s="341"/>
      <c r="J71" s="382"/>
      <c r="K71" s="341"/>
      <c r="L71" s="341"/>
      <c r="M71" s="341"/>
      <c r="AA71" s="44" t="s">
        <v>44</v>
      </c>
      <c r="AB71" s="44" t="s">
        <v>44</v>
      </c>
      <c r="AC71" s="44" t="s">
        <v>44</v>
      </c>
    </row>
    <row r="72">
      <c r="A72" s="341"/>
      <c r="B72" s="376"/>
      <c r="C72" s="383"/>
      <c r="D72" s="341"/>
      <c r="E72" s="384"/>
      <c r="F72" s="341"/>
      <c r="G72" s="341"/>
      <c r="H72" s="341"/>
      <c r="I72" s="341"/>
      <c r="J72" s="382"/>
      <c r="K72" s="341"/>
      <c r="L72" s="341"/>
      <c r="M72" s="341"/>
      <c r="AA72" s="44" t="s">
        <v>44</v>
      </c>
      <c r="AB72" s="44" t="s">
        <v>44</v>
      </c>
      <c r="AC72" s="44" t="s">
        <v>44</v>
      </c>
    </row>
    <row r="73">
      <c r="A73" s="341"/>
      <c r="B73" s="376"/>
      <c r="C73" s="383"/>
      <c r="D73" s="341"/>
      <c r="E73" s="384"/>
      <c r="F73" s="341"/>
      <c r="G73" s="341"/>
      <c r="H73" s="341"/>
      <c r="I73" s="341"/>
      <c r="J73" s="382"/>
      <c r="K73" s="341"/>
      <c r="L73" s="341"/>
      <c r="M73" s="341"/>
      <c r="AA73" s="44" t="s">
        <v>44</v>
      </c>
      <c r="AB73" s="44" t="s">
        <v>44</v>
      </c>
      <c r="AC73" s="44" t="s">
        <v>44</v>
      </c>
    </row>
    <row r="74">
      <c r="A74" s="341"/>
      <c r="B74" s="376"/>
      <c r="C74" s="383"/>
      <c r="D74" s="341"/>
      <c r="E74" s="384"/>
      <c r="F74" s="341"/>
      <c r="G74" s="341"/>
      <c r="H74" s="341"/>
      <c r="I74" s="341"/>
      <c r="J74" s="382"/>
      <c r="K74" s="341"/>
      <c r="L74" s="341"/>
      <c r="M74" s="341"/>
      <c r="AA74" s="44" t="s">
        <v>44</v>
      </c>
      <c r="AB74" s="44" t="s">
        <v>44</v>
      </c>
      <c r="AC74" s="44" t="s">
        <v>44</v>
      </c>
    </row>
    <row r="75">
      <c r="A75" s="341"/>
      <c r="B75" s="376"/>
      <c r="C75" s="383"/>
      <c r="D75" s="341"/>
      <c r="E75" s="384"/>
      <c r="F75" s="341"/>
      <c r="G75" s="341"/>
      <c r="H75" s="341"/>
      <c r="I75" s="341"/>
      <c r="J75" s="382"/>
      <c r="K75" s="341"/>
      <c r="L75" s="341"/>
      <c r="M75" s="341"/>
      <c r="AA75" s="44" t="s">
        <v>44</v>
      </c>
      <c r="AB75" s="44" t="s">
        <v>44</v>
      </c>
      <c r="AC75" s="44" t="s">
        <v>44</v>
      </c>
    </row>
    <row r="76">
      <c r="A76" s="341"/>
      <c r="B76" s="376"/>
      <c r="C76" s="383"/>
      <c r="D76" s="341"/>
      <c r="E76" s="384"/>
      <c r="F76" s="341"/>
      <c r="G76" s="341"/>
      <c r="H76" s="341"/>
      <c r="I76" s="341"/>
      <c r="J76" s="382"/>
      <c r="K76" s="341"/>
      <c r="L76" s="341"/>
      <c r="M76" s="341"/>
      <c r="AA76" s="44" t="s">
        <v>44</v>
      </c>
      <c r="AB76" s="44" t="s">
        <v>44</v>
      </c>
      <c r="AC76" s="44" t="s">
        <v>44</v>
      </c>
    </row>
    <row r="77">
      <c r="A77" s="341"/>
      <c r="B77" s="376"/>
      <c r="C77" s="383"/>
      <c r="D77" s="341"/>
      <c r="E77" s="384"/>
      <c r="F77" s="341"/>
      <c r="G77" s="341"/>
      <c r="H77" s="341"/>
      <c r="I77" s="341"/>
      <c r="J77" s="382"/>
      <c r="K77" s="341"/>
      <c r="L77" s="341"/>
      <c r="M77" s="341"/>
      <c r="AA77" s="44" t="s">
        <v>44</v>
      </c>
      <c r="AB77" s="44" t="s">
        <v>44</v>
      </c>
      <c r="AC77" s="44" t="s">
        <v>44</v>
      </c>
    </row>
    <row r="78">
      <c r="A78" s="341"/>
      <c r="B78" s="376"/>
      <c r="C78" s="383"/>
      <c r="D78" s="341"/>
      <c r="E78" s="384"/>
      <c r="F78" s="341"/>
      <c r="G78" s="341"/>
      <c r="H78" s="341"/>
      <c r="I78" s="341"/>
      <c r="J78" s="382"/>
      <c r="K78" s="341"/>
      <c r="L78" s="341"/>
      <c r="M78" s="341"/>
      <c r="AA78" s="44" t="s">
        <v>44</v>
      </c>
      <c r="AB78" s="44" t="s">
        <v>44</v>
      </c>
      <c r="AC78" s="44" t="s">
        <v>44</v>
      </c>
    </row>
    <row r="79">
      <c r="A79" s="341"/>
      <c r="B79" s="376"/>
      <c r="C79" s="383"/>
      <c r="D79" s="341"/>
      <c r="E79" s="384"/>
      <c r="F79" s="341"/>
      <c r="G79" s="341"/>
      <c r="H79" s="341"/>
      <c r="I79" s="341"/>
      <c r="J79" s="382"/>
      <c r="K79" s="341"/>
      <c r="L79" s="341"/>
      <c r="M79" s="341"/>
      <c r="AA79" s="44" t="s">
        <v>44</v>
      </c>
      <c r="AB79" s="44" t="s">
        <v>44</v>
      </c>
      <c r="AC79" s="44" t="s">
        <v>44</v>
      </c>
    </row>
    <row r="80">
      <c r="A80" s="341"/>
      <c r="B80" s="376"/>
      <c r="C80" s="383"/>
      <c r="D80" s="341"/>
      <c r="E80" s="384"/>
      <c r="F80" s="341"/>
      <c r="G80" s="341"/>
      <c r="H80" s="341"/>
      <c r="I80" s="341"/>
      <c r="J80" s="382"/>
      <c r="K80" s="341"/>
      <c r="L80" s="341"/>
      <c r="M80" s="341"/>
      <c r="AA80" s="44" t="s">
        <v>44</v>
      </c>
      <c r="AB80" s="44" t="s">
        <v>44</v>
      </c>
      <c r="AC80" s="44" t="s">
        <v>44</v>
      </c>
    </row>
    <row r="81">
      <c r="A81" s="341"/>
      <c r="B81" s="376"/>
      <c r="C81" s="383"/>
      <c r="D81" s="341"/>
      <c r="E81" s="384"/>
      <c r="F81" s="341"/>
      <c r="G81" s="341"/>
      <c r="H81" s="341"/>
      <c r="I81" s="341"/>
      <c r="J81" s="382"/>
      <c r="K81" s="341"/>
      <c r="L81" s="341"/>
      <c r="M81" s="341"/>
      <c r="AA81" s="44" t="s">
        <v>44</v>
      </c>
      <c r="AB81" s="44" t="s">
        <v>44</v>
      </c>
      <c r="AC81" s="44" t="s">
        <v>44</v>
      </c>
    </row>
    <row r="82">
      <c r="A82" s="341"/>
      <c r="B82" s="376"/>
      <c r="C82" s="383"/>
      <c r="D82" s="341"/>
      <c r="E82" s="384"/>
      <c r="F82" s="341"/>
      <c r="G82" s="341"/>
      <c r="H82" s="341"/>
      <c r="I82" s="341"/>
      <c r="J82" s="382"/>
      <c r="K82" s="341"/>
      <c r="L82" s="341"/>
      <c r="M82" s="341"/>
      <c r="AA82" s="44" t="s">
        <v>44</v>
      </c>
      <c r="AB82" s="44" t="s">
        <v>44</v>
      </c>
      <c r="AC82" s="44" t="s">
        <v>44</v>
      </c>
    </row>
    <row r="83">
      <c r="A83" s="341"/>
      <c r="B83" s="376"/>
      <c r="C83" s="383"/>
      <c r="D83" s="341"/>
      <c r="E83" s="384"/>
      <c r="F83" s="341"/>
      <c r="G83" s="341"/>
      <c r="H83" s="341"/>
      <c r="I83" s="341"/>
      <c r="J83" s="382"/>
      <c r="K83" s="341"/>
      <c r="L83" s="341"/>
      <c r="M83" s="341"/>
      <c r="AA83" s="44" t="s">
        <v>44</v>
      </c>
      <c r="AB83" s="44" t="s">
        <v>44</v>
      </c>
      <c r="AC83" s="44" t="s">
        <v>44</v>
      </c>
    </row>
    <row r="84">
      <c r="A84" s="341"/>
      <c r="B84" s="376"/>
      <c r="C84" s="383"/>
      <c r="D84" s="341"/>
      <c r="E84" s="384"/>
      <c r="F84" s="341"/>
      <c r="G84" s="341"/>
      <c r="H84" s="341"/>
      <c r="I84" s="341"/>
      <c r="J84" s="382"/>
      <c r="K84" s="341"/>
      <c r="L84" s="341"/>
      <c r="M84" s="341"/>
      <c r="AA84" s="44" t="s">
        <v>44</v>
      </c>
      <c r="AB84" s="44" t="s">
        <v>44</v>
      </c>
      <c r="AC84" s="44" t="s">
        <v>44</v>
      </c>
    </row>
    <row r="85">
      <c r="A85" s="341"/>
      <c r="B85" s="376"/>
      <c r="C85" s="383"/>
      <c r="D85" s="341"/>
      <c r="E85" s="384"/>
      <c r="F85" s="341"/>
      <c r="G85" s="341"/>
      <c r="H85" s="341"/>
      <c r="I85" s="341"/>
      <c r="J85" s="382"/>
      <c r="K85" s="341"/>
      <c r="L85" s="341"/>
      <c r="M85" s="341"/>
      <c r="AA85" s="44" t="s">
        <v>44</v>
      </c>
      <c r="AB85" s="44" t="s">
        <v>44</v>
      </c>
      <c r="AC85" s="44" t="s">
        <v>44</v>
      </c>
    </row>
    <row r="86">
      <c r="A86" s="341"/>
      <c r="B86" s="376"/>
      <c r="C86" s="383"/>
      <c r="D86" s="341"/>
      <c r="E86" s="384"/>
      <c r="F86" s="341"/>
      <c r="G86" s="341"/>
      <c r="H86" s="341"/>
      <c r="I86" s="341"/>
      <c r="J86" s="382"/>
      <c r="K86" s="341"/>
      <c r="L86" s="341"/>
      <c r="M86" s="341"/>
      <c r="AA86" s="44" t="s">
        <v>44</v>
      </c>
      <c r="AB86" s="44" t="s">
        <v>44</v>
      </c>
      <c r="AC86" s="44" t="s">
        <v>44</v>
      </c>
    </row>
    <row r="87">
      <c r="A87" s="341"/>
      <c r="B87" s="376"/>
      <c r="C87" s="383"/>
      <c r="D87" s="341"/>
      <c r="E87" s="384"/>
      <c r="F87" s="341"/>
      <c r="G87" s="341"/>
      <c r="H87" s="341"/>
      <c r="I87" s="341"/>
      <c r="J87" s="382"/>
      <c r="K87" s="341"/>
      <c r="L87" s="341"/>
      <c r="M87" s="341"/>
      <c r="AA87" s="44" t="s">
        <v>44</v>
      </c>
      <c r="AB87" s="44" t="s">
        <v>44</v>
      </c>
      <c r="AC87" s="44" t="s">
        <v>44</v>
      </c>
    </row>
    <row r="88">
      <c r="A88" s="341"/>
      <c r="B88" s="376"/>
      <c r="C88" s="383"/>
      <c r="D88" s="341"/>
      <c r="E88" s="384"/>
      <c r="F88" s="341"/>
      <c r="G88" s="341"/>
      <c r="H88" s="341"/>
      <c r="I88" s="341"/>
      <c r="J88" s="382"/>
      <c r="K88" s="341"/>
      <c r="L88" s="341"/>
      <c r="M88" s="341"/>
      <c r="AA88" s="44" t="s">
        <v>44</v>
      </c>
      <c r="AB88" s="44" t="s">
        <v>44</v>
      </c>
      <c r="AC88" s="44" t="s">
        <v>44</v>
      </c>
    </row>
    <row r="89">
      <c r="A89" s="341"/>
      <c r="B89" s="376"/>
      <c r="C89" s="383"/>
      <c r="D89" s="341"/>
      <c r="E89" s="384"/>
      <c r="F89" s="341"/>
      <c r="G89" s="341"/>
      <c r="H89" s="341"/>
      <c r="I89" s="341"/>
      <c r="J89" s="382"/>
      <c r="K89" s="341"/>
      <c r="L89" s="341"/>
      <c r="M89" s="341"/>
      <c r="AA89" s="44" t="s">
        <v>44</v>
      </c>
      <c r="AB89" s="44" t="s">
        <v>44</v>
      </c>
      <c r="AC89" s="44" t="s">
        <v>44</v>
      </c>
    </row>
    <row r="90">
      <c r="A90" s="341"/>
      <c r="B90" s="376"/>
      <c r="C90" s="383"/>
      <c r="D90" s="341"/>
      <c r="E90" s="384"/>
      <c r="F90" s="341"/>
      <c r="G90" s="341"/>
      <c r="H90" s="341"/>
      <c r="I90" s="341"/>
      <c r="J90" s="382"/>
      <c r="K90" s="341"/>
      <c r="L90" s="341"/>
      <c r="M90" s="341"/>
      <c r="AA90" s="44" t="s">
        <v>44</v>
      </c>
      <c r="AB90" s="44" t="s">
        <v>44</v>
      </c>
      <c r="AC90" s="44" t="s">
        <v>44</v>
      </c>
    </row>
    <row r="91">
      <c r="A91" s="341"/>
      <c r="B91" s="376"/>
      <c r="C91" s="383"/>
      <c r="D91" s="341"/>
      <c r="E91" s="384"/>
      <c r="F91" s="341"/>
      <c r="G91" s="341"/>
      <c r="H91" s="341"/>
      <c r="I91" s="341"/>
      <c r="J91" s="382"/>
      <c r="K91" s="341"/>
      <c r="L91" s="341"/>
      <c r="M91" s="341"/>
      <c r="AA91" s="44" t="s">
        <v>44</v>
      </c>
      <c r="AB91" s="44" t="s">
        <v>44</v>
      </c>
      <c r="AC91" s="44" t="s">
        <v>44</v>
      </c>
    </row>
    <row r="92">
      <c r="A92" s="341"/>
      <c r="B92" s="376"/>
      <c r="C92" s="383"/>
      <c r="D92" s="341"/>
      <c r="E92" s="384"/>
      <c r="F92" s="341"/>
      <c r="G92" s="341"/>
      <c r="H92" s="341"/>
      <c r="I92" s="341"/>
      <c r="J92" s="382"/>
      <c r="K92" s="341"/>
      <c r="L92" s="341"/>
      <c r="M92" s="341"/>
      <c r="AA92" s="44" t="s">
        <v>44</v>
      </c>
      <c r="AB92" s="44" t="s">
        <v>44</v>
      </c>
      <c r="AC92" s="44" t="s">
        <v>44</v>
      </c>
    </row>
    <row r="93">
      <c r="A93" s="341"/>
      <c r="B93" s="376"/>
      <c r="C93" s="383"/>
      <c r="D93" s="341"/>
      <c r="E93" s="384"/>
      <c r="F93" s="341"/>
      <c r="G93" s="341"/>
      <c r="H93" s="341"/>
      <c r="I93" s="341"/>
      <c r="J93" s="382"/>
      <c r="K93" s="341"/>
      <c r="L93" s="341"/>
      <c r="M93" s="341"/>
      <c r="AA93" s="44" t="s">
        <v>44</v>
      </c>
      <c r="AB93" s="44" t="s">
        <v>44</v>
      </c>
      <c r="AC93" s="44" t="s">
        <v>44</v>
      </c>
    </row>
    <row r="94">
      <c r="A94" s="341"/>
      <c r="B94" s="376"/>
      <c r="C94" s="383"/>
      <c r="D94" s="341"/>
      <c r="E94" s="384"/>
      <c r="F94" s="341"/>
      <c r="G94" s="341"/>
      <c r="H94" s="341"/>
      <c r="I94" s="341"/>
      <c r="J94" s="382"/>
      <c r="K94" s="341"/>
      <c r="L94" s="341"/>
      <c r="M94" s="341"/>
      <c r="AA94" s="44" t="s">
        <v>44</v>
      </c>
      <c r="AB94" s="44" t="s">
        <v>44</v>
      </c>
      <c r="AC94" s="44" t="s">
        <v>44</v>
      </c>
    </row>
    <row r="95">
      <c r="A95" s="341"/>
      <c r="B95" s="376"/>
      <c r="C95" s="383"/>
      <c r="D95" s="341"/>
      <c r="E95" s="384"/>
      <c r="F95" s="341"/>
      <c r="G95" s="341"/>
      <c r="H95" s="341"/>
      <c r="I95" s="341"/>
      <c r="J95" s="382"/>
      <c r="K95" s="341"/>
      <c r="L95" s="341"/>
      <c r="M95" s="341"/>
      <c r="AA95" s="44" t="s">
        <v>44</v>
      </c>
      <c r="AB95" s="44" t="s">
        <v>44</v>
      </c>
      <c r="AC95" s="44" t="s">
        <v>44</v>
      </c>
    </row>
    <row r="96">
      <c r="A96" s="341"/>
      <c r="B96" s="376"/>
      <c r="C96" s="383"/>
      <c r="D96" s="341"/>
      <c r="E96" s="384"/>
      <c r="F96" s="341"/>
      <c r="G96" s="341"/>
      <c r="H96" s="341"/>
      <c r="I96" s="341"/>
      <c r="J96" s="382"/>
      <c r="K96" s="341"/>
      <c r="L96" s="341"/>
      <c r="M96" s="341"/>
      <c r="AA96" s="44" t="s">
        <v>44</v>
      </c>
      <c r="AB96" s="44" t="s">
        <v>44</v>
      </c>
      <c r="AC96" s="44" t="s">
        <v>44</v>
      </c>
    </row>
    <row r="97">
      <c r="A97" s="341"/>
      <c r="B97" s="376"/>
      <c r="C97" s="383"/>
      <c r="D97" s="341"/>
      <c r="E97" s="384"/>
      <c r="F97" s="341"/>
      <c r="G97" s="341"/>
      <c r="H97" s="341"/>
      <c r="I97" s="341"/>
      <c r="J97" s="382"/>
      <c r="K97" s="341"/>
      <c r="L97" s="341"/>
      <c r="M97" s="341"/>
      <c r="AA97" s="44" t="s">
        <v>44</v>
      </c>
      <c r="AB97" s="44" t="s">
        <v>44</v>
      </c>
      <c r="AC97" s="44" t="s">
        <v>44</v>
      </c>
    </row>
    <row r="98">
      <c r="A98" s="341"/>
      <c r="B98" s="376"/>
      <c r="C98" s="383"/>
      <c r="D98" s="341"/>
      <c r="E98" s="384"/>
      <c r="F98" s="341"/>
      <c r="G98" s="341"/>
      <c r="H98" s="341"/>
      <c r="I98" s="341"/>
      <c r="J98" s="382"/>
      <c r="K98" s="341"/>
      <c r="L98" s="341"/>
      <c r="M98" s="341"/>
      <c r="AA98" s="44" t="s">
        <v>44</v>
      </c>
      <c r="AB98" s="44" t="s">
        <v>44</v>
      </c>
      <c r="AC98" s="44" t="s">
        <v>44</v>
      </c>
    </row>
    <row r="99">
      <c r="A99" s="341"/>
      <c r="B99" s="376"/>
      <c r="C99" s="383"/>
      <c r="D99" s="341"/>
      <c r="E99" s="384"/>
      <c r="F99" s="341"/>
      <c r="G99" s="341"/>
      <c r="H99" s="341"/>
      <c r="I99" s="341"/>
      <c r="J99" s="382"/>
      <c r="K99" s="341"/>
      <c r="L99" s="341"/>
      <c r="M99" s="341"/>
      <c r="AA99" s="44" t="s">
        <v>44</v>
      </c>
      <c r="AB99" s="44" t="s">
        <v>44</v>
      </c>
      <c r="AC99" s="44" t="s">
        <v>44</v>
      </c>
    </row>
    <row r="100">
      <c r="A100" s="341"/>
      <c r="B100" s="376"/>
      <c r="C100" s="383"/>
      <c r="D100" s="341"/>
      <c r="E100" s="384"/>
      <c r="F100" s="341"/>
      <c r="G100" s="341"/>
      <c r="H100" s="341"/>
      <c r="I100" s="341"/>
      <c r="J100" s="382"/>
      <c r="K100" s="341"/>
      <c r="L100" s="341"/>
      <c r="M100" s="341"/>
      <c r="AA100" s="44" t="s">
        <v>44</v>
      </c>
      <c r="AB100" s="44" t="s">
        <v>44</v>
      </c>
      <c r="AC100" s="44" t="s">
        <v>44</v>
      </c>
    </row>
    <row r="101">
      <c r="A101" s="341"/>
      <c r="B101" s="376"/>
      <c r="C101" s="383"/>
      <c r="D101" s="341"/>
      <c r="E101" s="384"/>
      <c r="F101" s="341"/>
      <c r="G101" s="341"/>
      <c r="H101" s="341"/>
      <c r="I101" s="341"/>
      <c r="J101" s="382"/>
      <c r="K101" s="341"/>
      <c r="L101" s="341"/>
      <c r="M101" s="341"/>
      <c r="AA101" s="44" t="s">
        <v>44</v>
      </c>
      <c r="AB101" s="44" t="s">
        <v>44</v>
      </c>
      <c r="AC101" s="44" t="s">
        <v>44</v>
      </c>
    </row>
    <row r="102">
      <c r="A102" s="341"/>
      <c r="B102" s="376"/>
      <c r="C102" s="383"/>
      <c r="D102" s="341"/>
      <c r="E102" s="384"/>
      <c r="F102" s="341"/>
      <c r="G102" s="341"/>
      <c r="H102" s="341"/>
      <c r="I102" s="341"/>
      <c r="J102" s="382"/>
      <c r="K102" s="341"/>
      <c r="L102" s="341"/>
      <c r="M102" s="341"/>
      <c r="AA102" s="44" t="s">
        <v>44</v>
      </c>
      <c r="AB102" s="44" t="s">
        <v>44</v>
      </c>
      <c r="AC102" s="44" t="s">
        <v>44</v>
      </c>
    </row>
    <row r="103">
      <c r="A103" s="341"/>
      <c r="B103" s="376"/>
      <c r="C103" s="383"/>
      <c r="D103" s="341"/>
      <c r="E103" s="384"/>
      <c r="F103" s="341"/>
      <c r="G103" s="341"/>
      <c r="H103" s="341"/>
      <c r="I103" s="341"/>
      <c r="J103" s="382"/>
      <c r="K103" s="341"/>
      <c r="L103" s="341"/>
      <c r="M103" s="341"/>
      <c r="AA103" s="44" t="s">
        <v>44</v>
      </c>
      <c r="AB103" s="44" t="s">
        <v>44</v>
      </c>
      <c r="AC103" s="44" t="s">
        <v>44</v>
      </c>
    </row>
    <row r="104">
      <c r="A104" s="341"/>
      <c r="B104" s="376"/>
      <c r="C104" s="383"/>
      <c r="D104" s="341"/>
      <c r="E104" s="384"/>
      <c r="F104" s="341"/>
      <c r="G104" s="341"/>
      <c r="H104" s="341"/>
      <c r="I104" s="341"/>
      <c r="J104" s="382"/>
      <c r="K104" s="341"/>
      <c r="L104" s="341"/>
      <c r="M104" s="341"/>
      <c r="AA104" s="44" t="s">
        <v>44</v>
      </c>
      <c r="AB104" s="44" t="s">
        <v>44</v>
      </c>
      <c r="AC104" s="44" t="s">
        <v>44</v>
      </c>
    </row>
    <row r="105">
      <c r="A105" s="341"/>
      <c r="B105" s="376"/>
      <c r="C105" s="383"/>
      <c r="D105" s="341"/>
      <c r="E105" s="384"/>
      <c r="F105" s="341"/>
      <c r="G105" s="341"/>
      <c r="H105" s="341"/>
      <c r="I105" s="341"/>
      <c r="J105" s="382"/>
      <c r="K105" s="341"/>
      <c r="L105" s="341"/>
      <c r="M105" s="341"/>
      <c r="AA105" s="44" t="s">
        <v>44</v>
      </c>
      <c r="AB105" s="44" t="s">
        <v>44</v>
      </c>
      <c r="AC105" s="44" t="s">
        <v>44</v>
      </c>
    </row>
    <row r="106">
      <c r="A106" s="341"/>
      <c r="B106" s="376"/>
      <c r="C106" s="383"/>
      <c r="D106" s="341"/>
      <c r="E106" s="384"/>
      <c r="F106" s="341"/>
      <c r="G106" s="341"/>
      <c r="H106" s="341"/>
      <c r="I106" s="341"/>
      <c r="J106" s="382"/>
      <c r="K106" s="341"/>
      <c r="L106" s="341"/>
      <c r="M106" s="341"/>
      <c r="AA106" s="44" t="s">
        <v>44</v>
      </c>
      <c r="AB106" s="44" t="s">
        <v>44</v>
      </c>
      <c r="AC106" s="44" t="s">
        <v>44</v>
      </c>
    </row>
    <row r="107">
      <c r="A107" s="341"/>
      <c r="B107" s="376"/>
      <c r="C107" s="383"/>
      <c r="D107" s="341"/>
      <c r="E107" s="384"/>
      <c r="F107" s="341"/>
      <c r="G107" s="341"/>
      <c r="H107" s="341"/>
      <c r="I107" s="341"/>
      <c r="J107" s="382"/>
      <c r="K107" s="341"/>
      <c r="L107" s="341"/>
      <c r="M107" s="341"/>
      <c r="AA107" s="44" t="s">
        <v>44</v>
      </c>
      <c r="AB107" s="44" t="s">
        <v>44</v>
      </c>
      <c r="AC107" s="44" t="s">
        <v>44</v>
      </c>
    </row>
    <row r="108">
      <c r="A108" s="341"/>
      <c r="B108" s="376"/>
      <c r="C108" s="383"/>
      <c r="D108" s="341"/>
      <c r="E108" s="384"/>
      <c r="F108" s="341"/>
      <c r="G108" s="341"/>
      <c r="H108" s="341"/>
      <c r="I108" s="341"/>
      <c r="J108" s="382"/>
      <c r="K108" s="341"/>
      <c r="L108" s="341"/>
      <c r="M108" s="341"/>
      <c r="AA108" s="44" t="s">
        <v>44</v>
      </c>
      <c r="AB108" s="44" t="s">
        <v>44</v>
      </c>
      <c r="AC108" s="44" t="s">
        <v>44</v>
      </c>
    </row>
    <row r="109">
      <c r="A109" s="341"/>
      <c r="B109" s="376"/>
      <c r="C109" s="383"/>
      <c r="D109" s="341"/>
      <c r="E109" s="384"/>
      <c r="F109" s="341"/>
      <c r="G109" s="341"/>
      <c r="H109" s="341"/>
      <c r="I109" s="341"/>
      <c r="J109" s="382"/>
      <c r="K109" s="341"/>
      <c r="L109" s="341"/>
      <c r="M109" s="341"/>
      <c r="AA109" s="44" t="s">
        <v>44</v>
      </c>
      <c r="AB109" s="44" t="s">
        <v>44</v>
      </c>
      <c r="AC109" s="44" t="s">
        <v>44</v>
      </c>
    </row>
    <row r="110">
      <c r="A110" s="341"/>
      <c r="B110" s="376"/>
      <c r="C110" s="383"/>
      <c r="D110" s="341"/>
      <c r="E110" s="384"/>
      <c r="F110" s="341"/>
      <c r="G110" s="341"/>
      <c r="H110" s="341"/>
      <c r="I110" s="341"/>
      <c r="J110" s="382"/>
      <c r="K110" s="341"/>
      <c r="L110" s="341"/>
      <c r="M110" s="341"/>
      <c r="AA110" s="44" t="s">
        <v>44</v>
      </c>
      <c r="AB110" s="44" t="s">
        <v>44</v>
      </c>
      <c r="AC110" s="44" t="s">
        <v>44</v>
      </c>
    </row>
    <row r="111">
      <c r="A111" s="341"/>
      <c r="B111" s="376"/>
      <c r="C111" s="383"/>
      <c r="D111" s="341"/>
      <c r="E111" s="384"/>
      <c r="F111" s="341"/>
      <c r="G111" s="341"/>
      <c r="H111" s="341"/>
      <c r="I111" s="341"/>
      <c r="J111" s="382"/>
      <c r="K111" s="341"/>
      <c r="L111" s="341"/>
      <c r="M111" s="341"/>
      <c r="AA111" s="44" t="s">
        <v>44</v>
      </c>
      <c r="AB111" s="44" t="s">
        <v>44</v>
      </c>
      <c r="AC111" s="44" t="s">
        <v>44</v>
      </c>
    </row>
    <row r="112">
      <c r="A112" s="341"/>
      <c r="B112" s="376"/>
      <c r="C112" s="383"/>
      <c r="D112" s="341"/>
      <c r="E112" s="384"/>
      <c r="F112" s="341"/>
      <c r="G112" s="341"/>
      <c r="H112" s="341"/>
      <c r="I112" s="341"/>
      <c r="J112" s="382"/>
      <c r="K112" s="341"/>
      <c r="L112" s="341"/>
      <c r="M112" s="341"/>
      <c r="AA112" s="44" t="s">
        <v>44</v>
      </c>
      <c r="AB112" s="44" t="s">
        <v>44</v>
      </c>
      <c r="AC112" s="44" t="s">
        <v>44</v>
      </c>
    </row>
    <row r="113">
      <c r="A113" s="341"/>
      <c r="B113" s="376"/>
      <c r="C113" s="383"/>
      <c r="D113" s="341"/>
      <c r="E113" s="384"/>
      <c r="F113" s="341"/>
      <c r="G113" s="341"/>
      <c r="H113" s="341"/>
      <c r="I113" s="341"/>
      <c r="J113" s="382"/>
      <c r="K113" s="341"/>
      <c r="L113" s="341"/>
      <c r="M113" s="341"/>
      <c r="AA113" s="44" t="s">
        <v>44</v>
      </c>
      <c r="AB113" s="44" t="s">
        <v>44</v>
      </c>
      <c r="AC113" s="44" t="s">
        <v>44</v>
      </c>
    </row>
    <row r="114">
      <c r="A114" s="341"/>
      <c r="B114" s="376"/>
      <c r="C114" s="383"/>
      <c r="D114" s="341"/>
      <c r="E114" s="384"/>
      <c r="F114" s="341"/>
      <c r="G114" s="341"/>
      <c r="H114" s="341"/>
      <c r="I114" s="341"/>
      <c r="J114" s="382"/>
      <c r="K114" s="341"/>
      <c r="L114" s="341"/>
      <c r="M114" s="341"/>
      <c r="AA114" s="44" t="s">
        <v>44</v>
      </c>
      <c r="AB114" s="44" t="s">
        <v>44</v>
      </c>
      <c r="AC114" s="44" t="s">
        <v>44</v>
      </c>
    </row>
    <row r="115">
      <c r="A115" s="341"/>
      <c r="B115" s="376"/>
      <c r="C115" s="383"/>
      <c r="D115" s="341"/>
      <c r="E115" s="384"/>
      <c r="F115" s="341"/>
      <c r="G115" s="341"/>
      <c r="H115" s="341"/>
      <c r="I115" s="341"/>
      <c r="J115" s="382"/>
      <c r="K115" s="341"/>
      <c r="L115" s="341"/>
      <c r="M115" s="341"/>
      <c r="AA115" s="44" t="s">
        <v>44</v>
      </c>
      <c r="AB115" s="44" t="s">
        <v>44</v>
      </c>
      <c r="AC115" s="44" t="s">
        <v>44</v>
      </c>
    </row>
    <row r="116">
      <c r="A116" s="341"/>
      <c r="B116" s="376"/>
      <c r="C116" s="383"/>
      <c r="D116" s="341"/>
      <c r="E116" s="384"/>
      <c r="F116" s="341"/>
      <c r="G116" s="341"/>
      <c r="H116" s="341"/>
      <c r="I116" s="341"/>
      <c r="J116" s="382"/>
      <c r="K116" s="341"/>
      <c r="L116" s="341"/>
      <c r="M116" s="341"/>
      <c r="AA116" s="44" t="s">
        <v>44</v>
      </c>
      <c r="AB116" s="44" t="s">
        <v>44</v>
      </c>
      <c r="AC116" s="44" t="s">
        <v>44</v>
      </c>
    </row>
    <row r="117">
      <c r="A117" s="341"/>
      <c r="B117" s="376"/>
      <c r="C117" s="383"/>
      <c r="D117" s="341"/>
      <c r="E117" s="384"/>
      <c r="F117" s="341"/>
      <c r="G117" s="341"/>
      <c r="H117" s="341"/>
      <c r="I117" s="341"/>
      <c r="J117" s="382"/>
      <c r="K117" s="341"/>
      <c r="L117" s="341"/>
      <c r="M117" s="341"/>
      <c r="AA117" s="44" t="s">
        <v>44</v>
      </c>
      <c r="AB117" s="44" t="s">
        <v>44</v>
      </c>
      <c r="AC117" s="44" t="s">
        <v>44</v>
      </c>
    </row>
    <row r="118">
      <c r="A118" s="341"/>
      <c r="B118" s="376"/>
      <c r="C118" s="383"/>
      <c r="D118" s="341"/>
      <c r="E118" s="384"/>
      <c r="F118" s="341"/>
      <c r="G118" s="341"/>
      <c r="H118" s="341"/>
      <c r="I118" s="341"/>
      <c r="J118" s="382"/>
      <c r="K118" s="341"/>
      <c r="L118" s="341"/>
      <c r="M118" s="341"/>
      <c r="AA118" s="44" t="s">
        <v>44</v>
      </c>
      <c r="AB118" s="44" t="s">
        <v>44</v>
      </c>
      <c r="AC118" s="44" t="s">
        <v>44</v>
      </c>
    </row>
    <row r="119">
      <c r="A119" s="341"/>
      <c r="B119" s="376"/>
      <c r="C119" s="383"/>
      <c r="D119" s="341"/>
      <c r="E119" s="384"/>
      <c r="F119" s="341"/>
      <c r="G119" s="341"/>
      <c r="H119" s="341"/>
      <c r="I119" s="341"/>
      <c r="J119" s="382"/>
      <c r="K119" s="341"/>
      <c r="L119" s="341"/>
      <c r="M119" s="341"/>
      <c r="AA119" s="44" t="s">
        <v>44</v>
      </c>
      <c r="AB119" s="44" t="s">
        <v>44</v>
      </c>
      <c r="AC119" s="44" t="s">
        <v>44</v>
      </c>
    </row>
    <row r="120">
      <c r="A120" s="341"/>
      <c r="B120" s="376"/>
      <c r="C120" s="383"/>
      <c r="D120" s="341"/>
      <c r="E120" s="384"/>
      <c r="F120" s="341"/>
      <c r="G120" s="341"/>
      <c r="H120" s="341"/>
      <c r="I120" s="341"/>
      <c r="J120" s="382"/>
      <c r="K120" s="341"/>
      <c r="L120" s="341"/>
      <c r="M120" s="341"/>
      <c r="AA120" s="44" t="s">
        <v>44</v>
      </c>
      <c r="AB120" s="44" t="s">
        <v>44</v>
      </c>
      <c r="AC120" s="44" t="s">
        <v>44</v>
      </c>
    </row>
    <row r="121">
      <c r="A121" s="341"/>
      <c r="B121" s="376"/>
      <c r="C121" s="383"/>
      <c r="D121" s="341"/>
      <c r="E121" s="384"/>
      <c r="F121" s="341"/>
      <c r="G121" s="341"/>
      <c r="H121" s="341"/>
      <c r="I121" s="341"/>
      <c r="J121" s="382"/>
      <c r="K121" s="341"/>
      <c r="L121" s="341"/>
      <c r="M121" s="341"/>
      <c r="AA121" s="44" t="s">
        <v>44</v>
      </c>
      <c r="AB121" s="44" t="s">
        <v>44</v>
      </c>
      <c r="AC121" s="44" t="s">
        <v>44</v>
      </c>
    </row>
    <row r="122">
      <c r="A122" s="341"/>
      <c r="B122" s="376"/>
      <c r="C122" s="383"/>
      <c r="D122" s="341"/>
      <c r="E122" s="384"/>
      <c r="F122" s="341"/>
      <c r="G122" s="341"/>
      <c r="H122" s="341"/>
      <c r="I122" s="341"/>
      <c r="J122" s="382"/>
      <c r="K122" s="341"/>
      <c r="L122" s="341"/>
      <c r="M122" s="341"/>
      <c r="AA122" s="44" t="s">
        <v>44</v>
      </c>
      <c r="AB122" s="44" t="s">
        <v>44</v>
      </c>
      <c r="AC122" s="44" t="s">
        <v>44</v>
      </c>
    </row>
    <row r="123">
      <c r="A123" s="341"/>
      <c r="B123" s="376"/>
      <c r="C123" s="383"/>
      <c r="D123" s="341"/>
      <c r="E123" s="384"/>
      <c r="F123" s="341"/>
      <c r="G123" s="341"/>
      <c r="H123" s="341"/>
      <c r="I123" s="341"/>
      <c r="J123" s="382"/>
      <c r="K123" s="341"/>
      <c r="L123" s="341"/>
      <c r="M123" s="341"/>
      <c r="AA123" s="44" t="s">
        <v>44</v>
      </c>
      <c r="AB123" s="44" t="s">
        <v>44</v>
      </c>
      <c r="AC123" s="44" t="s">
        <v>44</v>
      </c>
    </row>
    <row r="124">
      <c r="A124" s="341"/>
      <c r="B124" s="376"/>
      <c r="C124" s="383"/>
      <c r="D124" s="341"/>
      <c r="E124" s="384"/>
      <c r="F124" s="341"/>
      <c r="G124" s="341"/>
      <c r="H124" s="341"/>
      <c r="I124" s="341"/>
      <c r="J124" s="382"/>
      <c r="K124" s="341"/>
      <c r="L124" s="341"/>
      <c r="M124" s="341"/>
      <c r="AA124" s="44" t="s">
        <v>44</v>
      </c>
      <c r="AB124" s="44" t="s">
        <v>44</v>
      </c>
      <c r="AC124" s="44" t="s">
        <v>44</v>
      </c>
    </row>
    <row r="125">
      <c r="A125" s="341"/>
      <c r="B125" s="376"/>
      <c r="C125" s="383"/>
      <c r="D125" s="341"/>
      <c r="E125" s="384"/>
      <c r="F125" s="341"/>
      <c r="G125" s="341"/>
      <c r="H125" s="341"/>
      <c r="I125" s="341"/>
      <c r="J125" s="382"/>
      <c r="K125" s="341"/>
      <c r="L125" s="341"/>
      <c r="M125" s="341"/>
      <c r="AA125" s="44" t="s">
        <v>44</v>
      </c>
      <c r="AB125" s="44" t="s">
        <v>44</v>
      </c>
      <c r="AC125" s="44" t="s">
        <v>44</v>
      </c>
    </row>
    <row r="126">
      <c r="A126" s="341"/>
      <c r="B126" s="376"/>
      <c r="C126" s="383"/>
      <c r="D126" s="341"/>
      <c r="E126" s="384"/>
      <c r="F126" s="341"/>
      <c r="G126" s="341"/>
      <c r="H126" s="341"/>
      <c r="I126" s="341"/>
      <c r="J126" s="382"/>
      <c r="K126" s="341"/>
      <c r="L126" s="341"/>
      <c r="M126" s="341"/>
      <c r="AA126" s="44" t="s">
        <v>44</v>
      </c>
      <c r="AB126" s="44" t="s">
        <v>44</v>
      </c>
      <c r="AC126" s="44" t="s">
        <v>44</v>
      </c>
    </row>
    <row r="127">
      <c r="A127" s="341"/>
      <c r="B127" s="376"/>
      <c r="C127" s="383"/>
      <c r="D127" s="341"/>
      <c r="E127" s="384"/>
      <c r="F127" s="341"/>
      <c r="G127" s="341"/>
      <c r="H127" s="341"/>
      <c r="I127" s="341"/>
      <c r="J127" s="382"/>
      <c r="K127" s="341"/>
      <c r="L127" s="341"/>
      <c r="M127" s="341"/>
      <c r="AA127" s="44" t="s">
        <v>44</v>
      </c>
      <c r="AB127" s="44" t="s">
        <v>44</v>
      </c>
      <c r="AC127" s="44" t="s">
        <v>44</v>
      </c>
    </row>
    <row r="128">
      <c r="A128" s="341"/>
      <c r="B128" s="376"/>
      <c r="C128" s="383"/>
      <c r="D128" s="341"/>
      <c r="E128" s="384"/>
      <c r="F128" s="341"/>
      <c r="G128" s="341"/>
      <c r="H128" s="341"/>
      <c r="I128" s="341"/>
      <c r="J128" s="382"/>
      <c r="K128" s="341"/>
      <c r="L128" s="341"/>
      <c r="M128" s="341"/>
      <c r="AA128" s="44" t="s">
        <v>44</v>
      </c>
      <c r="AB128" s="44" t="s">
        <v>44</v>
      </c>
      <c r="AC128" s="44" t="s">
        <v>44</v>
      </c>
    </row>
    <row r="129">
      <c r="A129" s="341"/>
      <c r="B129" s="376"/>
      <c r="C129" s="383"/>
      <c r="D129" s="341"/>
      <c r="E129" s="384"/>
      <c r="F129" s="341"/>
      <c r="G129" s="341"/>
      <c r="H129" s="341"/>
      <c r="I129" s="341"/>
      <c r="J129" s="382"/>
      <c r="K129" s="341"/>
      <c r="L129" s="341"/>
      <c r="M129" s="341"/>
      <c r="AA129" s="44" t="s">
        <v>44</v>
      </c>
      <c r="AB129" s="44" t="s">
        <v>44</v>
      </c>
      <c r="AC129" s="44" t="s">
        <v>44</v>
      </c>
    </row>
    <row r="130">
      <c r="A130" s="341"/>
      <c r="B130" s="376"/>
      <c r="C130" s="383"/>
      <c r="D130" s="341"/>
      <c r="E130" s="384"/>
      <c r="F130" s="341"/>
      <c r="G130" s="341"/>
      <c r="H130" s="341"/>
      <c r="I130" s="341"/>
      <c r="J130" s="382"/>
      <c r="K130" s="341"/>
      <c r="L130" s="341"/>
      <c r="M130" s="341"/>
      <c r="AA130" s="44" t="s">
        <v>44</v>
      </c>
      <c r="AB130" s="44" t="s">
        <v>44</v>
      </c>
      <c r="AC130" s="44" t="s">
        <v>44</v>
      </c>
    </row>
    <row r="131">
      <c r="A131" s="341"/>
      <c r="B131" s="376"/>
      <c r="C131" s="383"/>
      <c r="D131" s="341"/>
      <c r="E131" s="384"/>
      <c r="F131" s="341"/>
      <c r="G131" s="341"/>
      <c r="H131" s="341"/>
      <c r="I131" s="341"/>
      <c r="J131" s="382"/>
      <c r="K131" s="341"/>
      <c r="L131" s="341"/>
      <c r="M131" s="341"/>
      <c r="AA131" s="44" t="s">
        <v>44</v>
      </c>
      <c r="AB131" s="44" t="s">
        <v>44</v>
      </c>
      <c r="AC131" s="44" t="s">
        <v>44</v>
      </c>
    </row>
    <row r="132">
      <c r="A132" s="341"/>
      <c r="B132" s="376"/>
      <c r="C132" s="383"/>
      <c r="D132" s="341"/>
      <c r="E132" s="384"/>
      <c r="F132" s="341"/>
      <c r="G132" s="341"/>
      <c r="H132" s="341"/>
      <c r="I132" s="341"/>
      <c r="J132" s="382"/>
      <c r="K132" s="341"/>
      <c r="L132" s="341"/>
      <c r="M132" s="341"/>
      <c r="AA132" s="44" t="s">
        <v>44</v>
      </c>
      <c r="AB132" s="44" t="s">
        <v>44</v>
      </c>
      <c r="AC132" s="44" t="s">
        <v>44</v>
      </c>
    </row>
    <row r="133">
      <c r="A133" s="341"/>
      <c r="B133" s="376"/>
      <c r="C133" s="383"/>
      <c r="D133" s="341"/>
      <c r="E133" s="384"/>
      <c r="F133" s="341"/>
      <c r="G133" s="341"/>
      <c r="H133" s="341"/>
      <c r="I133" s="341"/>
      <c r="J133" s="382"/>
      <c r="K133" s="341"/>
      <c r="L133" s="341"/>
      <c r="M133" s="341"/>
      <c r="AA133" s="44" t="s">
        <v>44</v>
      </c>
      <c r="AB133" s="44" t="s">
        <v>44</v>
      </c>
      <c r="AC133" s="44" t="s">
        <v>44</v>
      </c>
    </row>
    <row r="134">
      <c r="A134" s="341"/>
      <c r="B134" s="376"/>
      <c r="C134" s="383"/>
      <c r="D134" s="341"/>
      <c r="E134" s="384"/>
      <c r="F134" s="341"/>
      <c r="G134" s="341"/>
      <c r="H134" s="341"/>
      <c r="I134" s="341"/>
      <c r="J134" s="382"/>
      <c r="K134" s="341"/>
      <c r="L134" s="341"/>
      <c r="M134" s="341"/>
      <c r="AA134" s="44" t="s">
        <v>44</v>
      </c>
      <c r="AB134" s="44" t="s">
        <v>44</v>
      </c>
      <c r="AC134" s="44" t="s">
        <v>44</v>
      </c>
    </row>
    <row r="135">
      <c r="A135" s="341"/>
      <c r="B135" s="376"/>
      <c r="C135" s="383"/>
      <c r="D135" s="341"/>
      <c r="E135" s="384"/>
      <c r="F135" s="341"/>
      <c r="G135" s="341"/>
      <c r="H135" s="341"/>
      <c r="I135" s="341"/>
      <c r="J135" s="382"/>
      <c r="K135" s="341"/>
      <c r="L135" s="341"/>
      <c r="M135" s="341"/>
      <c r="AA135" s="44" t="s">
        <v>44</v>
      </c>
      <c r="AB135" s="44" t="s">
        <v>44</v>
      </c>
      <c r="AC135" s="44" t="s">
        <v>44</v>
      </c>
    </row>
    <row r="136">
      <c r="A136" s="341"/>
      <c r="B136" s="376"/>
      <c r="C136" s="383"/>
      <c r="D136" s="341"/>
      <c r="E136" s="384"/>
      <c r="F136" s="341"/>
      <c r="G136" s="341"/>
      <c r="H136" s="341"/>
      <c r="I136" s="341"/>
      <c r="J136" s="382"/>
      <c r="K136" s="341"/>
      <c r="L136" s="341"/>
      <c r="M136" s="341"/>
      <c r="AA136" s="44" t="s">
        <v>44</v>
      </c>
      <c r="AB136" s="44" t="s">
        <v>44</v>
      </c>
      <c r="AC136" s="44" t="s">
        <v>44</v>
      </c>
    </row>
    <row r="137">
      <c r="A137" s="341"/>
      <c r="B137" s="376"/>
      <c r="C137" s="383"/>
      <c r="D137" s="341"/>
      <c r="E137" s="384"/>
      <c r="F137" s="341"/>
      <c r="G137" s="341"/>
      <c r="H137" s="341"/>
      <c r="I137" s="341"/>
      <c r="J137" s="382"/>
      <c r="K137" s="341"/>
      <c r="L137" s="341"/>
      <c r="M137" s="341"/>
      <c r="AA137" s="44" t="s">
        <v>44</v>
      </c>
      <c r="AB137" s="44" t="s">
        <v>44</v>
      </c>
      <c r="AC137" s="44" t="s">
        <v>44</v>
      </c>
    </row>
    <row r="138">
      <c r="A138" s="341"/>
      <c r="B138" s="376"/>
      <c r="C138" s="383"/>
      <c r="D138" s="341"/>
      <c r="E138" s="384"/>
      <c r="F138" s="341"/>
      <c r="G138" s="341"/>
      <c r="H138" s="341"/>
      <c r="I138" s="341"/>
      <c r="J138" s="382"/>
      <c r="K138" s="341"/>
      <c r="L138" s="341"/>
      <c r="M138" s="341"/>
      <c r="AA138" s="44" t="s">
        <v>44</v>
      </c>
      <c r="AB138" s="44" t="s">
        <v>44</v>
      </c>
      <c r="AC138" s="44" t="s">
        <v>44</v>
      </c>
    </row>
    <row r="139">
      <c r="A139" s="341"/>
      <c r="B139" s="376"/>
      <c r="C139" s="383"/>
      <c r="D139" s="341"/>
      <c r="E139" s="384"/>
      <c r="F139" s="341"/>
      <c r="G139" s="341"/>
      <c r="H139" s="341"/>
      <c r="I139" s="341"/>
      <c r="J139" s="382"/>
      <c r="K139" s="341"/>
      <c r="L139" s="341"/>
      <c r="M139" s="341"/>
      <c r="AA139" s="44" t="s">
        <v>44</v>
      </c>
      <c r="AB139" s="44" t="s">
        <v>44</v>
      </c>
      <c r="AC139" s="44" t="s">
        <v>44</v>
      </c>
    </row>
    <row r="140">
      <c r="A140" s="341"/>
      <c r="B140" s="376"/>
      <c r="C140" s="383"/>
      <c r="D140" s="341"/>
      <c r="E140" s="384"/>
      <c r="F140" s="341"/>
      <c r="G140" s="341"/>
      <c r="H140" s="341"/>
      <c r="I140" s="341"/>
      <c r="J140" s="382"/>
      <c r="K140" s="341"/>
      <c r="L140" s="341"/>
      <c r="M140" s="341"/>
      <c r="AA140" s="44" t="s">
        <v>44</v>
      </c>
      <c r="AB140" s="44" t="s">
        <v>44</v>
      </c>
      <c r="AC140" s="44" t="s">
        <v>44</v>
      </c>
    </row>
    <row r="141">
      <c r="A141" s="341"/>
      <c r="B141" s="376"/>
      <c r="C141" s="383"/>
      <c r="D141" s="341"/>
      <c r="E141" s="384"/>
      <c r="F141" s="341"/>
      <c r="G141" s="341"/>
      <c r="H141" s="341"/>
      <c r="I141" s="341"/>
      <c r="J141" s="382"/>
      <c r="K141" s="341"/>
      <c r="L141" s="341"/>
      <c r="M141" s="341"/>
      <c r="AA141" s="44" t="s">
        <v>44</v>
      </c>
      <c r="AB141" s="44" t="s">
        <v>44</v>
      </c>
      <c r="AC141" s="44" t="s">
        <v>44</v>
      </c>
    </row>
    <row r="142">
      <c r="A142" s="341"/>
      <c r="B142" s="376"/>
      <c r="C142" s="383"/>
      <c r="D142" s="341"/>
      <c r="E142" s="384"/>
      <c r="F142" s="341"/>
      <c r="G142" s="341"/>
      <c r="H142" s="341"/>
      <c r="I142" s="341"/>
      <c r="J142" s="382"/>
      <c r="K142" s="341"/>
      <c r="L142" s="341"/>
      <c r="M142" s="341"/>
      <c r="AA142" s="44" t="s">
        <v>44</v>
      </c>
      <c r="AB142" s="44" t="s">
        <v>44</v>
      </c>
      <c r="AC142" s="44" t="s">
        <v>44</v>
      </c>
    </row>
    <row r="143">
      <c r="A143" s="341"/>
      <c r="B143" s="376"/>
      <c r="C143" s="383"/>
      <c r="D143" s="341"/>
      <c r="E143" s="384"/>
      <c r="F143" s="341"/>
      <c r="G143" s="341"/>
      <c r="H143" s="341"/>
      <c r="I143" s="341"/>
      <c r="J143" s="382"/>
      <c r="K143" s="341"/>
      <c r="L143" s="341"/>
      <c r="M143" s="341"/>
      <c r="AA143" s="44" t="s">
        <v>44</v>
      </c>
      <c r="AB143" s="44" t="s">
        <v>44</v>
      </c>
      <c r="AC143" s="44" t="s">
        <v>44</v>
      </c>
    </row>
    <row r="144">
      <c r="A144" s="341"/>
      <c r="B144" s="376"/>
      <c r="C144" s="383"/>
      <c r="D144" s="341"/>
      <c r="E144" s="384"/>
      <c r="F144" s="341"/>
      <c r="G144" s="341"/>
      <c r="H144" s="341"/>
      <c r="I144" s="341"/>
      <c r="J144" s="382"/>
      <c r="K144" s="341"/>
      <c r="L144" s="341"/>
      <c r="M144" s="341"/>
      <c r="AA144" s="44" t="s">
        <v>44</v>
      </c>
      <c r="AB144" s="44" t="s">
        <v>44</v>
      </c>
      <c r="AC144" s="44" t="s">
        <v>44</v>
      </c>
    </row>
    <row r="145">
      <c r="A145" s="341"/>
      <c r="B145" s="376"/>
      <c r="C145" s="383"/>
      <c r="D145" s="341"/>
      <c r="E145" s="384"/>
      <c r="F145" s="341"/>
      <c r="G145" s="341"/>
      <c r="H145" s="341"/>
      <c r="I145" s="341"/>
      <c r="J145" s="382"/>
      <c r="K145" s="341"/>
      <c r="L145" s="341"/>
      <c r="M145" s="341"/>
      <c r="AA145" s="44" t="s">
        <v>44</v>
      </c>
      <c r="AB145" s="44" t="s">
        <v>44</v>
      </c>
      <c r="AC145" s="44" t="s">
        <v>44</v>
      </c>
    </row>
    <row r="146">
      <c r="A146" s="341"/>
      <c r="B146" s="376"/>
      <c r="C146" s="383"/>
      <c r="D146" s="341"/>
      <c r="E146" s="384"/>
      <c r="F146" s="341"/>
      <c r="G146" s="341"/>
      <c r="H146" s="341"/>
      <c r="I146" s="341"/>
      <c r="J146" s="382"/>
      <c r="K146" s="341"/>
      <c r="L146" s="341"/>
      <c r="M146" s="341"/>
      <c r="AA146" s="44" t="s">
        <v>44</v>
      </c>
      <c r="AB146" s="44" t="s">
        <v>44</v>
      </c>
      <c r="AC146" s="44" t="s">
        <v>44</v>
      </c>
    </row>
    <row r="147">
      <c r="A147" s="341"/>
      <c r="B147" s="376"/>
      <c r="C147" s="383"/>
      <c r="D147" s="341"/>
      <c r="E147" s="384"/>
      <c r="F147" s="341"/>
      <c r="G147" s="341"/>
      <c r="H147" s="341"/>
      <c r="I147" s="341"/>
      <c r="J147" s="382"/>
      <c r="K147" s="341"/>
      <c r="L147" s="341"/>
      <c r="M147" s="341"/>
      <c r="AA147" s="44" t="s">
        <v>44</v>
      </c>
      <c r="AB147" s="44" t="s">
        <v>44</v>
      </c>
      <c r="AC147" s="44" t="s">
        <v>44</v>
      </c>
    </row>
    <row r="148">
      <c r="A148" s="341"/>
      <c r="B148" s="376"/>
      <c r="C148" s="383"/>
      <c r="D148" s="341"/>
      <c r="E148" s="384"/>
      <c r="F148" s="341"/>
      <c r="G148" s="341"/>
      <c r="H148" s="341"/>
      <c r="I148" s="341"/>
      <c r="J148" s="382"/>
      <c r="K148" s="341"/>
      <c r="L148" s="341"/>
      <c r="M148" s="341"/>
      <c r="AA148" s="44" t="s">
        <v>44</v>
      </c>
      <c r="AB148" s="44" t="s">
        <v>44</v>
      </c>
      <c r="AC148" s="44" t="s">
        <v>44</v>
      </c>
    </row>
    <row r="149">
      <c r="A149" s="341"/>
      <c r="B149" s="376"/>
      <c r="C149" s="383"/>
      <c r="D149" s="341"/>
      <c r="E149" s="384"/>
      <c r="F149" s="341"/>
      <c r="G149" s="341"/>
      <c r="H149" s="341"/>
      <c r="I149" s="341"/>
      <c r="J149" s="382"/>
      <c r="K149" s="341"/>
      <c r="L149" s="341"/>
      <c r="M149" s="341"/>
      <c r="AA149" s="44" t="s">
        <v>44</v>
      </c>
      <c r="AB149" s="44" t="s">
        <v>44</v>
      </c>
      <c r="AC149" s="44" t="s">
        <v>44</v>
      </c>
    </row>
    <row r="150">
      <c r="A150" s="341"/>
      <c r="B150" s="376"/>
      <c r="C150" s="383"/>
      <c r="D150" s="341"/>
      <c r="E150" s="384"/>
      <c r="F150" s="341"/>
      <c r="G150" s="341"/>
      <c r="H150" s="341"/>
      <c r="I150" s="341"/>
      <c r="J150" s="382"/>
      <c r="K150" s="341"/>
      <c r="L150" s="341"/>
      <c r="M150" s="341"/>
      <c r="AA150" s="44" t="s">
        <v>44</v>
      </c>
      <c r="AB150" s="44" t="s">
        <v>44</v>
      </c>
      <c r="AC150" s="44" t="s">
        <v>44</v>
      </c>
    </row>
    <row r="151">
      <c r="A151" s="341"/>
      <c r="B151" s="376"/>
      <c r="C151" s="383"/>
      <c r="D151" s="341"/>
      <c r="E151" s="384"/>
      <c r="F151" s="341"/>
      <c r="G151" s="341"/>
      <c r="H151" s="341"/>
      <c r="I151" s="341"/>
      <c r="J151" s="382"/>
      <c r="K151" s="341"/>
      <c r="L151" s="341"/>
      <c r="M151" s="341"/>
      <c r="AA151" s="44" t="s">
        <v>44</v>
      </c>
      <c r="AB151" s="44" t="s">
        <v>44</v>
      </c>
      <c r="AC151" s="44" t="s">
        <v>44</v>
      </c>
    </row>
    <row r="152">
      <c r="A152" s="341"/>
      <c r="B152" s="376"/>
      <c r="C152" s="383"/>
      <c r="D152" s="341"/>
      <c r="E152" s="384"/>
      <c r="F152" s="341"/>
      <c r="G152" s="341"/>
      <c r="H152" s="341"/>
      <c r="I152" s="341"/>
      <c r="J152" s="382"/>
      <c r="K152" s="341"/>
      <c r="L152" s="341"/>
      <c r="M152" s="341"/>
      <c r="AA152" s="44" t="s">
        <v>44</v>
      </c>
      <c r="AB152" s="44" t="s">
        <v>44</v>
      </c>
      <c r="AC152" s="44" t="s">
        <v>44</v>
      </c>
    </row>
    <row r="153">
      <c r="A153" s="341"/>
      <c r="B153" s="376"/>
      <c r="C153" s="383"/>
      <c r="D153" s="341"/>
      <c r="E153" s="384"/>
      <c r="F153" s="341"/>
      <c r="G153" s="341"/>
      <c r="H153" s="341"/>
      <c r="I153" s="341"/>
      <c r="J153" s="382"/>
      <c r="K153" s="341"/>
      <c r="L153" s="341"/>
      <c r="M153" s="341"/>
      <c r="AA153" s="44" t="s">
        <v>44</v>
      </c>
      <c r="AB153" s="44" t="s">
        <v>44</v>
      </c>
      <c r="AC153" s="44" t="s">
        <v>44</v>
      </c>
    </row>
    <row r="154">
      <c r="A154" s="341"/>
      <c r="B154" s="376"/>
      <c r="C154" s="383"/>
      <c r="D154" s="341"/>
      <c r="E154" s="384"/>
      <c r="F154" s="341"/>
      <c r="G154" s="341"/>
      <c r="H154" s="341"/>
      <c r="I154" s="341"/>
      <c r="J154" s="382"/>
      <c r="K154" s="341"/>
      <c r="L154" s="341"/>
      <c r="M154" s="341"/>
      <c r="AA154" s="44" t="s">
        <v>44</v>
      </c>
      <c r="AB154" s="44" t="s">
        <v>44</v>
      </c>
      <c r="AC154" s="44" t="s">
        <v>44</v>
      </c>
    </row>
    <row r="155">
      <c r="A155" s="341"/>
      <c r="B155" s="376"/>
      <c r="C155" s="383"/>
      <c r="D155" s="341"/>
      <c r="E155" s="384"/>
      <c r="F155" s="341"/>
      <c r="G155" s="341"/>
      <c r="H155" s="341"/>
      <c r="I155" s="341"/>
      <c r="J155" s="382"/>
      <c r="K155" s="341"/>
      <c r="L155" s="341"/>
      <c r="M155" s="341"/>
      <c r="AA155" s="44" t="s">
        <v>44</v>
      </c>
      <c r="AB155" s="44" t="s">
        <v>44</v>
      </c>
      <c r="AC155" s="44" t="s">
        <v>44</v>
      </c>
    </row>
    <row r="156">
      <c r="A156" s="341"/>
      <c r="B156" s="376"/>
      <c r="C156" s="383"/>
      <c r="D156" s="341"/>
      <c r="E156" s="384"/>
      <c r="F156" s="341"/>
      <c r="G156" s="341"/>
      <c r="H156" s="341"/>
      <c r="I156" s="341"/>
      <c r="J156" s="382"/>
      <c r="K156" s="341"/>
      <c r="L156" s="341"/>
      <c r="M156" s="341"/>
      <c r="AA156" s="44" t="s">
        <v>44</v>
      </c>
      <c r="AB156" s="44" t="s">
        <v>44</v>
      </c>
      <c r="AC156" s="44" t="s">
        <v>44</v>
      </c>
    </row>
    <row r="157">
      <c r="A157" s="341"/>
      <c r="B157" s="376"/>
      <c r="C157" s="383"/>
      <c r="D157" s="341"/>
      <c r="E157" s="384"/>
      <c r="F157" s="341"/>
      <c r="G157" s="341"/>
      <c r="H157" s="341"/>
      <c r="I157" s="341"/>
      <c r="J157" s="382"/>
      <c r="K157" s="341"/>
      <c r="L157" s="341"/>
      <c r="M157" s="341"/>
      <c r="AA157" s="44" t="s">
        <v>44</v>
      </c>
      <c r="AB157" s="44" t="s">
        <v>44</v>
      </c>
      <c r="AC157" s="44" t="s">
        <v>44</v>
      </c>
    </row>
    <row r="158">
      <c r="A158" s="341"/>
      <c r="B158" s="376"/>
      <c r="C158" s="383"/>
      <c r="D158" s="341"/>
      <c r="E158" s="384"/>
      <c r="F158" s="341"/>
      <c r="G158" s="341"/>
      <c r="H158" s="341"/>
      <c r="I158" s="341"/>
      <c r="J158" s="382"/>
      <c r="K158" s="341"/>
      <c r="L158" s="341"/>
      <c r="M158" s="341"/>
      <c r="AA158" s="44" t="s">
        <v>44</v>
      </c>
      <c r="AB158" s="44" t="s">
        <v>44</v>
      </c>
      <c r="AC158" s="44" t="s">
        <v>44</v>
      </c>
    </row>
    <row r="159">
      <c r="A159" s="341"/>
      <c r="B159" s="376"/>
      <c r="C159" s="383"/>
      <c r="D159" s="341"/>
      <c r="E159" s="384"/>
      <c r="F159" s="341"/>
      <c r="G159" s="341"/>
      <c r="H159" s="341"/>
      <c r="I159" s="341"/>
      <c r="J159" s="382"/>
      <c r="K159" s="341"/>
      <c r="L159" s="341"/>
      <c r="M159" s="341"/>
      <c r="AA159" s="44" t="s">
        <v>44</v>
      </c>
      <c r="AB159" s="44" t="s">
        <v>44</v>
      </c>
      <c r="AC159" s="44" t="s">
        <v>44</v>
      </c>
    </row>
    <row r="160">
      <c r="A160" s="341"/>
      <c r="B160" s="376"/>
      <c r="C160" s="383"/>
      <c r="D160" s="341"/>
      <c r="E160" s="384"/>
      <c r="F160" s="341"/>
      <c r="G160" s="341"/>
      <c r="H160" s="341"/>
      <c r="I160" s="341"/>
      <c r="J160" s="382"/>
      <c r="K160" s="341"/>
      <c r="L160" s="341"/>
      <c r="M160" s="341"/>
      <c r="AA160" s="44" t="s">
        <v>44</v>
      </c>
      <c r="AB160" s="44" t="s">
        <v>44</v>
      </c>
      <c r="AC160" s="44" t="s">
        <v>44</v>
      </c>
    </row>
    <row r="161">
      <c r="A161" s="341"/>
      <c r="B161" s="376"/>
      <c r="C161" s="383"/>
      <c r="D161" s="341"/>
      <c r="E161" s="384"/>
      <c r="F161" s="341"/>
      <c r="G161" s="341"/>
      <c r="H161" s="341"/>
      <c r="I161" s="341"/>
      <c r="J161" s="382"/>
      <c r="K161" s="341"/>
      <c r="L161" s="341"/>
      <c r="M161" s="341"/>
      <c r="AA161" s="44" t="s">
        <v>44</v>
      </c>
      <c r="AB161" s="44" t="s">
        <v>44</v>
      </c>
      <c r="AC161" s="44" t="s">
        <v>44</v>
      </c>
    </row>
    <row r="162">
      <c r="A162" s="341"/>
      <c r="B162" s="376"/>
      <c r="C162" s="383"/>
      <c r="D162" s="341"/>
      <c r="E162" s="384"/>
      <c r="F162" s="341"/>
      <c r="G162" s="341"/>
      <c r="H162" s="341"/>
      <c r="I162" s="341"/>
      <c r="J162" s="382"/>
      <c r="K162" s="341"/>
      <c r="L162" s="341"/>
      <c r="M162" s="341"/>
      <c r="AA162" s="44" t="s">
        <v>44</v>
      </c>
      <c r="AB162" s="44" t="s">
        <v>44</v>
      </c>
      <c r="AC162" s="44" t="s">
        <v>44</v>
      </c>
    </row>
    <row r="163">
      <c r="A163" s="341"/>
      <c r="B163" s="376"/>
      <c r="C163" s="383"/>
      <c r="D163" s="341"/>
      <c r="E163" s="384"/>
      <c r="F163" s="341"/>
      <c r="G163" s="341"/>
      <c r="H163" s="341"/>
      <c r="I163" s="341"/>
      <c r="J163" s="382"/>
      <c r="K163" s="341"/>
      <c r="L163" s="341"/>
      <c r="M163" s="341"/>
      <c r="AA163" s="44" t="s">
        <v>44</v>
      </c>
      <c r="AB163" s="44" t="s">
        <v>44</v>
      </c>
      <c r="AC163" s="44" t="s">
        <v>44</v>
      </c>
    </row>
    <row r="164">
      <c r="A164" s="341"/>
      <c r="B164" s="376"/>
      <c r="C164" s="383"/>
      <c r="D164" s="341"/>
      <c r="E164" s="384"/>
      <c r="F164" s="341"/>
      <c r="G164" s="341"/>
      <c r="H164" s="341"/>
      <c r="I164" s="341"/>
      <c r="J164" s="382"/>
      <c r="K164" s="341"/>
      <c r="L164" s="341"/>
      <c r="M164" s="341"/>
      <c r="AA164" s="44" t="s">
        <v>44</v>
      </c>
      <c r="AB164" s="44" t="s">
        <v>44</v>
      </c>
      <c r="AC164" s="44" t="s">
        <v>44</v>
      </c>
    </row>
    <row r="165">
      <c r="A165" s="341"/>
      <c r="B165" s="376"/>
      <c r="C165" s="383"/>
      <c r="D165" s="341"/>
      <c r="E165" s="384"/>
      <c r="F165" s="341"/>
      <c r="G165" s="341"/>
      <c r="H165" s="341"/>
      <c r="I165" s="341"/>
      <c r="J165" s="382"/>
      <c r="K165" s="341"/>
      <c r="L165" s="341"/>
      <c r="M165" s="341"/>
      <c r="AA165" s="44" t="s">
        <v>44</v>
      </c>
      <c r="AB165" s="44" t="s">
        <v>44</v>
      </c>
      <c r="AC165" s="44" t="s">
        <v>44</v>
      </c>
    </row>
    <row r="166">
      <c r="A166" s="341"/>
      <c r="B166" s="376"/>
      <c r="C166" s="383"/>
      <c r="D166" s="341"/>
      <c r="E166" s="384"/>
      <c r="F166" s="341"/>
      <c r="G166" s="341"/>
      <c r="H166" s="341"/>
      <c r="I166" s="341"/>
      <c r="J166" s="382"/>
      <c r="K166" s="341"/>
      <c r="L166" s="341"/>
      <c r="M166" s="341"/>
      <c r="AA166" s="44" t="s">
        <v>44</v>
      </c>
      <c r="AB166" s="44" t="s">
        <v>44</v>
      </c>
      <c r="AC166" s="44" t="s">
        <v>44</v>
      </c>
    </row>
    <row r="167">
      <c r="A167" s="341"/>
      <c r="B167" s="376"/>
      <c r="C167" s="383"/>
      <c r="D167" s="341"/>
      <c r="E167" s="384"/>
      <c r="F167" s="341"/>
      <c r="G167" s="341"/>
      <c r="H167" s="341"/>
      <c r="I167" s="341"/>
      <c r="J167" s="382"/>
      <c r="K167" s="341"/>
      <c r="L167" s="341"/>
      <c r="M167" s="341"/>
      <c r="AA167" s="44" t="s">
        <v>44</v>
      </c>
      <c r="AB167" s="44" t="s">
        <v>44</v>
      </c>
      <c r="AC167" s="44" t="s">
        <v>44</v>
      </c>
    </row>
    <row r="168">
      <c r="A168" s="341"/>
      <c r="B168" s="376"/>
      <c r="C168" s="383"/>
      <c r="D168" s="341"/>
      <c r="E168" s="384"/>
      <c r="F168" s="341"/>
      <c r="G168" s="341"/>
      <c r="H168" s="341"/>
      <c r="I168" s="341"/>
      <c r="J168" s="382"/>
      <c r="K168" s="341"/>
      <c r="L168" s="341"/>
      <c r="M168" s="341"/>
      <c r="AA168" s="44" t="s">
        <v>44</v>
      </c>
      <c r="AB168" s="44" t="s">
        <v>44</v>
      </c>
      <c r="AC168" s="44" t="s">
        <v>44</v>
      </c>
    </row>
    <row r="169">
      <c r="A169" s="341"/>
      <c r="B169" s="376"/>
      <c r="C169" s="383"/>
      <c r="D169" s="341"/>
      <c r="E169" s="384"/>
      <c r="F169" s="341"/>
      <c r="G169" s="341"/>
      <c r="H169" s="341"/>
      <c r="I169" s="341"/>
      <c r="J169" s="382"/>
      <c r="K169" s="341"/>
      <c r="L169" s="341"/>
      <c r="M169" s="341"/>
      <c r="AA169" s="44" t="s">
        <v>44</v>
      </c>
      <c r="AB169" s="44" t="s">
        <v>44</v>
      </c>
      <c r="AC169" s="44" t="s">
        <v>44</v>
      </c>
    </row>
    <row r="170">
      <c r="A170" s="341"/>
      <c r="B170" s="376"/>
      <c r="C170" s="383"/>
      <c r="D170" s="341"/>
      <c r="E170" s="384"/>
      <c r="F170" s="341"/>
      <c r="G170" s="341"/>
      <c r="H170" s="341"/>
      <c r="I170" s="341"/>
      <c r="J170" s="382"/>
      <c r="K170" s="341"/>
      <c r="L170" s="341"/>
      <c r="M170" s="341"/>
      <c r="AA170" s="44" t="s">
        <v>44</v>
      </c>
      <c r="AB170" s="44" t="s">
        <v>44</v>
      </c>
      <c r="AC170" s="44" t="s">
        <v>44</v>
      </c>
    </row>
    <row r="171">
      <c r="A171" s="341"/>
      <c r="B171" s="376"/>
      <c r="C171" s="383"/>
      <c r="D171" s="341"/>
      <c r="E171" s="384"/>
      <c r="F171" s="341"/>
      <c r="G171" s="341"/>
      <c r="H171" s="341"/>
      <c r="I171" s="341"/>
      <c r="J171" s="382"/>
      <c r="K171" s="341"/>
      <c r="L171" s="341"/>
      <c r="M171" s="341"/>
      <c r="AA171" s="44" t="s">
        <v>44</v>
      </c>
      <c r="AB171" s="44" t="s">
        <v>44</v>
      </c>
      <c r="AC171" s="44" t="s">
        <v>44</v>
      </c>
    </row>
    <row r="172">
      <c r="A172" s="341"/>
      <c r="B172" s="376"/>
      <c r="C172" s="383"/>
      <c r="D172" s="341"/>
      <c r="E172" s="384"/>
      <c r="F172" s="341"/>
      <c r="G172" s="341"/>
      <c r="H172" s="341"/>
      <c r="I172" s="341"/>
      <c r="J172" s="382"/>
      <c r="K172" s="341"/>
      <c r="L172" s="341"/>
      <c r="M172" s="341"/>
      <c r="AA172" s="44" t="s">
        <v>44</v>
      </c>
      <c r="AB172" s="44" t="s">
        <v>44</v>
      </c>
      <c r="AC172" s="44" t="s">
        <v>44</v>
      </c>
    </row>
    <row r="173">
      <c r="A173" s="341"/>
      <c r="B173" s="376"/>
      <c r="C173" s="383"/>
      <c r="D173" s="341"/>
      <c r="E173" s="384"/>
      <c r="F173" s="341"/>
      <c r="G173" s="341"/>
      <c r="H173" s="341"/>
      <c r="I173" s="341"/>
      <c r="J173" s="382"/>
      <c r="K173" s="341"/>
      <c r="L173" s="341"/>
      <c r="M173" s="341"/>
      <c r="AA173" s="44" t="s">
        <v>44</v>
      </c>
      <c r="AB173" s="44" t="s">
        <v>44</v>
      </c>
      <c r="AC173" s="44" t="s">
        <v>44</v>
      </c>
    </row>
    <row r="174">
      <c r="A174" s="341"/>
      <c r="B174" s="376"/>
      <c r="C174" s="383"/>
      <c r="D174" s="341"/>
      <c r="E174" s="384"/>
      <c r="F174" s="341"/>
      <c r="G174" s="341"/>
      <c r="H174" s="341"/>
      <c r="I174" s="341"/>
      <c r="J174" s="382"/>
      <c r="K174" s="341"/>
      <c r="L174" s="341"/>
      <c r="M174" s="341"/>
      <c r="AA174" s="44" t="s">
        <v>44</v>
      </c>
      <c r="AB174" s="44" t="s">
        <v>44</v>
      </c>
      <c r="AC174" s="44" t="s">
        <v>44</v>
      </c>
    </row>
    <row r="175">
      <c r="A175" s="341"/>
      <c r="B175" s="376"/>
      <c r="C175" s="383"/>
      <c r="D175" s="341"/>
      <c r="E175" s="384"/>
      <c r="F175" s="341"/>
      <c r="G175" s="341"/>
      <c r="H175" s="341"/>
      <c r="I175" s="341"/>
      <c r="J175" s="382"/>
      <c r="K175" s="341"/>
      <c r="L175" s="341"/>
      <c r="M175" s="341"/>
      <c r="AA175" s="44" t="s">
        <v>44</v>
      </c>
      <c r="AB175" s="44" t="s">
        <v>44</v>
      </c>
      <c r="AC175" s="44" t="s">
        <v>44</v>
      </c>
    </row>
    <row r="176">
      <c r="A176" s="341"/>
      <c r="B176" s="376"/>
      <c r="C176" s="383"/>
      <c r="D176" s="341"/>
      <c r="E176" s="384"/>
      <c r="F176" s="341"/>
      <c r="G176" s="341"/>
      <c r="H176" s="341"/>
      <c r="I176" s="341"/>
      <c r="J176" s="382"/>
      <c r="K176" s="341"/>
      <c r="L176" s="341"/>
      <c r="M176" s="341"/>
      <c r="AA176" s="44" t="s">
        <v>44</v>
      </c>
      <c r="AB176" s="44" t="s">
        <v>44</v>
      </c>
      <c r="AC176" s="44" t="s">
        <v>44</v>
      </c>
    </row>
    <row r="177">
      <c r="A177" s="341"/>
      <c r="B177" s="376"/>
      <c r="C177" s="383"/>
      <c r="D177" s="341"/>
      <c r="E177" s="384"/>
      <c r="F177" s="341"/>
      <c r="G177" s="341"/>
      <c r="H177" s="341"/>
      <c r="I177" s="341"/>
      <c r="J177" s="382"/>
      <c r="K177" s="341"/>
      <c r="L177" s="341"/>
      <c r="M177" s="341"/>
      <c r="AA177" s="44" t="s">
        <v>44</v>
      </c>
      <c r="AB177" s="44" t="s">
        <v>44</v>
      </c>
      <c r="AC177" s="44" t="s">
        <v>44</v>
      </c>
    </row>
    <row r="178">
      <c r="A178" s="341"/>
      <c r="B178" s="376"/>
      <c r="C178" s="383"/>
      <c r="D178" s="341"/>
      <c r="E178" s="384"/>
      <c r="F178" s="341"/>
      <c r="G178" s="341"/>
      <c r="H178" s="341"/>
      <c r="I178" s="341"/>
      <c r="J178" s="382"/>
      <c r="K178" s="341"/>
      <c r="L178" s="341"/>
      <c r="M178" s="341"/>
      <c r="AA178" s="44" t="s">
        <v>44</v>
      </c>
      <c r="AB178" s="44" t="s">
        <v>44</v>
      </c>
      <c r="AC178" s="44" t="s">
        <v>44</v>
      </c>
    </row>
    <row r="179">
      <c r="A179" s="341"/>
      <c r="B179" s="376"/>
      <c r="C179" s="383"/>
      <c r="D179" s="341"/>
      <c r="E179" s="384"/>
      <c r="F179" s="341"/>
      <c r="G179" s="341"/>
      <c r="H179" s="341"/>
      <c r="I179" s="341"/>
      <c r="J179" s="382"/>
      <c r="K179" s="341"/>
      <c r="L179" s="341"/>
      <c r="M179" s="341"/>
      <c r="AA179" s="44" t="s">
        <v>44</v>
      </c>
      <c r="AB179" s="44" t="s">
        <v>44</v>
      </c>
      <c r="AC179" s="44" t="s">
        <v>44</v>
      </c>
    </row>
    <row r="180">
      <c r="A180" s="341"/>
      <c r="B180" s="376"/>
      <c r="C180" s="383"/>
      <c r="D180" s="341"/>
      <c r="E180" s="384"/>
      <c r="F180" s="341"/>
      <c r="G180" s="341"/>
      <c r="H180" s="341"/>
      <c r="I180" s="341"/>
      <c r="J180" s="382"/>
      <c r="K180" s="341"/>
      <c r="L180" s="341"/>
      <c r="M180" s="341"/>
      <c r="AA180" s="44" t="s">
        <v>44</v>
      </c>
      <c r="AB180" s="44" t="s">
        <v>44</v>
      </c>
      <c r="AC180" s="44" t="s">
        <v>44</v>
      </c>
    </row>
    <row r="181">
      <c r="A181" s="341"/>
      <c r="B181" s="376"/>
      <c r="C181" s="383"/>
      <c r="D181" s="341"/>
      <c r="E181" s="384"/>
      <c r="F181" s="341"/>
      <c r="G181" s="341"/>
      <c r="H181" s="341"/>
      <c r="I181" s="341"/>
      <c r="J181" s="382"/>
      <c r="K181" s="341"/>
      <c r="L181" s="341"/>
      <c r="M181" s="341"/>
      <c r="AA181" s="44" t="s">
        <v>44</v>
      </c>
      <c r="AB181" s="44" t="s">
        <v>44</v>
      </c>
      <c r="AC181" s="44" t="s">
        <v>44</v>
      </c>
    </row>
    <row r="182">
      <c r="A182" s="341"/>
      <c r="B182" s="376"/>
      <c r="C182" s="383"/>
      <c r="D182" s="341"/>
      <c r="E182" s="384"/>
      <c r="F182" s="341"/>
      <c r="G182" s="341"/>
      <c r="H182" s="341"/>
      <c r="I182" s="341"/>
      <c r="J182" s="382"/>
      <c r="K182" s="341"/>
      <c r="L182" s="341"/>
      <c r="M182" s="341"/>
      <c r="AA182" s="44" t="s">
        <v>44</v>
      </c>
      <c r="AB182" s="44" t="s">
        <v>44</v>
      </c>
      <c r="AC182" s="44" t="s">
        <v>44</v>
      </c>
    </row>
    <row r="183">
      <c r="A183" s="341"/>
      <c r="B183" s="376"/>
      <c r="C183" s="383"/>
      <c r="D183" s="341"/>
      <c r="E183" s="384"/>
      <c r="F183" s="341"/>
      <c r="G183" s="341"/>
      <c r="H183" s="341"/>
      <c r="I183" s="341"/>
      <c r="J183" s="382"/>
      <c r="K183" s="341"/>
      <c r="L183" s="341"/>
      <c r="M183" s="341"/>
      <c r="AA183" s="44" t="s">
        <v>44</v>
      </c>
      <c r="AB183" s="44" t="s">
        <v>44</v>
      </c>
      <c r="AC183" s="44" t="s">
        <v>44</v>
      </c>
    </row>
    <row r="184">
      <c r="A184" s="341"/>
      <c r="B184" s="376"/>
      <c r="C184" s="383"/>
      <c r="D184" s="341"/>
      <c r="E184" s="384"/>
      <c r="F184" s="341"/>
      <c r="G184" s="341"/>
      <c r="H184" s="341"/>
      <c r="I184" s="341"/>
      <c r="J184" s="382"/>
      <c r="K184" s="341"/>
      <c r="L184" s="341"/>
      <c r="M184" s="341"/>
      <c r="AA184" s="44" t="s">
        <v>44</v>
      </c>
      <c r="AB184" s="44" t="s">
        <v>44</v>
      </c>
      <c r="AC184" s="44" t="s">
        <v>44</v>
      </c>
    </row>
    <row r="185">
      <c r="A185" s="341"/>
      <c r="B185" s="376"/>
      <c r="C185" s="383"/>
      <c r="D185" s="341"/>
      <c r="E185" s="384"/>
      <c r="F185" s="341"/>
      <c r="G185" s="341"/>
      <c r="H185" s="341"/>
      <c r="I185" s="341"/>
      <c r="J185" s="382"/>
      <c r="K185" s="341"/>
      <c r="L185" s="341"/>
      <c r="M185" s="341"/>
      <c r="AA185" s="44" t="s">
        <v>44</v>
      </c>
      <c r="AB185" s="44" t="s">
        <v>44</v>
      </c>
      <c r="AC185" s="44" t="s">
        <v>44</v>
      </c>
    </row>
    <row r="186">
      <c r="A186" s="341"/>
      <c r="B186" s="376"/>
      <c r="C186" s="383"/>
      <c r="D186" s="341"/>
      <c r="E186" s="384"/>
      <c r="F186" s="341"/>
      <c r="G186" s="341"/>
      <c r="H186" s="341"/>
      <c r="I186" s="341"/>
      <c r="J186" s="382"/>
      <c r="K186" s="341"/>
      <c r="L186" s="341"/>
      <c r="M186" s="341"/>
      <c r="AA186" s="44" t="s">
        <v>44</v>
      </c>
      <c r="AB186" s="44" t="s">
        <v>44</v>
      </c>
      <c r="AC186" s="44" t="s">
        <v>44</v>
      </c>
    </row>
    <row r="187">
      <c r="A187" s="341"/>
      <c r="B187" s="376"/>
      <c r="C187" s="383"/>
      <c r="D187" s="341"/>
      <c r="E187" s="384"/>
      <c r="F187" s="341"/>
      <c r="G187" s="341"/>
      <c r="H187" s="341"/>
      <c r="I187" s="341"/>
      <c r="J187" s="382"/>
      <c r="K187" s="341"/>
      <c r="L187" s="341"/>
      <c r="M187" s="341"/>
      <c r="AA187" s="44" t="s">
        <v>44</v>
      </c>
      <c r="AB187" s="44" t="s">
        <v>44</v>
      </c>
      <c r="AC187" s="44" t="s">
        <v>44</v>
      </c>
    </row>
    <row r="188">
      <c r="A188" s="341"/>
      <c r="B188" s="376"/>
      <c r="C188" s="383"/>
      <c r="D188" s="341"/>
      <c r="E188" s="384"/>
      <c r="F188" s="341"/>
      <c r="G188" s="341"/>
      <c r="H188" s="341"/>
      <c r="I188" s="341"/>
      <c r="J188" s="382"/>
      <c r="K188" s="341"/>
      <c r="L188" s="341"/>
      <c r="M188" s="341"/>
      <c r="AA188" s="44" t="s">
        <v>44</v>
      </c>
      <c r="AB188" s="44" t="s">
        <v>44</v>
      </c>
      <c r="AC188" s="44" t="s">
        <v>44</v>
      </c>
    </row>
    <row r="189">
      <c r="A189" s="341"/>
      <c r="B189" s="376"/>
      <c r="C189" s="383"/>
      <c r="D189" s="341"/>
      <c r="E189" s="384"/>
      <c r="F189" s="341"/>
      <c r="G189" s="341"/>
      <c r="H189" s="341"/>
      <c r="I189" s="341"/>
      <c r="J189" s="382"/>
      <c r="K189" s="341"/>
      <c r="L189" s="341"/>
      <c r="M189" s="341"/>
      <c r="AA189" s="44" t="s">
        <v>44</v>
      </c>
      <c r="AB189" s="44" t="s">
        <v>44</v>
      </c>
      <c r="AC189" s="44" t="s">
        <v>44</v>
      </c>
    </row>
    <row r="190">
      <c r="A190" s="341"/>
      <c r="B190" s="376"/>
      <c r="C190" s="383"/>
      <c r="D190" s="341"/>
      <c r="E190" s="384"/>
      <c r="F190" s="341"/>
      <c r="G190" s="341"/>
      <c r="H190" s="341"/>
      <c r="I190" s="341"/>
      <c r="J190" s="382"/>
      <c r="K190" s="341"/>
      <c r="L190" s="341"/>
      <c r="M190" s="341"/>
      <c r="AA190" s="44" t="s">
        <v>44</v>
      </c>
      <c r="AB190" s="44" t="s">
        <v>44</v>
      </c>
      <c r="AC190" s="44" t="s">
        <v>44</v>
      </c>
    </row>
    <row r="191">
      <c r="A191" s="341"/>
      <c r="B191" s="376"/>
      <c r="C191" s="383"/>
      <c r="D191" s="341"/>
      <c r="E191" s="384"/>
      <c r="F191" s="341"/>
      <c r="G191" s="341"/>
      <c r="H191" s="341"/>
      <c r="I191" s="341"/>
      <c r="J191" s="382"/>
      <c r="K191" s="341"/>
      <c r="L191" s="341"/>
      <c r="M191" s="341"/>
      <c r="AA191" s="44" t="s">
        <v>44</v>
      </c>
      <c r="AB191" s="44" t="s">
        <v>44</v>
      </c>
      <c r="AC191" s="44" t="s">
        <v>44</v>
      </c>
    </row>
    <row r="192">
      <c r="A192" s="341"/>
      <c r="B192" s="376"/>
      <c r="C192" s="383"/>
      <c r="D192" s="341"/>
      <c r="E192" s="384"/>
      <c r="F192" s="341"/>
      <c r="G192" s="341"/>
      <c r="H192" s="341"/>
      <c r="I192" s="341"/>
      <c r="J192" s="382"/>
      <c r="K192" s="341"/>
      <c r="L192" s="341"/>
      <c r="M192" s="341"/>
      <c r="AA192" s="44" t="s">
        <v>44</v>
      </c>
      <c r="AB192" s="44" t="s">
        <v>44</v>
      </c>
      <c r="AC192" s="44" t="s">
        <v>44</v>
      </c>
    </row>
    <row r="193">
      <c r="A193" s="341"/>
      <c r="B193" s="376"/>
      <c r="C193" s="383"/>
      <c r="D193" s="341"/>
      <c r="E193" s="384"/>
      <c r="F193" s="341"/>
      <c r="G193" s="341"/>
      <c r="H193" s="341"/>
      <c r="I193" s="341"/>
      <c r="J193" s="382"/>
      <c r="K193" s="341"/>
      <c r="L193" s="341"/>
      <c r="M193" s="341"/>
      <c r="AA193" s="44" t="s">
        <v>44</v>
      </c>
      <c r="AB193" s="44" t="s">
        <v>44</v>
      </c>
      <c r="AC193" s="44" t="s">
        <v>44</v>
      </c>
    </row>
    <row r="194">
      <c r="A194" s="341"/>
      <c r="B194" s="376"/>
      <c r="C194" s="383"/>
      <c r="D194" s="341"/>
      <c r="E194" s="384"/>
      <c r="F194" s="341"/>
      <c r="G194" s="341"/>
      <c r="H194" s="341"/>
      <c r="I194" s="341"/>
      <c r="J194" s="382"/>
      <c r="K194" s="341"/>
      <c r="L194" s="341"/>
      <c r="M194" s="341"/>
      <c r="AA194" s="44" t="s">
        <v>44</v>
      </c>
      <c r="AB194" s="44" t="s">
        <v>44</v>
      </c>
      <c r="AC194" s="44" t="s">
        <v>44</v>
      </c>
    </row>
    <row r="195">
      <c r="A195" s="341"/>
      <c r="B195" s="376"/>
      <c r="C195" s="383"/>
      <c r="D195" s="341"/>
      <c r="E195" s="384"/>
      <c r="F195" s="341"/>
      <c r="G195" s="341"/>
      <c r="H195" s="341"/>
      <c r="I195" s="341"/>
      <c r="J195" s="382"/>
      <c r="K195" s="341"/>
      <c r="L195" s="341"/>
      <c r="M195" s="341"/>
      <c r="AA195" s="44" t="s">
        <v>44</v>
      </c>
      <c r="AB195" s="44" t="s">
        <v>44</v>
      </c>
      <c r="AC195" s="44" t="s">
        <v>44</v>
      </c>
    </row>
    <row r="196">
      <c r="A196" s="341"/>
      <c r="B196" s="376"/>
      <c r="C196" s="383"/>
      <c r="D196" s="341"/>
      <c r="E196" s="384"/>
      <c r="F196" s="341"/>
      <c r="G196" s="341"/>
      <c r="H196" s="341"/>
      <c r="I196" s="341"/>
      <c r="J196" s="382"/>
      <c r="K196" s="341"/>
      <c r="L196" s="341"/>
      <c r="M196" s="341"/>
      <c r="AA196" s="44" t="s">
        <v>44</v>
      </c>
      <c r="AB196" s="44" t="s">
        <v>44</v>
      </c>
      <c r="AC196" s="44" t="s">
        <v>44</v>
      </c>
    </row>
    <row r="197">
      <c r="A197" s="341"/>
      <c r="B197" s="376"/>
      <c r="C197" s="383"/>
      <c r="D197" s="341"/>
      <c r="E197" s="384"/>
      <c r="F197" s="341"/>
      <c r="G197" s="341"/>
      <c r="H197" s="341"/>
      <c r="I197" s="341"/>
      <c r="J197" s="382"/>
      <c r="K197" s="341"/>
      <c r="L197" s="341"/>
      <c r="M197" s="341"/>
      <c r="AA197" s="44" t="s">
        <v>44</v>
      </c>
      <c r="AB197" s="44" t="s">
        <v>44</v>
      </c>
      <c r="AC197" s="44" t="s">
        <v>44</v>
      </c>
    </row>
    <row r="198">
      <c r="A198" s="341"/>
      <c r="B198" s="376"/>
      <c r="C198" s="383"/>
      <c r="D198" s="341"/>
      <c r="E198" s="384"/>
      <c r="F198" s="341"/>
      <c r="G198" s="341"/>
      <c r="H198" s="341"/>
      <c r="I198" s="341"/>
      <c r="J198" s="382"/>
      <c r="K198" s="341"/>
      <c r="L198" s="341"/>
      <c r="M198" s="341"/>
      <c r="AA198" s="44" t="s">
        <v>44</v>
      </c>
      <c r="AB198" s="44" t="s">
        <v>44</v>
      </c>
      <c r="AC198" s="44" t="s">
        <v>44</v>
      </c>
    </row>
    <row r="199">
      <c r="A199" s="341"/>
      <c r="B199" s="376"/>
      <c r="C199" s="383"/>
      <c r="D199" s="341"/>
      <c r="E199" s="384"/>
      <c r="F199" s="341"/>
      <c r="G199" s="341"/>
      <c r="H199" s="341"/>
      <c r="I199" s="341"/>
      <c r="J199" s="382"/>
      <c r="K199" s="341"/>
      <c r="L199" s="341"/>
      <c r="M199" s="341"/>
      <c r="AA199" s="44" t="s">
        <v>44</v>
      </c>
      <c r="AB199" s="44" t="s">
        <v>44</v>
      </c>
      <c r="AC199" s="44" t="s">
        <v>44</v>
      </c>
    </row>
    <row r="200">
      <c r="A200" s="341"/>
      <c r="B200" s="376"/>
      <c r="C200" s="383"/>
      <c r="D200" s="341"/>
      <c r="E200" s="384"/>
      <c r="F200" s="341"/>
      <c r="G200" s="341"/>
      <c r="H200" s="341"/>
      <c r="I200" s="341"/>
      <c r="J200" s="382"/>
      <c r="K200" s="341"/>
      <c r="L200" s="341"/>
      <c r="M200" s="341"/>
      <c r="AA200" s="44" t="s">
        <v>44</v>
      </c>
      <c r="AB200" s="44" t="s">
        <v>44</v>
      </c>
      <c r="AC200" s="44" t="s">
        <v>44</v>
      </c>
    </row>
    <row r="201">
      <c r="A201" s="341"/>
      <c r="B201" s="376"/>
      <c r="C201" s="383"/>
      <c r="D201" s="341"/>
      <c r="E201" s="384"/>
      <c r="F201" s="341"/>
      <c r="G201" s="341"/>
      <c r="H201" s="341"/>
      <c r="I201" s="341"/>
      <c r="J201" s="382"/>
      <c r="K201" s="341"/>
      <c r="L201" s="341"/>
      <c r="M201" s="341"/>
      <c r="AA201" s="44" t="s">
        <v>44</v>
      </c>
      <c r="AB201" s="44" t="s">
        <v>44</v>
      </c>
      <c r="AC201" s="44" t="s">
        <v>44</v>
      </c>
    </row>
    <row r="202">
      <c r="A202" s="341"/>
      <c r="B202" s="376"/>
      <c r="C202" s="383"/>
      <c r="D202" s="341"/>
      <c r="E202" s="384"/>
      <c r="F202" s="341"/>
      <c r="G202" s="341"/>
      <c r="H202" s="341"/>
      <c r="I202" s="341"/>
      <c r="J202" s="382"/>
      <c r="K202" s="341"/>
      <c r="L202" s="341"/>
      <c r="M202" s="341"/>
      <c r="AA202" s="44" t="s">
        <v>44</v>
      </c>
      <c r="AB202" s="44" t="s">
        <v>44</v>
      </c>
      <c r="AC202" s="44" t="s">
        <v>44</v>
      </c>
    </row>
    <row r="203">
      <c r="A203" s="341"/>
      <c r="B203" s="376"/>
      <c r="C203" s="383"/>
      <c r="D203" s="341"/>
      <c r="E203" s="384"/>
      <c r="F203" s="341"/>
      <c r="G203" s="341"/>
      <c r="H203" s="341"/>
      <c r="I203" s="341"/>
      <c r="J203" s="382"/>
      <c r="K203" s="341"/>
      <c r="L203" s="341"/>
      <c r="M203" s="341"/>
      <c r="AA203" s="44" t="s">
        <v>44</v>
      </c>
      <c r="AB203" s="44" t="s">
        <v>44</v>
      </c>
      <c r="AC203" s="44" t="s">
        <v>44</v>
      </c>
    </row>
    <row r="204">
      <c r="A204" s="341"/>
      <c r="B204" s="376"/>
      <c r="C204" s="383"/>
      <c r="D204" s="341"/>
      <c r="E204" s="384"/>
      <c r="F204" s="341"/>
      <c r="G204" s="341"/>
      <c r="H204" s="341"/>
      <c r="I204" s="341"/>
      <c r="J204" s="382"/>
      <c r="K204" s="341"/>
      <c r="L204" s="341"/>
      <c r="M204" s="341"/>
      <c r="AA204" s="44" t="s">
        <v>44</v>
      </c>
      <c r="AB204" s="44" t="s">
        <v>44</v>
      </c>
      <c r="AC204" s="44" t="s">
        <v>44</v>
      </c>
    </row>
    <row r="205">
      <c r="A205" s="341"/>
      <c r="B205" s="376"/>
      <c r="C205" s="383"/>
      <c r="D205" s="341"/>
      <c r="E205" s="384"/>
      <c r="F205" s="341"/>
      <c r="G205" s="341"/>
      <c r="H205" s="341"/>
      <c r="I205" s="341"/>
      <c r="J205" s="382"/>
      <c r="K205" s="341"/>
      <c r="L205" s="341"/>
      <c r="M205" s="341"/>
      <c r="AA205" s="44" t="s">
        <v>44</v>
      </c>
      <c r="AB205" s="44" t="s">
        <v>44</v>
      </c>
      <c r="AC205" s="44" t="s">
        <v>44</v>
      </c>
    </row>
  </sheetData>
  <mergeCells count="3">
    <mergeCell ref="A1:M1"/>
    <mergeCell ref="A2:M2"/>
    <mergeCell ref="O4:Y4"/>
  </mergeCells>
  <dataValidations>
    <dataValidation type="list" allowBlank="1" sqref="A6:A205">
      <formula1>AUX_ItensContrato!$A$1:$A$166</formula1>
    </dataValidation>
    <dataValidation type="list" allowBlank="1" sqref="C6:D205">
      <formula1>Catalogo!$F$3:$F$527</formula1>
    </dataValidation>
    <dataValidation type="list" allowBlank="1" sqref="I6:I205">
      <formula1>"Comprar,Já temos,Alugar"</formula1>
    </dataValidation>
    <dataValidation type="list" allowBlank="1" showErrorMessage="1" sqref="E6:E205">
      <formula1>"Material,Equipamento,Ferramenta"</formula1>
    </dataValidation>
    <dataValidation type="list" allowBlank="1" sqref="L6:L205">
      <formula1>"Solicitado,Em cotação,Aprovado,Comprado,Entregue"</formula1>
    </dataValidation>
    <dataValidation type="list" allowBlank="1" sqref="G6:G205">
      <formula1>"Solicitação,Entrada,Saída,Devolução"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2.0"/>
    <col customWidth="1" min="2" max="3" width="14.0"/>
    <col customWidth="1" min="4" max="4" width="12.0"/>
    <col customWidth="1" min="5" max="5" width="16.14"/>
    <col customWidth="1" min="6" max="6" width="13.0"/>
    <col customWidth="1" min="7" max="7" width="12.0"/>
    <col customWidth="1" min="8" max="8" width="22.0"/>
    <col customWidth="1" min="9" max="26" width="8.71"/>
  </cols>
  <sheetData>
    <row r="1" ht="27.75" customHeight="1">
      <c r="A1" s="89" t="s">
        <v>211</v>
      </c>
      <c r="B1" s="90"/>
      <c r="C1" s="90"/>
      <c r="D1" s="91" t="s">
        <v>212</v>
      </c>
      <c r="E1" s="92"/>
      <c r="F1" s="92"/>
      <c r="G1" s="92"/>
      <c r="H1" s="92"/>
    </row>
    <row r="2" ht="21.75" customHeight="1">
      <c r="A2" s="93"/>
      <c r="D2" s="94" t="s">
        <v>1716</v>
      </c>
      <c r="E2" s="92"/>
      <c r="F2" s="92"/>
      <c r="G2" s="92"/>
      <c r="H2" s="92"/>
    </row>
    <row r="3" ht="3.75" customHeight="1">
      <c r="A3" s="95"/>
      <c r="B3" s="95"/>
      <c r="C3" s="95"/>
      <c r="D3" s="95"/>
      <c r="E3" s="95"/>
      <c r="F3" s="95"/>
      <c r="G3" s="95"/>
      <c r="H3" s="95"/>
    </row>
    <row r="5" ht="30.0" customHeight="1">
      <c r="A5" s="109" t="s">
        <v>11</v>
      </c>
      <c r="B5" s="109" t="s">
        <v>38</v>
      </c>
      <c r="C5" s="109" t="s">
        <v>1717</v>
      </c>
      <c r="D5" s="109" t="s">
        <v>1718</v>
      </c>
      <c r="E5" s="109" t="s">
        <v>1719</v>
      </c>
      <c r="F5" s="109" t="s">
        <v>1665</v>
      </c>
      <c r="G5" s="109" t="s">
        <v>1720</v>
      </c>
      <c r="H5" s="109" t="s">
        <v>1721</v>
      </c>
    </row>
    <row r="6">
      <c r="A6" s="385" t="s">
        <v>1671</v>
      </c>
      <c r="B6" s="386" t="str">
        <f t="array" ref="B6:B610">IF($A6:$A610="","",IFERROR(VLOOKUP($A6:$A610,SC!$D:$E,2,FALSE),""))</f>
        <v>Material</v>
      </c>
      <c r="C6" s="387">
        <f t="array" ref="C6:C610">IF(A6:A610="","",SUMIF(SC!$AA$6:$AA$205,A6:A610&amp;"|Entrada",SC!$H$6:$H$205))</f>
        <v>318</v>
      </c>
      <c r="D6" s="388">
        <f t="array" ref="D6:D610">IF(A6:A610="","",SUMIF(SC!$AA$6:$AA$205,A6:A610&amp;"|Saída",SC!$H$6:$H$205))</f>
        <v>0</v>
      </c>
      <c r="E6" s="388">
        <f t="array" ref="E6:E610">IF(A6:A610="","",SUMIF(SC!$AA$6:$AA$205,A6:A610&amp;"|Devolução",SC!$H$6:$H$205))</f>
        <v>0</v>
      </c>
      <c r="F6" s="387">
        <f t="array" ref="F6:F610">IF(A6:A610="","",C6:C610-D6:D610+E6:E610)</f>
        <v>318</v>
      </c>
      <c r="G6" s="389">
        <f t="array" ref="G6:G610">IF(A6:A610="","",IF(C6:C610=0,0,F6:F610/C6:C610))</f>
        <v>1</v>
      </c>
      <c r="H6" s="386" t="str">
        <f t="array" ref="H6:H610">IF(A6:A610="","",IF(F6:F610&lt;=0,"🔴 Zerado","🟢 OK"))</f>
        <v>🟢 OK</v>
      </c>
    </row>
    <row r="7">
      <c r="A7" s="390" t="s">
        <v>1676</v>
      </c>
      <c r="B7" s="386" t="s">
        <v>37</v>
      </c>
      <c r="C7" s="387">
        <v>50.0</v>
      </c>
      <c r="D7" s="388">
        <v>0.0</v>
      </c>
      <c r="E7" s="388">
        <v>0.0</v>
      </c>
      <c r="F7" s="387">
        <v>50.0</v>
      </c>
      <c r="G7" s="389">
        <v>1.0</v>
      </c>
      <c r="H7" s="386" t="s">
        <v>1722</v>
      </c>
    </row>
    <row r="8">
      <c r="A8" s="391"/>
      <c r="B8" s="386" t="s">
        <v>44</v>
      </c>
      <c r="C8" s="387" t="s">
        <v>44</v>
      </c>
      <c r="D8" s="388" t="s">
        <v>44</v>
      </c>
      <c r="E8" s="388" t="s">
        <v>44</v>
      </c>
      <c r="F8" s="387" t="s">
        <v>44</v>
      </c>
      <c r="G8" s="389" t="s">
        <v>44</v>
      </c>
      <c r="H8" s="386" t="s">
        <v>44</v>
      </c>
    </row>
    <row r="9">
      <c r="A9" s="391"/>
      <c r="B9" s="386" t="s">
        <v>44</v>
      </c>
      <c r="C9" s="387" t="s">
        <v>44</v>
      </c>
      <c r="D9" s="388" t="s">
        <v>44</v>
      </c>
      <c r="E9" s="388" t="s">
        <v>44</v>
      </c>
      <c r="F9" s="387" t="s">
        <v>44</v>
      </c>
      <c r="G9" s="389" t="s">
        <v>44</v>
      </c>
      <c r="H9" s="386" t="s">
        <v>44</v>
      </c>
    </row>
    <row r="10">
      <c r="A10" s="391"/>
      <c r="B10" s="386" t="s">
        <v>44</v>
      </c>
      <c r="C10" s="387" t="s">
        <v>44</v>
      </c>
      <c r="D10" s="388" t="s">
        <v>44</v>
      </c>
      <c r="E10" s="388" t="s">
        <v>44</v>
      </c>
      <c r="F10" s="387" t="s">
        <v>44</v>
      </c>
      <c r="G10" s="389" t="s">
        <v>44</v>
      </c>
      <c r="H10" s="386" t="s">
        <v>44</v>
      </c>
    </row>
    <row r="11">
      <c r="A11" s="391"/>
      <c r="B11" s="386" t="s">
        <v>44</v>
      </c>
      <c r="C11" s="387" t="s">
        <v>44</v>
      </c>
      <c r="D11" s="388" t="s">
        <v>44</v>
      </c>
      <c r="E11" s="388" t="s">
        <v>44</v>
      </c>
      <c r="F11" s="387" t="s">
        <v>44</v>
      </c>
      <c r="G11" s="389" t="s">
        <v>44</v>
      </c>
      <c r="H11" s="386" t="s">
        <v>44</v>
      </c>
    </row>
    <row r="12">
      <c r="A12" s="391"/>
      <c r="B12" s="386" t="s">
        <v>44</v>
      </c>
      <c r="C12" s="387" t="s">
        <v>44</v>
      </c>
      <c r="D12" s="388" t="s">
        <v>44</v>
      </c>
      <c r="E12" s="388" t="s">
        <v>44</v>
      </c>
      <c r="F12" s="387" t="s">
        <v>44</v>
      </c>
      <c r="G12" s="389" t="s">
        <v>44</v>
      </c>
      <c r="H12" s="386" t="s">
        <v>44</v>
      </c>
    </row>
    <row r="13">
      <c r="A13" s="391"/>
      <c r="B13" s="386" t="s">
        <v>44</v>
      </c>
      <c r="C13" s="387" t="s">
        <v>44</v>
      </c>
      <c r="D13" s="388" t="s">
        <v>44</v>
      </c>
      <c r="E13" s="388" t="s">
        <v>44</v>
      </c>
      <c r="F13" s="387" t="s">
        <v>44</v>
      </c>
      <c r="G13" s="389" t="s">
        <v>44</v>
      </c>
      <c r="H13" s="386" t="s">
        <v>44</v>
      </c>
    </row>
    <row r="14">
      <c r="A14" s="391"/>
      <c r="B14" s="386" t="s">
        <v>44</v>
      </c>
      <c r="C14" s="387" t="s">
        <v>44</v>
      </c>
      <c r="D14" s="388" t="s">
        <v>44</v>
      </c>
      <c r="E14" s="388" t="s">
        <v>44</v>
      </c>
      <c r="F14" s="387" t="s">
        <v>44</v>
      </c>
      <c r="G14" s="389" t="s">
        <v>44</v>
      </c>
      <c r="H14" s="386" t="s">
        <v>44</v>
      </c>
    </row>
    <row r="15">
      <c r="A15" s="391"/>
      <c r="B15" s="386" t="s">
        <v>44</v>
      </c>
      <c r="C15" s="387" t="s">
        <v>44</v>
      </c>
      <c r="D15" s="388" t="s">
        <v>44</v>
      </c>
      <c r="E15" s="388" t="s">
        <v>44</v>
      </c>
      <c r="F15" s="387" t="s">
        <v>44</v>
      </c>
      <c r="G15" s="389" t="s">
        <v>44</v>
      </c>
      <c r="H15" s="386" t="s">
        <v>44</v>
      </c>
    </row>
    <row r="16">
      <c r="A16" s="391"/>
      <c r="B16" s="386" t="s">
        <v>44</v>
      </c>
      <c r="C16" s="387" t="s">
        <v>44</v>
      </c>
      <c r="D16" s="388" t="s">
        <v>44</v>
      </c>
      <c r="E16" s="388" t="s">
        <v>44</v>
      </c>
      <c r="F16" s="387" t="s">
        <v>44</v>
      </c>
      <c r="G16" s="389" t="s">
        <v>44</v>
      </c>
      <c r="H16" s="386" t="s">
        <v>44</v>
      </c>
    </row>
    <row r="17">
      <c r="A17" s="391"/>
      <c r="B17" s="386" t="s">
        <v>44</v>
      </c>
      <c r="C17" s="387" t="s">
        <v>44</v>
      </c>
      <c r="D17" s="388" t="s">
        <v>44</v>
      </c>
      <c r="E17" s="388" t="s">
        <v>44</v>
      </c>
      <c r="F17" s="387" t="s">
        <v>44</v>
      </c>
      <c r="G17" s="389" t="s">
        <v>44</v>
      </c>
      <c r="H17" s="386" t="s">
        <v>44</v>
      </c>
    </row>
    <row r="18">
      <c r="A18" s="391"/>
      <c r="B18" s="386" t="s">
        <v>44</v>
      </c>
      <c r="C18" s="387" t="s">
        <v>44</v>
      </c>
      <c r="D18" s="388" t="s">
        <v>44</v>
      </c>
      <c r="E18" s="388" t="s">
        <v>44</v>
      </c>
      <c r="F18" s="387" t="s">
        <v>44</v>
      </c>
      <c r="G18" s="389" t="s">
        <v>44</v>
      </c>
      <c r="H18" s="386" t="s">
        <v>44</v>
      </c>
    </row>
    <row r="19">
      <c r="A19" s="391"/>
      <c r="B19" s="386" t="s">
        <v>44</v>
      </c>
      <c r="C19" s="387" t="s">
        <v>44</v>
      </c>
      <c r="D19" s="388" t="s">
        <v>44</v>
      </c>
      <c r="E19" s="388" t="s">
        <v>44</v>
      </c>
      <c r="F19" s="387" t="s">
        <v>44</v>
      </c>
      <c r="G19" s="389" t="s">
        <v>44</v>
      </c>
      <c r="H19" s="386" t="s">
        <v>44</v>
      </c>
    </row>
    <row r="20">
      <c r="A20" s="391"/>
      <c r="B20" s="386" t="s">
        <v>44</v>
      </c>
      <c r="C20" s="387" t="s">
        <v>44</v>
      </c>
      <c r="D20" s="388" t="s">
        <v>44</v>
      </c>
      <c r="E20" s="388" t="s">
        <v>44</v>
      </c>
      <c r="F20" s="387" t="s">
        <v>44</v>
      </c>
      <c r="G20" s="389" t="s">
        <v>44</v>
      </c>
      <c r="H20" s="386" t="s">
        <v>44</v>
      </c>
    </row>
    <row r="21" ht="15.75" customHeight="1">
      <c r="A21" s="391"/>
      <c r="B21" s="386" t="s">
        <v>44</v>
      </c>
      <c r="C21" s="387" t="s">
        <v>44</v>
      </c>
      <c r="D21" s="388" t="s">
        <v>44</v>
      </c>
      <c r="E21" s="388" t="s">
        <v>44</v>
      </c>
      <c r="F21" s="387" t="s">
        <v>44</v>
      </c>
      <c r="G21" s="389" t="s">
        <v>44</v>
      </c>
      <c r="H21" s="386" t="s">
        <v>44</v>
      </c>
    </row>
    <row r="22" ht="15.75" customHeight="1">
      <c r="A22" s="391"/>
      <c r="B22" s="386" t="s">
        <v>44</v>
      </c>
      <c r="C22" s="387" t="s">
        <v>44</v>
      </c>
      <c r="D22" s="388" t="s">
        <v>44</v>
      </c>
      <c r="E22" s="388" t="s">
        <v>44</v>
      </c>
      <c r="F22" s="387" t="s">
        <v>44</v>
      </c>
      <c r="G22" s="389" t="s">
        <v>44</v>
      </c>
      <c r="H22" s="386" t="s">
        <v>44</v>
      </c>
    </row>
    <row r="23" ht="15.75" customHeight="1">
      <c r="A23" s="391"/>
      <c r="B23" s="386" t="s">
        <v>44</v>
      </c>
      <c r="C23" s="387" t="s">
        <v>44</v>
      </c>
      <c r="D23" s="388" t="s">
        <v>44</v>
      </c>
      <c r="E23" s="388" t="s">
        <v>44</v>
      </c>
      <c r="F23" s="387" t="s">
        <v>44</v>
      </c>
      <c r="G23" s="389" t="s">
        <v>44</v>
      </c>
      <c r="H23" s="386" t="s">
        <v>44</v>
      </c>
    </row>
    <row r="24" ht="15.75" customHeight="1">
      <c r="A24" s="391"/>
      <c r="B24" s="386" t="s">
        <v>44</v>
      </c>
      <c r="C24" s="387" t="s">
        <v>44</v>
      </c>
      <c r="D24" s="388" t="s">
        <v>44</v>
      </c>
      <c r="E24" s="388" t="s">
        <v>44</v>
      </c>
      <c r="F24" s="387" t="s">
        <v>44</v>
      </c>
      <c r="G24" s="389" t="s">
        <v>44</v>
      </c>
      <c r="H24" s="386" t="s">
        <v>44</v>
      </c>
    </row>
    <row r="25" ht="15.75" customHeight="1">
      <c r="A25" s="391"/>
      <c r="B25" s="386" t="s">
        <v>44</v>
      </c>
      <c r="C25" s="387" t="s">
        <v>44</v>
      </c>
      <c r="D25" s="388" t="s">
        <v>44</v>
      </c>
      <c r="E25" s="388" t="s">
        <v>44</v>
      </c>
      <c r="F25" s="387" t="s">
        <v>44</v>
      </c>
      <c r="G25" s="389" t="s">
        <v>44</v>
      </c>
      <c r="H25" s="386" t="s">
        <v>44</v>
      </c>
    </row>
    <row r="26" ht="15.75" customHeight="1">
      <c r="A26" s="391"/>
      <c r="B26" s="386" t="s">
        <v>44</v>
      </c>
      <c r="C26" s="387" t="s">
        <v>44</v>
      </c>
      <c r="D26" s="388" t="s">
        <v>44</v>
      </c>
      <c r="E26" s="388" t="s">
        <v>44</v>
      </c>
      <c r="F26" s="387" t="s">
        <v>44</v>
      </c>
      <c r="G26" s="389" t="s">
        <v>44</v>
      </c>
      <c r="H26" s="386" t="s">
        <v>44</v>
      </c>
    </row>
    <row r="27" ht="15.75" customHeight="1">
      <c r="A27" s="391"/>
      <c r="B27" s="386" t="s">
        <v>44</v>
      </c>
      <c r="C27" s="387" t="s">
        <v>44</v>
      </c>
      <c r="D27" s="388" t="s">
        <v>44</v>
      </c>
      <c r="E27" s="388" t="s">
        <v>44</v>
      </c>
      <c r="F27" s="387" t="s">
        <v>44</v>
      </c>
      <c r="G27" s="389" t="s">
        <v>44</v>
      </c>
      <c r="H27" s="386" t="s">
        <v>44</v>
      </c>
    </row>
    <row r="28" ht="15.75" customHeight="1">
      <c r="A28" s="391"/>
      <c r="B28" s="386" t="s">
        <v>44</v>
      </c>
      <c r="C28" s="387" t="s">
        <v>44</v>
      </c>
      <c r="D28" s="388" t="s">
        <v>44</v>
      </c>
      <c r="E28" s="388" t="s">
        <v>44</v>
      </c>
      <c r="F28" s="387" t="s">
        <v>44</v>
      </c>
      <c r="G28" s="389" t="s">
        <v>44</v>
      </c>
      <c r="H28" s="386" t="s">
        <v>44</v>
      </c>
    </row>
    <row r="29" ht="15.75" customHeight="1">
      <c r="A29" s="391"/>
      <c r="B29" s="386" t="s">
        <v>44</v>
      </c>
      <c r="C29" s="387" t="s">
        <v>44</v>
      </c>
      <c r="D29" s="388" t="s">
        <v>44</v>
      </c>
      <c r="E29" s="388" t="s">
        <v>44</v>
      </c>
      <c r="F29" s="387" t="s">
        <v>44</v>
      </c>
      <c r="G29" s="389" t="s">
        <v>44</v>
      </c>
      <c r="H29" s="386" t="s">
        <v>44</v>
      </c>
    </row>
    <row r="30" ht="15.75" customHeight="1">
      <c r="A30" s="391"/>
      <c r="B30" s="386" t="s">
        <v>44</v>
      </c>
      <c r="C30" s="387" t="s">
        <v>44</v>
      </c>
      <c r="D30" s="388" t="s">
        <v>44</v>
      </c>
      <c r="E30" s="388" t="s">
        <v>44</v>
      </c>
      <c r="F30" s="387" t="s">
        <v>44</v>
      </c>
      <c r="G30" s="389" t="s">
        <v>44</v>
      </c>
      <c r="H30" s="386" t="s">
        <v>44</v>
      </c>
    </row>
    <row r="31" ht="15.75" customHeight="1">
      <c r="A31" s="391"/>
      <c r="B31" s="386" t="s">
        <v>44</v>
      </c>
      <c r="C31" s="387" t="s">
        <v>44</v>
      </c>
      <c r="D31" s="388" t="s">
        <v>44</v>
      </c>
      <c r="E31" s="388" t="s">
        <v>44</v>
      </c>
      <c r="F31" s="387" t="s">
        <v>44</v>
      </c>
      <c r="G31" s="389" t="s">
        <v>44</v>
      </c>
      <c r="H31" s="386" t="s">
        <v>44</v>
      </c>
    </row>
    <row r="32" ht="15.75" customHeight="1">
      <c r="A32" s="391"/>
      <c r="B32" s="386" t="s">
        <v>44</v>
      </c>
      <c r="C32" s="387" t="s">
        <v>44</v>
      </c>
      <c r="D32" s="388" t="s">
        <v>44</v>
      </c>
      <c r="E32" s="388" t="s">
        <v>44</v>
      </c>
      <c r="F32" s="387" t="s">
        <v>44</v>
      </c>
      <c r="G32" s="389" t="s">
        <v>44</v>
      </c>
      <c r="H32" s="386" t="s">
        <v>44</v>
      </c>
    </row>
    <row r="33" ht="15.75" customHeight="1">
      <c r="A33" s="391"/>
      <c r="B33" s="386" t="s">
        <v>44</v>
      </c>
      <c r="C33" s="387" t="s">
        <v>44</v>
      </c>
      <c r="D33" s="388" t="s">
        <v>44</v>
      </c>
      <c r="E33" s="388" t="s">
        <v>44</v>
      </c>
      <c r="F33" s="387" t="s">
        <v>44</v>
      </c>
      <c r="G33" s="389" t="s">
        <v>44</v>
      </c>
      <c r="H33" s="386" t="s">
        <v>44</v>
      </c>
    </row>
    <row r="34" ht="15.75" customHeight="1">
      <c r="A34" s="391"/>
      <c r="B34" s="386" t="s">
        <v>44</v>
      </c>
      <c r="C34" s="387" t="s">
        <v>44</v>
      </c>
      <c r="D34" s="388" t="s">
        <v>44</v>
      </c>
      <c r="E34" s="388" t="s">
        <v>44</v>
      </c>
      <c r="F34" s="387" t="s">
        <v>44</v>
      </c>
      <c r="G34" s="389" t="s">
        <v>44</v>
      </c>
      <c r="H34" s="386" t="s">
        <v>44</v>
      </c>
    </row>
    <row r="35" ht="15.75" customHeight="1">
      <c r="A35" s="391"/>
      <c r="B35" s="386" t="s">
        <v>44</v>
      </c>
      <c r="C35" s="387" t="s">
        <v>44</v>
      </c>
      <c r="D35" s="388" t="s">
        <v>44</v>
      </c>
      <c r="E35" s="388" t="s">
        <v>44</v>
      </c>
      <c r="F35" s="387" t="s">
        <v>44</v>
      </c>
      <c r="G35" s="389" t="s">
        <v>44</v>
      </c>
      <c r="H35" s="386" t="s">
        <v>44</v>
      </c>
    </row>
    <row r="36" ht="15.75" customHeight="1">
      <c r="A36" s="391"/>
      <c r="B36" s="386" t="s">
        <v>44</v>
      </c>
      <c r="C36" s="387" t="s">
        <v>44</v>
      </c>
      <c r="D36" s="388" t="s">
        <v>44</v>
      </c>
      <c r="E36" s="388" t="s">
        <v>44</v>
      </c>
      <c r="F36" s="387" t="s">
        <v>44</v>
      </c>
      <c r="G36" s="389" t="s">
        <v>44</v>
      </c>
      <c r="H36" s="386" t="s">
        <v>44</v>
      </c>
    </row>
    <row r="37" ht="15.75" customHeight="1">
      <c r="A37" s="391"/>
      <c r="B37" s="386" t="s">
        <v>44</v>
      </c>
      <c r="C37" s="387" t="s">
        <v>44</v>
      </c>
      <c r="D37" s="388" t="s">
        <v>44</v>
      </c>
      <c r="E37" s="388" t="s">
        <v>44</v>
      </c>
      <c r="F37" s="387" t="s">
        <v>44</v>
      </c>
      <c r="G37" s="389" t="s">
        <v>44</v>
      </c>
      <c r="H37" s="386" t="s">
        <v>44</v>
      </c>
    </row>
    <row r="38" ht="15.75" customHeight="1">
      <c r="A38" s="391"/>
      <c r="B38" s="386" t="s">
        <v>44</v>
      </c>
      <c r="C38" s="387" t="s">
        <v>44</v>
      </c>
      <c r="D38" s="388" t="s">
        <v>44</v>
      </c>
      <c r="E38" s="388" t="s">
        <v>44</v>
      </c>
      <c r="F38" s="387" t="s">
        <v>44</v>
      </c>
      <c r="G38" s="389" t="s">
        <v>44</v>
      </c>
      <c r="H38" s="386" t="s">
        <v>44</v>
      </c>
    </row>
    <row r="39" ht="15.75" customHeight="1">
      <c r="A39" s="391"/>
      <c r="B39" s="386" t="s">
        <v>44</v>
      </c>
      <c r="C39" s="387" t="s">
        <v>44</v>
      </c>
      <c r="D39" s="388" t="s">
        <v>44</v>
      </c>
      <c r="E39" s="388" t="s">
        <v>44</v>
      </c>
      <c r="F39" s="387" t="s">
        <v>44</v>
      </c>
      <c r="G39" s="389" t="s">
        <v>44</v>
      </c>
      <c r="H39" s="386" t="s">
        <v>44</v>
      </c>
    </row>
    <row r="40" ht="15.75" customHeight="1">
      <c r="A40" s="391"/>
      <c r="B40" s="386" t="s">
        <v>44</v>
      </c>
      <c r="C40" s="387" t="s">
        <v>44</v>
      </c>
      <c r="D40" s="388" t="s">
        <v>44</v>
      </c>
      <c r="E40" s="388" t="s">
        <v>44</v>
      </c>
      <c r="F40" s="387" t="s">
        <v>44</v>
      </c>
      <c r="G40" s="389" t="s">
        <v>44</v>
      </c>
      <c r="H40" s="386" t="s">
        <v>44</v>
      </c>
    </row>
    <row r="41" ht="15.75" customHeight="1">
      <c r="A41" s="391"/>
      <c r="B41" s="386" t="s">
        <v>44</v>
      </c>
      <c r="C41" s="387" t="s">
        <v>44</v>
      </c>
      <c r="D41" s="388" t="s">
        <v>44</v>
      </c>
      <c r="E41" s="388" t="s">
        <v>44</v>
      </c>
      <c r="F41" s="387" t="s">
        <v>44</v>
      </c>
      <c r="G41" s="389" t="s">
        <v>44</v>
      </c>
      <c r="H41" s="386" t="s">
        <v>44</v>
      </c>
    </row>
    <row r="42" ht="15.75" customHeight="1">
      <c r="A42" s="391"/>
      <c r="B42" s="386" t="s">
        <v>44</v>
      </c>
      <c r="C42" s="387" t="s">
        <v>44</v>
      </c>
      <c r="D42" s="388" t="s">
        <v>44</v>
      </c>
      <c r="E42" s="388" t="s">
        <v>44</v>
      </c>
      <c r="F42" s="387" t="s">
        <v>44</v>
      </c>
      <c r="G42" s="389" t="s">
        <v>44</v>
      </c>
      <c r="H42" s="386" t="s">
        <v>44</v>
      </c>
    </row>
    <row r="43" ht="15.75" customHeight="1">
      <c r="A43" s="391"/>
      <c r="B43" s="386" t="s">
        <v>44</v>
      </c>
      <c r="C43" s="387" t="s">
        <v>44</v>
      </c>
      <c r="D43" s="388" t="s">
        <v>44</v>
      </c>
      <c r="E43" s="388" t="s">
        <v>44</v>
      </c>
      <c r="F43" s="387" t="s">
        <v>44</v>
      </c>
      <c r="G43" s="389" t="s">
        <v>44</v>
      </c>
      <c r="H43" s="386" t="s">
        <v>44</v>
      </c>
    </row>
    <row r="44" ht="15.75" customHeight="1">
      <c r="A44" s="391"/>
      <c r="B44" s="386" t="s">
        <v>44</v>
      </c>
      <c r="C44" s="387" t="s">
        <v>44</v>
      </c>
      <c r="D44" s="388" t="s">
        <v>44</v>
      </c>
      <c r="E44" s="388" t="s">
        <v>44</v>
      </c>
      <c r="F44" s="387" t="s">
        <v>44</v>
      </c>
      <c r="G44" s="389" t="s">
        <v>44</v>
      </c>
      <c r="H44" s="386" t="s">
        <v>44</v>
      </c>
    </row>
    <row r="45" ht="15.75" customHeight="1">
      <c r="A45" s="391"/>
      <c r="B45" s="386" t="s">
        <v>44</v>
      </c>
      <c r="C45" s="387" t="s">
        <v>44</v>
      </c>
      <c r="D45" s="388" t="s">
        <v>44</v>
      </c>
      <c r="E45" s="388" t="s">
        <v>44</v>
      </c>
      <c r="F45" s="387" t="s">
        <v>44</v>
      </c>
      <c r="G45" s="389" t="s">
        <v>44</v>
      </c>
      <c r="H45" s="386" t="s">
        <v>44</v>
      </c>
    </row>
    <row r="46" ht="15.75" customHeight="1">
      <c r="A46" s="391"/>
      <c r="B46" s="386" t="s">
        <v>44</v>
      </c>
      <c r="C46" s="387" t="s">
        <v>44</v>
      </c>
      <c r="D46" s="388" t="s">
        <v>44</v>
      </c>
      <c r="E46" s="388" t="s">
        <v>44</v>
      </c>
      <c r="F46" s="387" t="s">
        <v>44</v>
      </c>
      <c r="G46" s="389" t="s">
        <v>44</v>
      </c>
      <c r="H46" s="386" t="s">
        <v>44</v>
      </c>
    </row>
    <row r="47" ht="15.75" customHeight="1">
      <c r="A47" s="391"/>
      <c r="B47" s="386" t="s">
        <v>44</v>
      </c>
      <c r="C47" s="387" t="s">
        <v>44</v>
      </c>
      <c r="D47" s="388" t="s">
        <v>44</v>
      </c>
      <c r="E47" s="388" t="s">
        <v>44</v>
      </c>
      <c r="F47" s="387" t="s">
        <v>44</v>
      </c>
      <c r="G47" s="389" t="s">
        <v>44</v>
      </c>
      <c r="H47" s="386" t="s">
        <v>44</v>
      </c>
    </row>
    <row r="48" ht="15.75" customHeight="1">
      <c r="A48" s="391"/>
      <c r="B48" s="386" t="s">
        <v>44</v>
      </c>
      <c r="C48" s="387" t="s">
        <v>44</v>
      </c>
      <c r="D48" s="388" t="s">
        <v>44</v>
      </c>
      <c r="E48" s="388" t="s">
        <v>44</v>
      </c>
      <c r="F48" s="387" t="s">
        <v>44</v>
      </c>
      <c r="G48" s="389" t="s">
        <v>44</v>
      </c>
      <c r="H48" s="386" t="s">
        <v>44</v>
      </c>
    </row>
    <row r="49" ht="15.75" customHeight="1">
      <c r="A49" s="391"/>
      <c r="B49" s="386" t="s">
        <v>44</v>
      </c>
      <c r="C49" s="387" t="s">
        <v>44</v>
      </c>
      <c r="D49" s="388" t="s">
        <v>44</v>
      </c>
      <c r="E49" s="388" t="s">
        <v>44</v>
      </c>
      <c r="F49" s="387" t="s">
        <v>44</v>
      </c>
      <c r="G49" s="389" t="s">
        <v>44</v>
      </c>
      <c r="H49" s="386" t="s">
        <v>44</v>
      </c>
    </row>
    <row r="50" ht="15.75" customHeight="1">
      <c r="A50" s="391"/>
      <c r="B50" s="386" t="s">
        <v>44</v>
      </c>
      <c r="C50" s="387" t="s">
        <v>44</v>
      </c>
      <c r="D50" s="388" t="s">
        <v>44</v>
      </c>
      <c r="E50" s="388" t="s">
        <v>44</v>
      </c>
      <c r="F50" s="387" t="s">
        <v>44</v>
      </c>
      <c r="G50" s="389" t="s">
        <v>44</v>
      </c>
      <c r="H50" s="386" t="s">
        <v>44</v>
      </c>
    </row>
    <row r="51" ht="15.75" customHeight="1">
      <c r="A51" s="391"/>
      <c r="B51" s="386" t="s">
        <v>44</v>
      </c>
      <c r="C51" s="387" t="s">
        <v>44</v>
      </c>
      <c r="D51" s="388" t="s">
        <v>44</v>
      </c>
      <c r="E51" s="388" t="s">
        <v>44</v>
      </c>
      <c r="F51" s="387" t="s">
        <v>44</v>
      </c>
      <c r="G51" s="389" t="s">
        <v>44</v>
      </c>
      <c r="H51" s="386" t="s">
        <v>44</v>
      </c>
    </row>
    <row r="52" ht="15.75" customHeight="1">
      <c r="A52" s="391"/>
      <c r="B52" s="386" t="s">
        <v>44</v>
      </c>
      <c r="C52" s="387" t="s">
        <v>44</v>
      </c>
      <c r="D52" s="388" t="s">
        <v>44</v>
      </c>
      <c r="E52" s="388" t="s">
        <v>44</v>
      </c>
      <c r="F52" s="387" t="s">
        <v>44</v>
      </c>
      <c r="G52" s="389" t="s">
        <v>44</v>
      </c>
      <c r="H52" s="386" t="s">
        <v>44</v>
      </c>
    </row>
    <row r="53" ht="15.75" customHeight="1">
      <c r="A53" s="391"/>
      <c r="B53" s="386" t="s">
        <v>44</v>
      </c>
      <c r="C53" s="387" t="s">
        <v>44</v>
      </c>
      <c r="D53" s="388" t="s">
        <v>44</v>
      </c>
      <c r="E53" s="388" t="s">
        <v>44</v>
      </c>
      <c r="F53" s="387" t="s">
        <v>44</v>
      </c>
      <c r="G53" s="389" t="s">
        <v>44</v>
      </c>
      <c r="H53" s="386" t="s">
        <v>44</v>
      </c>
    </row>
    <row r="54" ht="15.75" customHeight="1">
      <c r="A54" s="391"/>
      <c r="B54" s="386" t="s">
        <v>44</v>
      </c>
      <c r="C54" s="387" t="s">
        <v>44</v>
      </c>
      <c r="D54" s="388" t="s">
        <v>44</v>
      </c>
      <c r="E54" s="388" t="s">
        <v>44</v>
      </c>
      <c r="F54" s="387" t="s">
        <v>44</v>
      </c>
      <c r="G54" s="389" t="s">
        <v>44</v>
      </c>
      <c r="H54" s="386" t="s">
        <v>44</v>
      </c>
    </row>
    <row r="55" ht="15.75" customHeight="1">
      <c r="A55" s="391"/>
      <c r="B55" s="386" t="s">
        <v>44</v>
      </c>
      <c r="C55" s="387" t="s">
        <v>44</v>
      </c>
      <c r="D55" s="388" t="s">
        <v>44</v>
      </c>
      <c r="E55" s="388" t="s">
        <v>44</v>
      </c>
      <c r="F55" s="387" t="s">
        <v>44</v>
      </c>
      <c r="G55" s="389" t="s">
        <v>44</v>
      </c>
      <c r="H55" s="386" t="s">
        <v>44</v>
      </c>
    </row>
    <row r="56" ht="15.75" customHeight="1">
      <c r="A56" s="391"/>
      <c r="B56" s="386" t="s">
        <v>44</v>
      </c>
      <c r="C56" s="387" t="s">
        <v>44</v>
      </c>
      <c r="D56" s="388" t="s">
        <v>44</v>
      </c>
      <c r="E56" s="388" t="s">
        <v>44</v>
      </c>
      <c r="F56" s="387" t="s">
        <v>44</v>
      </c>
      <c r="G56" s="389" t="s">
        <v>44</v>
      </c>
      <c r="H56" s="386" t="s">
        <v>44</v>
      </c>
    </row>
    <row r="57" ht="15.75" customHeight="1">
      <c r="A57" s="391"/>
      <c r="B57" s="386" t="s">
        <v>44</v>
      </c>
      <c r="C57" s="387" t="s">
        <v>44</v>
      </c>
      <c r="D57" s="388" t="s">
        <v>44</v>
      </c>
      <c r="E57" s="388" t="s">
        <v>44</v>
      </c>
      <c r="F57" s="387" t="s">
        <v>44</v>
      </c>
      <c r="G57" s="389" t="s">
        <v>44</v>
      </c>
      <c r="H57" s="386" t="s">
        <v>44</v>
      </c>
    </row>
    <row r="58" ht="15.75" customHeight="1">
      <c r="A58" s="391"/>
      <c r="B58" s="386" t="s">
        <v>44</v>
      </c>
      <c r="C58" s="387" t="s">
        <v>44</v>
      </c>
      <c r="D58" s="388" t="s">
        <v>44</v>
      </c>
      <c r="E58" s="388" t="s">
        <v>44</v>
      </c>
      <c r="F58" s="387" t="s">
        <v>44</v>
      </c>
      <c r="G58" s="389" t="s">
        <v>44</v>
      </c>
      <c r="H58" s="386" t="s">
        <v>44</v>
      </c>
    </row>
    <row r="59" ht="15.75" customHeight="1">
      <c r="A59" s="391"/>
      <c r="B59" s="386" t="s">
        <v>44</v>
      </c>
      <c r="C59" s="387" t="s">
        <v>44</v>
      </c>
      <c r="D59" s="388" t="s">
        <v>44</v>
      </c>
      <c r="E59" s="388" t="s">
        <v>44</v>
      </c>
      <c r="F59" s="387" t="s">
        <v>44</v>
      </c>
      <c r="G59" s="389" t="s">
        <v>44</v>
      </c>
      <c r="H59" s="386" t="s">
        <v>44</v>
      </c>
    </row>
    <row r="60" ht="15.75" customHeight="1">
      <c r="A60" s="391"/>
      <c r="B60" s="386" t="s">
        <v>44</v>
      </c>
      <c r="C60" s="387" t="s">
        <v>44</v>
      </c>
      <c r="D60" s="388" t="s">
        <v>44</v>
      </c>
      <c r="E60" s="388" t="s">
        <v>44</v>
      </c>
      <c r="F60" s="387" t="s">
        <v>44</v>
      </c>
      <c r="G60" s="389" t="s">
        <v>44</v>
      </c>
      <c r="H60" s="386" t="s">
        <v>44</v>
      </c>
    </row>
    <row r="61" ht="15.75" customHeight="1">
      <c r="A61" s="391"/>
      <c r="B61" s="386" t="s">
        <v>44</v>
      </c>
      <c r="C61" s="387" t="s">
        <v>44</v>
      </c>
      <c r="D61" s="388" t="s">
        <v>44</v>
      </c>
      <c r="E61" s="388" t="s">
        <v>44</v>
      </c>
      <c r="F61" s="387" t="s">
        <v>44</v>
      </c>
      <c r="G61" s="389" t="s">
        <v>44</v>
      </c>
      <c r="H61" s="386" t="s">
        <v>44</v>
      </c>
    </row>
    <row r="62" ht="15.75" customHeight="1">
      <c r="A62" s="391"/>
      <c r="B62" s="386" t="s">
        <v>44</v>
      </c>
      <c r="C62" s="387" t="s">
        <v>44</v>
      </c>
      <c r="D62" s="388" t="s">
        <v>44</v>
      </c>
      <c r="E62" s="388" t="s">
        <v>44</v>
      </c>
      <c r="F62" s="387" t="s">
        <v>44</v>
      </c>
      <c r="G62" s="389" t="s">
        <v>44</v>
      </c>
      <c r="H62" s="386" t="s">
        <v>44</v>
      </c>
    </row>
    <row r="63" ht="15.75" customHeight="1">
      <c r="A63" s="391"/>
      <c r="B63" s="386" t="s">
        <v>44</v>
      </c>
      <c r="C63" s="387" t="s">
        <v>44</v>
      </c>
      <c r="D63" s="388" t="s">
        <v>44</v>
      </c>
      <c r="E63" s="388" t="s">
        <v>44</v>
      </c>
      <c r="F63" s="387" t="s">
        <v>44</v>
      </c>
      <c r="G63" s="389" t="s">
        <v>44</v>
      </c>
      <c r="H63" s="386" t="s">
        <v>44</v>
      </c>
    </row>
    <row r="64" ht="15.75" customHeight="1">
      <c r="A64" s="391"/>
      <c r="B64" s="386" t="s">
        <v>44</v>
      </c>
      <c r="C64" s="387" t="s">
        <v>44</v>
      </c>
      <c r="D64" s="388" t="s">
        <v>44</v>
      </c>
      <c r="E64" s="388" t="s">
        <v>44</v>
      </c>
      <c r="F64" s="387" t="s">
        <v>44</v>
      </c>
      <c r="G64" s="389" t="s">
        <v>44</v>
      </c>
      <c r="H64" s="386" t="s">
        <v>44</v>
      </c>
    </row>
    <row r="65" ht="15.75" customHeight="1">
      <c r="A65" s="391"/>
      <c r="B65" s="386" t="s">
        <v>44</v>
      </c>
      <c r="C65" s="387" t="s">
        <v>44</v>
      </c>
      <c r="D65" s="388" t="s">
        <v>44</v>
      </c>
      <c r="E65" s="388" t="s">
        <v>44</v>
      </c>
      <c r="F65" s="387" t="s">
        <v>44</v>
      </c>
      <c r="G65" s="389" t="s">
        <v>44</v>
      </c>
      <c r="H65" s="386" t="s">
        <v>44</v>
      </c>
    </row>
    <row r="66" ht="15.75" customHeight="1">
      <c r="A66" s="391"/>
      <c r="B66" s="386" t="s">
        <v>44</v>
      </c>
      <c r="C66" s="387" t="s">
        <v>44</v>
      </c>
      <c r="D66" s="388" t="s">
        <v>44</v>
      </c>
      <c r="E66" s="388" t="s">
        <v>44</v>
      </c>
      <c r="F66" s="387" t="s">
        <v>44</v>
      </c>
      <c r="G66" s="389" t="s">
        <v>44</v>
      </c>
      <c r="H66" s="386" t="s">
        <v>44</v>
      </c>
    </row>
    <row r="67" ht="15.75" customHeight="1">
      <c r="A67" s="391"/>
      <c r="B67" s="386" t="s">
        <v>44</v>
      </c>
      <c r="C67" s="387" t="s">
        <v>44</v>
      </c>
      <c r="D67" s="388" t="s">
        <v>44</v>
      </c>
      <c r="E67" s="388" t="s">
        <v>44</v>
      </c>
      <c r="F67" s="387" t="s">
        <v>44</v>
      </c>
      <c r="G67" s="389" t="s">
        <v>44</v>
      </c>
      <c r="H67" s="386" t="s">
        <v>44</v>
      </c>
    </row>
    <row r="68" ht="15.75" customHeight="1">
      <c r="A68" s="391"/>
      <c r="B68" s="386" t="s">
        <v>44</v>
      </c>
      <c r="C68" s="387" t="s">
        <v>44</v>
      </c>
      <c r="D68" s="388" t="s">
        <v>44</v>
      </c>
      <c r="E68" s="388" t="s">
        <v>44</v>
      </c>
      <c r="F68" s="387" t="s">
        <v>44</v>
      </c>
      <c r="G68" s="389" t="s">
        <v>44</v>
      </c>
      <c r="H68" s="386" t="s">
        <v>44</v>
      </c>
    </row>
    <row r="69" ht="15.75" customHeight="1">
      <c r="A69" s="391"/>
      <c r="B69" s="386" t="s">
        <v>44</v>
      </c>
      <c r="C69" s="387" t="s">
        <v>44</v>
      </c>
      <c r="D69" s="388" t="s">
        <v>44</v>
      </c>
      <c r="E69" s="388" t="s">
        <v>44</v>
      </c>
      <c r="F69" s="387" t="s">
        <v>44</v>
      </c>
      <c r="G69" s="389" t="s">
        <v>44</v>
      </c>
      <c r="H69" s="386" t="s">
        <v>44</v>
      </c>
    </row>
    <row r="70" ht="15.75" customHeight="1">
      <c r="A70" s="391"/>
      <c r="B70" s="386" t="s">
        <v>44</v>
      </c>
      <c r="C70" s="387" t="s">
        <v>44</v>
      </c>
      <c r="D70" s="388" t="s">
        <v>44</v>
      </c>
      <c r="E70" s="388" t="s">
        <v>44</v>
      </c>
      <c r="F70" s="387" t="s">
        <v>44</v>
      </c>
      <c r="G70" s="389" t="s">
        <v>44</v>
      </c>
      <c r="H70" s="386" t="s">
        <v>44</v>
      </c>
    </row>
    <row r="71" ht="15.75" customHeight="1">
      <c r="A71" s="391"/>
      <c r="B71" s="386" t="s">
        <v>44</v>
      </c>
      <c r="C71" s="387" t="s">
        <v>44</v>
      </c>
      <c r="D71" s="388" t="s">
        <v>44</v>
      </c>
      <c r="E71" s="388" t="s">
        <v>44</v>
      </c>
      <c r="F71" s="387" t="s">
        <v>44</v>
      </c>
      <c r="G71" s="389" t="s">
        <v>44</v>
      </c>
      <c r="H71" s="386" t="s">
        <v>44</v>
      </c>
    </row>
    <row r="72" ht="15.75" customHeight="1">
      <c r="A72" s="391"/>
      <c r="B72" s="386" t="s">
        <v>44</v>
      </c>
      <c r="C72" s="387" t="s">
        <v>44</v>
      </c>
      <c r="D72" s="388" t="s">
        <v>44</v>
      </c>
      <c r="E72" s="388" t="s">
        <v>44</v>
      </c>
      <c r="F72" s="387" t="s">
        <v>44</v>
      </c>
      <c r="G72" s="389" t="s">
        <v>44</v>
      </c>
      <c r="H72" s="386" t="s">
        <v>44</v>
      </c>
    </row>
    <row r="73" ht="15.75" customHeight="1">
      <c r="A73" s="391"/>
      <c r="B73" s="386" t="s">
        <v>44</v>
      </c>
      <c r="C73" s="387" t="s">
        <v>44</v>
      </c>
      <c r="D73" s="388" t="s">
        <v>44</v>
      </c>
      <c r="E73" s="388" t="s">
        <v>44</v>
      </c>
      <c r="F73" s="387" t="s">
        <v>44</v>
      </c>
      <c r="G73" s="389" t="s">
        <v>44</v>
      </c>
      <c r="H73" s="386" t="s">
        <v>44</v>
      </c>
    </row>
    <row r="74" ht="15.75" customHeight="1">
      <c r="A74" s="391"/>
      <c r="B74" s="386" t="s">
        <v>44</v>
      </c>
      <c r="C74" s="387" t="s">
        <v>44</v>
      </c>
      <c r="D74" s="388" t="s">
        <v>44</v>
      </c>
      <c r="E74" s="388" t="s">
        <v>44</v>
      </c>
      <c r="F74" s="387" t="s">
        <v>44</v>
      </c>
      <c r="G74" s="389" t="s">
        <v>44</v>
      </c>
      <c r="H74" s="386" t="s">
        <v>44</v>
      </c>
    </row>
    <row r="75" ht="15.75" customHeight="1">
      <c r="A75" s="391"/>
      <c r="B75" s="386" t="s">
        <v>44</v>
      </c>
      <c r="C75" s="387" t="s">
        <v>44</v>
      </c>
      <c r="D75" s="388" t="s">
        <v>44</v>
      </c>
      <c r="E75" s="388" t="s">
        <v>44</v>
      </c>
      <c r="F75" s="387" t="s">
        <v>44</v>
      </c>
      <c r="G75" s="389" t="s">
        <v>44</v>
      </c>
      <c r="H75" s="386" t="s">
        <v>44</v>
      </c>
    </row>
    <row r="76" ht="15.75" customHeight="1">
      <c r="A76" s="391"/>
      <c r="B76" s="386" t="s">
        <v>44</v>
      </c>
      <c r="C76" s="387" t="s">
        <v>44</v>
      </c>
      <c r="D76" s="388" t="s">
        <v>44</v>
      </c>
      <c r="E76" s="388" t="s">
        <v>44</v>
      </c>
      <c r="F76" s="387" t="s">
        <v>44</v>
      </c>
      <c r="G76" s="389" t="s">
        <v>44</v>
      </c>
      <c r="H76" s="386" t="s">
        <v>44</v>
      </c>
    </row>
    <row r="77" ht="15.75" customHeight="1">
      <c r="A77" s="391"/>
      <c r="B77" s="386" t="s">
        <v>44</v>
      </c>
      <c r="C77" s="387" t="s">
        <v>44</v>
      </c>
      <c r="D77" s="388" t="s">
        <v>44</v>
      </c>
      <c r="E77" s="388" t="s">
        <v>44</v>
      </c>
      <c r="F77" s="387" t="s">
        <v>44</v>
      </c>
      <c r="G77" s="389" t="s">
        <v>44</v>
      </c>
      <c r="H77" s="386" t="s">
        <v>44</v>
      </c>
    </row>
    <row r="78" ht="15.75" customHeight="1">
      <c r="A78" s="391"/>
      <c r="B78" s="386" t="s">
        <v>44</v>
      </c>
      <c r="C78" s="387" t="s">
        <v>44</v>
      </c>
      <c r="D78" s="388" t="s">
        <v>44</v>
      </c>
      <c r="E78" s="388" t="s">
        <v>44</v>
      </c>
      <c r="F78" s="387" t="s">
        <v>44</v>
      </c>
      <c r="G78" s="389" t="s">
        <v>44</v>
      </c>
      <c r="H78" s="386" t="s">
        <v>44</v>
      </c>
    </row>
    <row r="79" ht="15.75" customHeight="1">
      <c r="A79" s="391"/>
      <c r="B79" s="386" t="s">
        <v>44</v>
      </c>
      <c r="C79" s="387" t="s">
        <v>44</v>
      </c>
      <c r="D79" s="388" t="s">
        <v>44</v>
      </c>
      <c r="E79" s="388" t="s">
        <v>44</v>
      </c>
      <c r="F79" s="387" t="s">
        <v>44</v>
      </c>
      <c r="G79" s="389" t="s">
        <v>44</v>
      </c>
      <c r="H79" s="386" t="s">
        <v>44</v>
      </c>
    </row>
    <row r="80" ht="15.75" customHeight="1">
      <c r="A80" s="391"/>
      <c r="B80" s="386" t="s">
        <v>44</v>
      </c>
      <c r="C80" s="387" t="s">
        <v>44</v>
      </c>
      <c r="D80" s="388" t="s">
        <v>44</v>
      </c>
      <c r="E80" s="388" t="s">
        <v>44</v>
      </c>
      <c r="F80" s="387" t="s">
        <v>44</v>
      </c>
      <c r="G80" s="389" t="s">
        <v>44</v>
      </c>
      <c r="H80" s="386" t="s">
        <v>44</v>
      </c>
    </row>
    <row r="81" ht="15.75" customHeight="1">
      <c r="A81" s="391"/>
      <c r="B81" s="386" t="s">
        <v>44</v>
      </c>
      <c r="C81" s="387" t="s">
        <v>44</v>
      </c>
      <c r="D81" s="388" t="s">
        <v>44</v>
      </c>
      <c r="E81" s="388" t="s">
        <v>44</v>
      </c>
      <c r="F81" s="387" t="s">
        <v>44</v>
      </c>
      <c r="G81" s="389" t="s">
        <v>44</v>
      </c>
      <c r="H81" s="386" t="s">
        <v>44</v>
      </c>
    </row>
    <row r="82" ht="15.75" customHeight="1">
      <c r="A82" s="391"/>
      <c r="B82" s="386" t="s">
        <v>44</v>
      </c>
      <c r="C82" s="387" t="s">
        <v>44</v>
      </c>
      <c r="D82" s="388" t="s">
        <v>44</v>
      </c>
      <c r="E82" s="388" t="s">
        <v>44</v>
      </c>
      <c r="F82" s="387" t="s">
        <v>44</v>
      </c>
      <c r="G82" s="389" t="s">
        <v>44</v>
      </c>
      <c r="H82" s="386" t="s">
        <v>44</v>
      </c>
    </row>
    <row r="83" ht="15.75" customHeight="1">
      <c r="A83" s="391"/>
      <c r="B83" s="386" t="s">
        <v>44</v>
      </c>
      <c r="C83" s="387" t="s">
        <v>44</v>
      </c>
      <c r="D83" s="388" t="s">
        <v>44</v>
      </c>
      <c r="E83" s="388" t="s">
        <v>44</v>
      </c>
      <c r="F83" s="387" t="s">
        <v>44</v>
      </c>
      <c r="G83" s="389" t="s">
        <v>44</v>
      </c>
      <c r="H83" s="386" t="s">
        <v>44</v>
      </c>
    </row>
    <row r="84" ht="15.75" customHeight="1">
      <c r="A84" s="391"/>
      <c r="B84" s="386" t="s">
        <v>44</v>
      </c>
      <c r="C84" s="387" t="s">
        <v>44</v>
      </c>
      <c r="D84" s="388" t="s">
        <v>44</v>
      </c>
      <c r="E84" s="388" t="s">
        <v>44</v>
      </c>
      <c r="F84" s="387" t="s">
        <v>44</v>
      </c>
      <c r="G84" s="389" t="s">
        <v>44</v>
      </c>
      <c r="H84" s="386" t="s">
        <v>44</v>
      </c>
    </row>
    <row r="85" ht="15.75" customHeight="1">
      <c r="A85" s="391"/>
      <c r="B85" s="386" t="s">
        <v>44</v>
      </c>
      <c r="C85" s="387" t="s">
        <v>44</v>
      </c>
      <c r="D85" s="388" t="s">
        <v>44</v>
      </c>
      <c r="E85" s="388" t="s">
        <v>44</v>
      </c>
      <c r="F85" s="387" t="s">
        <v>44</v>
      </c>
      <c r="G85" s="389" t="s">
        <v>44</v>
      </c>
      <c r="H85" s="386" t="s">
        <v>44</v>
      </c>
    </row>
    <row r="86" ht="15.75" customHeight="1">
      <c r="A86" s="391"/>
      <c r="B86" s="386" t="s">
        <v>44</v>
      </c>
      <c r="C86" s="387" t="s">
        <v>44</v>
      </c>
      <c r="D86" s="388" t="s">
        <v>44</v>
      </c>
      <c r="E86" s="388" t="s">
        <v>44</v>
      </c>
      <c r="F86" s="387" t="s">
        <v>44</v>
      </c>
      <c r="G86" s="389" t="s">
        <v>44</v>
      </c>
      <c r="H86" s="386" t="s">
        <v>44</v>
      </c>
    </row>
    <row r="87" ht="15.75" customHeight="1">
      <c r="A87" s="391"/>
      <c r="B87" s="386" t="s">
        <v>44</v>
      </c>
      <c r="C87" s="387" t="s">
        <v>44</v>
      </c>
      <c r="D87" s="388" t="s">
        <v>44</v>
      </c>
      <c r="E87" s="388" t="s">
        <v>44</v>
      </c>
      <c r="F87" s="387" t="s">
        <v>44</v>
      </c>
      <c r="G87" s="389" t="s">
        <v>44</v>
      </c>
      <c r="H87" s="386" t="s">
        <v>44</v>
      </c>
    </row>
    <row r="88" ht="15.75" customHeight="1">
      <c r="A88" s="391"/>
      <c r="B88" s="386" t="s">
        <v>44</v>
      </c>
      <c r="C88" s="387" t="s">
        <v>44</v>
      </c>
      <c r="D88" s="388" t="s">
        <v>44</v>
      </c>
      <c r="E88" s="388" t="s">
        <v>44</v>
      </c>
      <c r="F88" s="387" t="s">
        <v>44</v>
      </c>
      <c r="G88" s="389" t="s">
        <v>44</v>
      </c>
      <c r="H88" s="386" t="s">
        <v>44</v>
      </c>
    </row>
    <row r="89" ht="15.75" customHeight="1">
      <c r="A89" s="391"/>
      <c r="B89" s="386" t="s">
        <v>44</v>
      </c>
      <c r="C89" s="387" t="s">
        <v>44</v>
      </c>
      <c r="D89" s="388" t="s">
        <v>44</v>
      </c>
      <c r="E89" s="388" t="s">
        <v>44</v>
      </c>
      <c r="F89" s="387" t="s">
        <v>44</v>
      </c>
      <c r="G89" s="389" t="s">
        <v>44</v>
      </c>
      <c r="H89" s="386" t="s">
        <v>44</v>
      </c>
    </row>
    <row r="90" ht="15.75" customHeight="1">
      <c r="A90" s="391"/>
      <c r="B90" s="386" t="s">
        <v>44</v>
      </c>
      <c r="C90" s="387" t="s">
        <v>44</v>
      </c>
      <c r="D90" s="388" t="s">
        <v>44</v>
      </c>
      <c r="E90" s="388" t="s">
        <v>44</v>
      </c>
      <c r="F90" s="387" t="s">
        <v>44</v>
      </c>
      <c r="G90" s="389" t="s">
        <v>44</v>
      </c>
      <c r="H90" s="386" t="s">
        <v>44</v>
      </c>
    </row>
    <row r="91" ht="15.75" customHeight="1">
      <c r="A91" s="391"/>
      <c r="B91" s="386" t="s">
        <v>44</v>
      </c>
      <c r="C91" s="387" t="s">
        <v>44</v>
      </c>
      <c r="D91" s="388" t="s">
        <v>44</v>
      </c>
      <c r="E91" s="388" t="s">
        <v>44</v>
      </c>
      <c r="F91" s="387" t="s">
        <v>44</v>
      </c>
      <c r="G91" s="389" t="s">
        <v>44</v>
      </c>
      <c r="H91" s="386" t="s">
        <v>44</v>
      </c>
    </row>
    <row r="92" ht="15.75" customHeight="1">
      <c r="A92" s="391"/>
      <c r="B92" s="386" t="s">
        <v>44</v>
      </c>
      <c r="C92" s="387" t="s">
        <v>44</v>
      </c>
      <c r="D92" s="388" t="s">
        <v>44</v>
      </c>
      <c r="E92" s="388" t="s">
        <v>44</v>
      </c>
      <c r="F92" s="387" t="s">
        <v>44</v>
      </c>
      <c r="G92" s="389" t="s">
        <v>44</v>
      </c>
      <c r="H92" s="386" t="s">
        <v>44</v>
      </c>
    </row>
    <row r="93" ht="15.75" customHeight="1">
      <c r="A93" s="391"/>
      <c r="B93" s="386" t="s">
        <v>44</v>
      </c>
      <c r="C93" s="387" t="s">
        <v>44</v>
      </c>
      <c r="D93" s="388" t="s">
        <v>44</v>
      </c>
      <c r="E93" s="388" t="s">
        <v>44</v>
      </c>
      <c r="F93" s="387" t="s">
        <v>44</v>
      </c>
      <c r="G93" s="389" t="s">
        <v>44</v>
      </c>
      <c r="H93" s="386" t="s">
        <v>44</v>
      </c>
    </row>
    <row r="94" ht="15.75" customHeight="1">
      <c r="A94" s="391"/>
      <c r="B94" s="386" t="s">
        <v>44</v>
      </c>
      <c r="C94" s="387" t="s">
        <v>44</v>
      </c>
      <c r="D94" s="388" t="s">
        <v>44</v>
      </c>
      <c r="E94" s="388" t="s">
        <v>44</v>
      </c>
      <c r="F94" s="387" t="s">
        <v>44</v>
      </c>
      <c r="G94" s="389" t="s">
        <v>44</v>
      </c>
      <c r="H94" s="386" t="s">
        <v>44</v>
      </c>
    </row>
    <row r="95" ht="15.75" customHeight="1">
      <c r="A95" s="391"/>
      <c r="B95" s="386" t="s">
        <v>44</v>
      </c>
      <c r="C95" s="387" t="s">
        <v>44</v>
      </c>
      <c r="D95" s="388" t="s">
        <v>44</v>
      </c>
      <c r="E95" s="388" t="s">
        <v>44</v>
      </c>
      <c r="F95" s="387" t="s">
        <v>44</v>
      </c>
      <c r="G95" s="389" t="s">
        <v>44</v>
      </c>
      <c r="H95" s="386" t="s">
        <v>44</v>
      </c>
    </row>
    <row r="96" ht="15.75" customHeight="1">
      <c r="A96" s="391"/>
      <c r="B96" s="386" t="s">
        <v>44</v>
      </c>
      <c r="C96" s="387" t="s">
        <v>44</v>
      </c>
      <c r="D96" s="388" t="s">
        <v>44</v>
      </c>
      <c r="E96" s="388" t="s">
        <v>44</v>
      </c>
      <c r="F96" s="387" t="s">
        <v>44</v>
      </c>
      <c r="G96" s="389" t="s">
        <v>44</v>
      </c>
      <c r="H96" s="386" t="s">
        <v>44</v>
      </c>
    </row>
    <row r="97" ht="15.75" customHeight="1">
      <c r="A97" s="391"/>
      <c r="B97" s="386" t="s">
        <v>44</v>
      </c>
      <c r="C97" s="387" t="s">
        <v>44</v>
      </c>
      <c r="D97" s="388" t="s">
        <v>44</v>
      </c>
      <c r="E97" s="388" t="s">
        <v>44</v>
      </c>
      <c r="F97" s="387" t="s">
        <v>44</v>
      </c>
      <c r="G97" s="389" t="s">
        <v>44</v>
      </c>
      <c r="H97" s="386" t="s">
        <v>44</v>
      </c>
    </row>
    <row r="98" ht="15.75" customHeight="1">
      <c r="A98" s="391"/>
      <c r="B98" s="386" t="s">
        <v>44</v>
      </c>
      <c r="C98" s="387" t="s">
        <v>44</v>
      </c>
      <c r="D98" s="388" t="s">
        <v>44</v>
      </c>
      <c r="E98" s="388" t="s">
        <v>44</v>
      </c>
      <c r="F98" s="387" t="s">
        <v>44</v>
      </c>
      <c r="G98" s="389" t="s">
        <v>44</v>
      </c>
      <c r="H98" s="386" t="s">
        <v>44</v>
      </c>
    </row>
    <row r="99" ht="15.75" customHeight="1">
      <c r="A99" s="391"/>
      <c r="B99" s="386" t="s">
        <v>44</v>
      </c>
      <c r="C99" s="387" t="s">
        <v>44</v>
      </c>
      <c r="D99" s="388" t="s">
        <v>44</v>
      </c>
      <c r="E99" s="388" t="s">
        <v>44</v>
      </c>
      <c r="F99" s="387" t="s">
        <v>44</v>
      </c>
      <c r="G99" s="389" t="s">
        <v>44</v>
      </c>
      <c r="H99" s="386" t="s">
        <v>44</v>
      </c>
    </row>
    <row r="100" ht="15.75" customHeight="1">
      <c r="A100" s="391"/>
      <c r="B100" s="386" t="s">
        <v>44</v>
      </c>
      <c r="C100" s="387" t="s">
        <v>44</v>
      </c>
      <c r="D100" s="388" t="s">
        <v>44</v>
      </c>
      <c r="E100" s="388" t="s">
        <v>44</v>
      </c>
      <c r="F100" s="387" t="s">
        <v>44</v>
      </c>
      <c r="G100" s="389" t="s">
        <v>44</v>
      </c>
      <c r="H100" s="386" t="s">
        <v>44</v>
      </c>
    </row>
    <row r="101" ht="15.75" customHeight="1">
      <c r="A101" s="391"/>
      <c r="B101" s="386" t="s">
        <v>44</v>
      </c>
      <c r="C101" s="387" t="s">
        <v>44</v>
      </c>
      <c r="D101" s="388" t="s">
        <v>44</v>
      </c>
      <c r="E101" s="388" t="s">
        <v>44</v>
      </c>
      <c r="F101" s="387" t="s">
        <v>44</v>
      </c>
      <c r="G101" s="389" t="s">
        <v>44</v>
      </c>
      <c r="H101" s="386" t="s">
        <v>44</v>
      </c>
    </row>
    <row r="102" ht="15.75" customHeight="1">
      <c r="A102" s="391"/>
      <c r="B102" s="386" t="s">
        <v>44</v>
      </c>
      <c r="C102" s="387" t="s">
        <v>44</v>
      </c>
      <c r="D102" s="388" t="s">
        <v>44</v>
      </c>
      <c r="E102" s="388" t="s">
        <v>44</v>
      </c>
      <c r="F102" s="387" t="s">
        <v>44</v>
      </c>
      <c r="G102" s="389" t="s">
        <v>44</v>
      </c>
      <c r="H102" s="386" t="s">
        <v>44</v>
      </c>
    </row>
    <row r="103" ht="15.75" customHeight="1">
      <c r="A103" s="391"/>
      <c r="B103" s="386" t="s">
        <v>44</v>
      </c>
      <c r="C103" s="387" t="s">
        <v>44</v>
      </c>
      <c r="D103" s="388" t="s">
        <v>44</v>
      </c>
      <c r="E103" s="388" t="s">
        <v>44</v>
      </c>
      <c r="F103" s="387" t="s">
        <v>44</v>
      </c>
      <c r="G103" s="389" t="s">
        <v>44</v>
      </c>
      <c r="H103" s="386" t="s">
        <v>44</v>
      </c>
    </row>
    <row r="104" ht="15.75" customHeight="1">
      <c r="A104" s="391"/>
      <c r="B104" s="386" t="s">
        <v>44</v>
      </c>
      <c r="C104" s="387" t="s">
        <v>44</v>
      </c>
      <c r="D104" s="388" t="s">
        <v>44</v>
      </c>
      <c r="E104" s="388" t="s">
        <v>44</v>
      </c>
      <c r="F104" s="387" t="s">
        <v>44</v>
      </c>
      <c r="G104" s="389" t="s">
        <v>44</v>
      </c>
      <c r="H104" s="386" t="s">
        <v>44</v>
      </c>
    </row>
    <row r="105" ht="15.75" customHeight="1">
      <c r="A105" s="391"/>
      <c r="B105" s="386" t="s">
        <v>44</v>
      </c>
      <c r="C105" s="387" t="s">
        <v>44</v>
      </c>
      <c r="D105" s="388" t="s">
        <v>44</v>
      </c>
      <c r="E105" s="388" t="s">
        <v>44</v>
      </c>
      <c r="F105" s="387" t="s">
        <v>44</v>
      </c>
      <c r="G105" s="389" t="s">
        <v>44</v>
      </c>
      <c r="H105" s="386" t="s">
        <v>44</v>
      </c>
    </row>
    <row r="106" ht="15.75" customHeight="1">
      <c r="A106" s="391"/>
      <c r="B106" s="386" t="s">
        <v>44</v>
      </c>
      <c r="C106" s="387" t="s">
        <v>44</v>
      </c>
      <c r="D106" s="388" t="s">
        <v>44</v>
      </c>
      <c r="E106" s="388" t="s">
        <v>44</v>
      </c>
      <c r="F106" s="387" t="s">
        <v>44</v>
      </c>
      <c r="G106" s="389" t="s">
        <v>44</v>
      </c>
      <c r="H106" s="386" t="s">
        <v>44</v>
      </c>
    </row>
    <row r="107" ht="15.75" customHeight="1">
      <c r="A107" s="391"/>
      <c r="B107" s="386" t="s">
        <v>44</v>
      </c>
      <c r="C107" s="387" t="s">
        <v>44</v>
      </c>
      <c r="D107" s="388" t="s">
        <v>44</v>
      </c>
      <c r="E107" s="388" t="s">
        <v>44</v>
      </c>
      <c r="F107" s="387" t="s">
        <v>44</v>
      </c>
      <c r="G107" s="389" t="s">
        <v>44</v>
      </c>
      <c r="H107" s="386" t="s">
        <v>44</v>
      </c>
    </row>
    <row r="108" ht="15.75" customHeight="1">
      <c r="A108" s="391"/>
      <c r="B108" s="386" t="s">
        <v>44</v>
      </c>
      <c r="C108" s="387" t="s">
        <v>44</v>
      </c>
      <c r="D108" s="388" t="s">
        <v>44</v>
      </c>
      <c r="E108" s="388" t="s">
        <v>44</v>
      </c>
      <c r="F108" s="387" t="s">
        <v>44</v>
      </c>
      <c r="G108" s="389" t="s">
        <v>44</v>
      </c>
      <c r="H108" s="386" t="s">
        <v>44</v>
      </c>
    </row>
    <row r="109" ht="15.75" customHeight="1">
      <c r="A109" s="391"/>
      <c r="B109" s="386" t="s">
        <v>44</v>
      </c>
      <c r="C109" s="387" t="s">
        <v>44</v>
      </c>
      <c r="D109" s="388" t="s">
        <v>44</v>
      </c>
      <c r="E109" s="388" t="s">
        <v>44</v>
      </c>
      <c r="F109" s="387" t="s">
        <v>44</v>
      </c>
      <c r="G109" s="389" t="s">
        <v>44</v>
      </c>
      <c r="H109" s="386" t="s">
        <v>44</v>
      </c>
    </row>
    <row r="110" ht="15.75" customHeight="1">
      <c r="A110" s="391"/>
      <c r="B110" s="386" t="s">
        <v>44</v>
      </c>
      <c r="C110" s="387" t="s">
        <v>44</v>
      </c>
      <c r="D110" s="388" t="s">
        <v>44</v>
      </c>
      <c r="E110" s="388" t="s">
        <v>44</v>
      </c>
      <c r="F110" s="387" t="s">
        <v>44</v>
      </c>
      <c r="G110" s="389" t="s">
        <v>44</v>
      </c>
      <c r="H110" s="386" t="s">
        <v>44</v>
      </c>
    </row>
    <row r="111" ht="15.75" customHeight="1">
      <c r="A111" s="391"/>
      <c r="B111" s="386" t="s">
        <v>44</v>
      </c>
      <c r="C111" s="387" t="s">
        <v>44</v>
      </c>
      <c r="D111" s="388" t="s">
        <v>44</v>
      </c>
      <c r="E111" s="388" t="s">
        <v>44</v>
      </c>
      <c r="F111" s="387" t="s">
        <v>44</v>
      </c>
      <c r="G111" s="389" t="s">
        <v>44</v>
      </c>
      <c r="H111" s="386" t="s">
        <v>44</v>
      </c>
    </row>
    <row r="112" ht="15.75" customHeight="1">
      <c r="A112" s="391"/>
      <c r="B112" s="386" t="s">
        <v>44</v>
      </c>
      <c r="C112" s="387" t="s">
        <v>44</v>
      </c>
      <c r="D112" s="388" t="s">
        <v>44</v>
      </c>
      <c r="E112" s="388" t="s">
        <v>44</v>
      </c>
      <c r="F112" s="387" t="s">
        <v>44</v>
      </c>
      <c r="G112" s="389" t="s">
        <v>44</v>
      </c>
      <c r="H112" s="386" t="s">
        <v>44</v>
      </c>
    </row>
    <row r="113" ht="15.75" customHeight="1">
      <c r="A113" s="391"/>
      <c r="B113" s="386" t="s">
        <v>44</v>
      </c>
      <c r="C113" s="387" t="s">
        <v>44</v>
      </c>
      <c r="D113" s="388" t="s">
        <v>44</v>
      </c>
      <c r="E113" s="388" t="s">
        <v>44</v>
      </c>
      <c r="F113" s="387" t="s">
        <v>44</v>
      </c>
      <c r="G113" s="389" t="s">
        <v>44</v>
      </c>
      <c r="H113" s="386" t="s">
        <v>44</v>
      </c>
    </row>
    <row r="114" ht="15.75" customHeight="1">
      <c r="A114" s="391"/>
      <c r="B114" s="386" t="s">
        <v>44</v>
      </c>
      <c r="C114" s="387" t="s">
        <v>44</v>
      </c>
      <c r="D114" s="388" t="s">
        <v>44</v>
      </c>
      <c r="E114" s="388" t="s">
        <v>44</v>
      </c>
      <c r="F114" s="387" t="s">
        <v>44</v>
      </c>
      <c r="G114" s="389" t="s">
        <v>44</v>
      </c>
      <c r="H114" s="386" t="s">
        <v>44</v>
      </c>
    </row>
    <row r="115" ht="15.75" customHeight="1">
      <c r="A115" s="391"/>
      <c r="B115" s="386" t="s">
        <v>44</v>
      </c>
      <c r="C115" s="387" t="s">
        <v>44</v>
      </c>
      <c r="D115" s="388" t="s">
        <v>44</v>
      </c>
      <c r="E115" s="388" t="s">
        <v>44</v>
      </c>
      <c r="F115" s="387" t="s">
        <v>44</v>
      </c>
      <c r="G115" s="389" t="s">
        <v>44</v>
      </c>
      <c r="H115" s="386" t="s">
        <v>44</v>
      </c>
    </row>
    <row r="116" ht="15.75" customHeight="1">
      <c r="A116" s="391"/>
      <c r="B116" s="386" t="s">
        <v>44</v>
      </c>
      <c r="C116" s="387" t="s">
        <v>44</v>
      </c>
      <c r="D116" s="388" t="s">
        <v>44</v>
      </c>
      <c r="E116" s="388" t="s">
        <v>44</v>
      </c>
      <c r="F116" s="387" t="s">
        <v>44</v>
      </c>
      <c r="G116" s="389" t="s">
        <v>44</v>
      </c>
      <c r="H116" s="386" t="s">
        <v>44</v>
      </c>
    </row>
    <row r="117" ht="15.75" customHeight="1">
      <c r="A117" s="391"/>
      <c r="B117" s="386" t="s">
        <v>44</v>
      </c>
      <c r="C117" s="387" t="s">
        <v>44</v>
      </c>
      <c r="D117" s="388" t="s">
        <v>44</v>
      </c>
      <c r="E117" s="388" t="s">
        <v>44</v>
      </c>
      <c r="F117" s="387" t="s">
        <v>44</v>
      </c>
      <c r="G117" s="389" t="s">
        <v>44</v>
      </c>
      <c r="H117" s="386" t="s">
        <v>44</v>
      </c>
    </row>
    <row r="118" ht="15.75" customHeight="1">
      <c r="A118" s="391"/>
      <c r="B118" s="386" t="s">
        <v>44</v>
      </c>
      <c r="C118" s="387" t="s">
        <v>44</v>
      </c>
      <c r="D118" s="388" t="s">
        <v>44</v>
      </c>
      <c r="E118" s="388" t="s">
        <v>44</v>
      </c>
      <c r="F118" s="387" t="s">
        <v>44</v>
      </c>
      <c r="G118" s="389" t="s">
        <v>44</v>
      </c>
      <c r="H118" s="386" t="s">
        <v>44</v>
      </c>
    </row>
    <row r="119" ht="15.75" customHeight="1">
      <c r="A119" s="391"/>
      <c r="B119" s="386" t="s">
        <v>44</v>
      </c>
      <c r="C119" s="387" t="s">
        <v>44</v>
      </c>
      <c r="D119" s="388" t="s">
        <v>44</v>
      </c>
      <c r="E119" s="388" t="s">
        <v>44</v>
      </c>
      <c r="F119" s="387" t="s">
        <v>44</v>
      </c>
      <c r="G119" s="389" t="s">
        <v>44</v>
      </c>
      <c r="H119" s="386" t="s">
        <v>44</v>
      </c>
    </row>
    <row r="120" ht="15.75" customHeight="1">
      <c r="A120" s="391"/>
      <c r="B120" s="386" t="s">
        <v>44</v>
      </c>
      <c r="C120" s="387" t="s">
        <v>44</v>
      </c>
      <c r="D120" s="388" t="s">
        <v>44</v>
      </c>
      <c r="E120" s="388" t="s">
        <v>44</v>
      </c>
      <c r="F120" s="387" t="s">
        <v>44</v>
      </c>
      <c r="G120" s="389" t="s">
        <v>44</v>
      </c>
      <c r="H120" s="386" t="s">
        <v>44</v>
      </c>
    </row>
    <row r="121" ht="15.75" customHeight="1">
      <c r="A121" s="391"/>
      <c r="B121" s="386" t="s">
        <v>44</v>
      </c>
      <c r="C121" s="387" t="s">
        <v>44</v>
      </c>
      <c r="D121" s="388" t="s">
        <v>44</v>
      </c>
      <c r="E121" s="388" t="s">
        <v>44</v>
      </c>
      <c r="F121" s="387" t="s">
        <v>44</v>
      </c>
      <c r="G121" s="389" t="s">
        <v>44</v>
      </c>
      <c r="H121" s="386" t="s">
        <v>44</v>
      </c>
    </row>
    <row r="122" ht="15.75" customHeight="1">
      <c r="A122" s="391"/>
      <c r="B122" s="386" t="s">
        <v>44</v>
      </c>
      <c r="C122" s="387" t="s">
        <v>44</v>
      </c>
      <c r="D122" s="388" t="s">
        <v>44</v>
      </c>
      <c r="E122" s="388" t="s">
        <v>44</v>
      </c>
      <c r="F122" s="387" t="s">
        <v>44</v>
      </c>
      <c r="G122" s="389" t="s">
        <v>44</v>
      </c>
      <c r="H122" s="386" t="s">
        <v>44</v>
      </c>
    </row>
    <row r="123" ht="15.75" customHeight="1">
      <c r="A123" s="391"/>
      <c r="B123" s="386" t="s">
        <v>44</v>
      </c>
      <c r="C123" s="387" t="s">
        <v>44</v>
      </c>
      <c r="D123" s="388" t="s">
        <v>44</v>
      </c>
      <c r="E123" s="388" t="s">
        <v>44</v>
      </c>
      <c r="F123" s="387" t="s">
        <v>44</v>
      </c>
      <c r="G123" s="389" t="s">
        <v>44</v>
      </c>
      <c r="H123" s="386" t="s">
        <v>44</v>
      </c>
    </row>
    <row r="124" ht="15.75" customHeight="1">
      <c r="A124" s="391"/>
      <c r="B124" s="386" t="s">
        <v>44</v>
      </c>
      <c r="C124" s="387" t="s">
        <v>44</v>
      </c>
      <c r="D124" s="388" t="s">
        <v>44</v>
      </c>
      <c r="E124" s="388" t="s">
        <v>44</v>
      </c>
      <c r="F124" s="387" t="s">
        <v>44</v>
      </c>
      <c r="G124" s="389" t="s">
        <v>44</v>
      </c>
      <c r="H124" s="386" t="s">
        <v>44</v>
      </c>
    </row>
    <row r="125" ht="15.75" customHeight="1">
      <c r="A125" s="391"/>
      <c r="B125" s="386" t="s">
        <v>44</v>
      </c>
      <c r="C125" s="387" t="s">
        <v>44</v>
      </c>
      <c r="D125" s="388" t="s">
        <v>44</v>
      </c>
      <c r="E125" s="388" t="s">
        <v>44</v>
      </c>
      <c r="F125" s="387" t="s">
        <v>44</v>
      </c>
      <c r="G125" s="389" t="s">
        <v>44</v>
      </c>
      <c r="H125" s="386" t="s">
        <v>44</v>
      </c>
    </row>
    <row r="126" ht="15.75" customHeight="1">
      <c r="A126" s="391"/>
      <c r="B126" s="386" t="s">
        <v>44</v>
      </c>
      <c r="C126" s="387" t="s">
        <v>44</v>
      </c>
      <c r="D126" s="388" t="s">
        <v>44</v>
      </c>
      <c r="E126" s="388" t="s">
        <v>44</v>
      </c>
      <c r="F126" s="387" t="s">
        <v>44</v>
      </c>
      <c r="G126" s="389" t="s">
        <v>44</v>
      </c>
      <c r="H126" s="386" t="s">
        <v>44</v>
      </c>
    </row>
    <row r="127" ht="15.75" customHeight="1">
      <c r="A127" s="391"/>
      <c r="B127" s="386" t="s">
        <v>44</v>
      </c>
      <c r="C127" s="387" t="s">
        <v>44</v>
      </c>
      <c r="D127" s="388" t="s">
        <v>44</v>
      </c>
      <c r="E127" s="388" t="s">
        <v>44</v>
      </c>
      <c r="F127" s="387" t="s">
        <v>44</v>
      </c>
      <c r="G127" s="389" t="s">
        <v>44</v>
      </c>
      <c r="H127" s="386" t="s">
        <v>44</v>
      </c>
    </row>
    <row r="128" ht="15.75" customHeight="1">
      <c r="A128" s="391"/>
      <c r="B128" s="386" t="s">
        <v>44</v>
      </c>
      <c r="C128" s="387" t="s">
        <v>44</v>
      </c>
      <c r="D128" s="388" t="s">
        <v>44</v>
      </c>
      <c r="E128" s="388" t="s">
        <v>44</v>
      </c>
      <c r="F128" s="387" t="s">
        <v>44</v>
      </c>
      <c r="G128" s="389" t="s">
        <v>44</v>
      </c>
      <c r="H128" s="386" t="s">
        <v>44</v>
      </c>
    </row>
    <row r="129" ht="15.75" customHeight="1">
      <c r="A129" s="391"/>
      <c r="B129" s="386" t="s">
        <v>44</v>
      </c>
      <c r="C129" s="387" t="s">
        <v>44</v>
      </c>
      <c r="D129" s="388" t="s">
        <v>44</v>
      </c>
      <c r="E129" s="388" t="s">
        <v>44</v>
      </c>
      <c r="F129" s="387" t="s">
        <v>44</v>
      </c>
      <c r="G129" s="389" t="s">
        <v>44</v>
      </c>
      <c r="H129" s="386" t="s">
        <v>44</v>
      </c>
    </row>
    <row r="130" ht="15.75" customHeight="1">
      <c r="A130" s="391"/>
      <c r="B130" s="386" t="s">
        <v>44</v>
      </c>
      <c r="C130" s="387" t="s">
        <v>44</v>
      </c>
      <c r="D130" s="388" t="s">
        <v>44</v>
      </c>
      <c r="E130" s="388" t="s">
        <v>44</v>
      </c>
      <c r="F130" s="387" t="s">
        <v>44</v>
      </c>
      <c r="G130" s="389" t="s">
        <v>44</v>
      </c>
      <c r="H130" s="386" t="s">
        <v>44</v>
      </c>
    </row>
    <row r="131" ht="15.75" customHeight="1">
      <c r="A131" s="391"/>
      <c r="B131" s="386" t="s">
        <v>44</v>
      </c>
      <c r="C131" s="387" t="s">
        <v>44</v>
      </c>
      <c r="D131" s="388" t="s">
        <v>44</v>
      </c>
      <c r="E131" s="388" t="s">
        <v>44</v>
      </c>
      <c r="F131" s="387" t="s">
        <v>44</v>
      </c>
      <c r="G131" s="389" t="s">
        <v>44</v>
      </c>
      <c r="H131" s="386" t="s">
        <v>44</v>
      </c>
    </row>
    <row r="132" ht="15.75" customHeight="1">
      <c r="A132" s="391"/>
      <c r="B132" s="386" t="s">
        <v>44</v>
      </c>
      <c r="C132" s="387" t="s">
        <v>44</v>
      </c>
      <c r="D132" s="388" t="s">
        <v>44</v>
      </c>
      <c r="E132" s="388" t="s">
        <v>44</v>
      </c>
      <c r="F132" s="387" t="s">
        <v>44</v>
      </c>
      <c r="G132" s="389" t="s">
        <v>44</v>
      </c>
      <c r="H132" s="386" t="s">
        <v>44</v>
      </c>
    </row>
    <row r="133" ht="15.75" customHeight="1">
      <c r="A133" s="391"/>
      <c r="B133" s="386" t="s">
        <v>44</v>
      </c>
      <c r="C133" s="387" t="s">
        <v>44</v>
      </c>
      <c r="D133" s="388" t="s">
        <v>44</v>
      </c>
      <c r="E133" s="388" t="s">
        <v>44</v>
      </c>
      <c r="F133" s="387" t="s">
        <v>44</v>
      </c>
      <c r="G133" s="389" t="s">
        <v>44</v>
      </c>
      <c r="H133" s="386" t="s">
        <v>44</v>
      </c>
    </row>
    <row r="134" ht="15.75" customHeight="1">
      <c r="A134" s="391"/>
      <c r="B134" s="386" t="s">
        <v>44</v>
      </c>
      <c r="C134" s="387" t="s">
        <v>44</v>
      </c>
      <c r="D134" s="388" t="s">
        <v>44</v>
      </c>
      <c r="E134" s="388" t="s">
        <v>44</v>
      </c>
      <c r="F134" s="387" t="s">
        <v>44</v>
      </c>
      <c r="G134" s="389" t="s">
        <v>44</v>
      </c>
      <c r="H134" s="386" t="s">
        <v>44</v>
      </c>
    </row>
    <row r="135" ht="15.75" customHeight="1">
      <c r="A135" s="391"/>
      <c r="B135" s="386" t="s">
        <v>44</v>
      </c>
      <c r="C135" s="387" t="s">
        <v>44</v>
      </c>
      <c r="D135" s="388" t="s">
        <v>44</v>
      </c>
      <c r="E135" s="388" t="s">
        <v>44</v>
      </c>
      <c r="F135" s="387" t="s">
        <v>44</v>
      </c>
      <c r="G135" s="389" t="s">
        <v>44</v>
      </c>
      <c r="H135" s="386" t="s">
        <v>44</v>
      </c>
    </row>
    <row r="136" ht="15.75" customHeight="1">
      <c r="A136" s="391"/>
      <c r="B136" s="386" t="s">
        <v>44</v>
      </c>
      <c r="C136" s="387" t="s">
        <v>44</v>
      </c>
      <c r="D136" s="388" t="s">
        <v>44</v>
      </c>
      <c r="E136" s="388" t="s">
        <v>44</v>
      </c>
      <c r="F136" s="387" t="s">
        <v>44</v>
      </c>
      <c r="G136" s="389" t="s">
        <v>44</v>
      </c>
      <c r="H136" s="386" t="s">
        <v>44</v>
      </c>
    </row>
    <row r="137" ht="15.75" customHeight="1">
      <c r="A137" s="391"/>
      <c r="B137" s="386" t="s">
        <v>44</v>
      </c>
      <c r="C137" s="387" t="s">
        <v>44</v>
      </c>
      <c r="D137" s="388" t="s">
        <v>44</v>
      </c>
      <c r="E137" s="388" t="s">
        <v>44</v>
      </c>
      <c r="F137" s="387" t="s">
        <v>44</v>
      </c>
      <c r="G137" s="389" t="s">
        <v>44</v>
      </c>
      <c r="H137" s="386" t="s">
        <v>44</v>
      </c>
    </row>
    <row r="138" ht="15.75" customHeight="1">
      <c r="A138" s="391"/>
      <c r="B138" s="386" t="s">
        <v>44</v>
      </c>
      <c r="C138" s="387" t="s">
        <v>44</v>
      </c>
      <c r="D138" s="388" t="s">
        <v>44</v>
      </c>
      <c r="E138" s="388" t="s">
        <v>44</v>
      </c>
      <c r="F138" s="387" t="s">
        <v>44</v>
      </c>
      <c r="G138" s="389" t="s">
        <v>44</v>
      </c>
      <c r="H138" s="386" t="s">
        <v>44</v>
      </c>
    </row>
    <row r="139" ht="15.75" customHeight="1">
      <c r="A139" s="391"/>
      <c r="B139" s="386" t="s">
        <v>44</v>
      </c>
      <c r="C139" s="387" t="s">
        <v>44</v>
      </c>
      <c r="D139" s="388" t="s">
        <v>44</v>
      </c>
      <c r="E139" s="388" t="s">
        <v>44</v>
      </c>
      <c r="F139" s="387" t="s">
        <v>44</v>
      </c>
      <c r="G139" s="389" t="s">
        <v>44</v>
      </c>
      <c r="H139" s="386" t="s">
        <v>44</v>
      </c>
    </row>
    <row r="140" ht="15.75" customHeight="1">
      <c r="A140" s="391"/>
      <c r="B140" s="386" t="s">
        <v>44</v>
      </c>
      <c r="C140" s="387" t="s">
        <v>44</v>
      </c>
      <c r="D140" s="388" t="s">
        <v>44</v>
      </c>
      <c r="E140" s="388" t="s">
        <v>44</v>
      </c>
      <c r="F140" s="387" t="s">
        <v>44</v>
      </c>
      <c r="G140" s="389" t="s">
        <v>44</v>
      </c>
      <c r="H140" s="386" t="s">
        <v>44</v>
      </c>
    </row>
    <row r="141" ht="15.75" customHeight="1">
      <c r="A141" s="391"/>
      <c r="B141" s="386" t="s">
        <v>44</v>
      </c>
      <c r="C141" s="387" t="s">
        <v>44</v>
      </c>
      <c r="D141" s="388" t="s">
        <v>44</v>
      </c>
      <c r="E141" s="388" t="s">
        <v>44</v>
      </c>
      <c r="F141" s="387" t="s">
        <v>44</v>
      </c>
      <c r="G141" s="389" t="s">
        <v>44</v>
      </c>
      <c r="H141" s="386" t="s">
        <v>44</v>
      </c>
    </row>
    <row r="142" ht="15.75" customHeight="1">
      <c r="A142" s="391"/>
      <c r="B142" s="386" t="s">
        <v>44</v>
      </c>
      <c r="C142" s="387" t="s">
        <v>44</v>
      </c>
      <c r="D142" s="388" t="s">
        <v>44</v>
      </c>
      <c r="E142" s="388" t="s">
        <v>44</v>
      </c>
      <c r="F142" s="387" t="s">
        <v>44</v>
      </c>
      <c r="G142" s="389" t="s">
        <v>44</v>
      </c>
      <c r="H142" s="386" t="s">
        <v>44</v>
      </c>
    </row>
    <row r="143" ht="15.75" customHeight="1">
      <c r="A143" s="391"/>
      <c r="B143" s="386" t="s">
        <v>44</v>
      </c>
      <c r="C143" s="387" t="s">
        <v>44</v>
      </c>
      <c r="D143" s="388" t="s">
        <v>44</v>
      </c>
      <c r="E143" s="388" t="s">
        <v>44</v>
      </c>
      <c r="F143" s="387" t="s">
        <v>44</v>
      </c>
      <c r="G143" s="389" t="s">
        <v>44</v>
      </c>
      <c r="H143" s="386" t="s">
        <v>44</v>
      </c>
    </row>
    <row r="144" ht="15.75" customHeight="1">
      <c r="A144" s="391"/>
      <c r="B144" s="386" t="s">
        <v>44</v>
      </c>
      <c r="C144" s="387" t="s">
        <v>44</v>
      </c>
      <c r="D144" s="388" t="s">
        <v>44</v>
      </c>
      <c r="E144" s="388" t="s">
        <v>44</v>
      </c>
      <c r="F144" s="387" t="s">
        <v>44</v>
      </c>
      <c r="G144" s="389" t="s">
        <v>44</v>
      </c>
      <c r="H144" s="386" t="s">
        <v>44</v>
      </c>
    </row>
    <row r="145" ht="15.75" customHeight="1">
      <c r="A145" s="391"/>
      <c r="B145" s="386" t="s">
        <v>44</v>
      </c>
      <c r="C145" s="387" t="s">
        <v>44</v>
      </c>
      <c r="D145" s="388" t="s">
        <v>44</v>
      </c>
      <c r="E145" s="388" t="s">
        <v>44</v>
      </c>
      <c r="F145" s="387" t="s">
        <v>44</v>
      </c>
      <c r="G145" s="389" t="s">
        <v>44</v>
      </c>
      <c r="H145" s="386" t="s">
        <v>44</v>
      </c>
    </row>
    <row r="146" ht="15.75" customHeight="1">
      <c r="A146" s="391"/>
      <c r="B146" s="386" t="s">
        <v>44</v>
      </c>
      <c r="C146" s="387" t="s">
        <v>44</v>
      </c>
      <c r="D146" s="388" t="s">
        <v>44</v>
      </c>
      <c r="E146" s="388" t="s">
        <v>44</v>
      </c>
      <c r="F146" s="387" t="s">
        <v>44</v>
      </c>
      <c r="G146" s="389" t="s">
        <v>44</v>
      </c>
      <c r="H146" s="386" t="s">
        <v>44</v>
      </c>
    </row>
    <row r="147" ht="15.75" customHeight="1">
      <c r="A147" s="391"/>
      <c r="B147" s="386" t="s">
        <v>44</v>
      </c>
      <c r="C147" s="387" t="s">
        <v>44</v>
      </c>
      <c r="D147" s="388" t="s">
        <v>44</v>
      </c>
      <c r="E147" s="388" t="s">
        <v>44</v>
      </c>
      <c r="F147" s="387" t="s">
        <v>44</v>
      </c>
      <c r="G147" s="389" t="s">
        <v>44</v>
      </c>
      <c r="H147" s="386" t="s">
        <v>44</v>
      </c>
    </row>
    <row r="148" ht="15.75" customHeight="1">
      <c r="A148" s="391"/>
      <c r="B148" s="386" t="s">
        <v>44</v>
      </c>
      <c r="C148" s="387" t="s">
        <v>44</v>
      </c>
      <c r="D148" s="388" t="s">
        <v>44</v>
      </c>
      <c r="E148" s="388" t="s">
        <v>44</v>
      </c>
      <c r="F148" s="387" t="s">
        <v>44</v>
      </c>
      <c r="G148" s="389" t="s">
        <v>44</v>
      </c>
      <c r="H148" s="386" t="s">
        <v>44</v>
      </c>
    </row>
    <row r="149" ht="15.75" customHeight="1">
      <c r="A149" s="391"/>
      <c r="B149" s="386" t="s">
        <v>44</v>
      </c>
      <c r="C149" s="387" t="s">
        <v>44</v>
      </c>
      <c r="D149" s="388" t="s">
        <v>44</v>
      </c>
      <c r="E149" s="388" t="s">
        <v>44</v>
      </c>
      <c r="F149" s="387" t="s">
        <v>44</v>
      </c>
      <c r="G149" s="389" t="s">
        <v>44</v>
      </c>
      <c r="H149" s="386" t="s">
        <v>44</v>
      </c>
    </row>
    <row r="150" ht="15.75" customHeight="1">
      <c r="A150" s="391"/>
      <c r="B150" s="386" t="s">
        <v>44</v>
      </c>
      <c r="C150" s="387" t="s">
        <v>44</v>
      </c>
      <c r="D150" s="388" t="s">
        <v>44</v>
      </c>
      <c r="E150" s="388" t="s">
        <v>44</v>
      </c>
      <c r="F150" s="387" t="s">
        <v>44</v>
      </c>
      <c r="G150" s="389" t="s">
        <v>44</v>
      </c>
      <c r="H150" s="386" t="s">
        <v>44</v>
      </c>
    </row>
    <row r="151" ht="15.75" customHeight="1">
      <c r="A151" s="391"/>
      <c r="B151" s="386" t="s">
        <v>44</v>
      </c>
      <c r="C151" s="387" t="s">
        <v>44</v>
      </c>
      <c r="D151" s="388" t="s">
        <v>44</v>
      </c>
      <c r="E151" s="388" t="s">
        <v>44</v>
      </c>
      <c r="F151" s="387" t="s">
        <v>44</v>
      </c>
      <c r="G151" s="389" t="s">
        <v>44</v>
      </c>
      <c r="H151" s="386" t="s">
        <v>44</v>
      </c>
    </row>
    <row r="152" ht="15.75" customHeight="1">
      <c r="A152" s="391"/>
      <c r="B152" s="386" t="s">
        <v>44</v>
      </c>
      <c r="C152" s="387" t="s">
        <v>44</v>
      </c>
      <c r="D152" s="388" t="s">
        <v>44</v>
      </c>
      <c r="E152" s="388" t="s">
        <v>44</v>
      </c>
      <c r="F152" s="387" t="s">
        <v>44</v>
      </c>
      <c r="G152" s="389" t="s">
        <v>44</v>
      </c>
      <c r="H152" s="386" t="s">
        <v>44</v>
      </c>
    </row>
    <row r="153" ht="15.75" customHeight="1">
      <c r="A153" s="391"/>
      <c r="B153" s="386" t="s">
        <v>44</v>
      </c>
      <c r="C153" s="387" t="s">
        <v>44</v>
      </c>
      <c r="D153" s="388" t="s">
        <v>44</v>
      </c>
      <c r="E153" s="388" t="s">
        <v>44</v>
      </c>
      <c r="F153" s="387" t="s">
        <v>44</v>
      </c>
      <c r="G153" s="389" t="s">
        <v>44</v>
      </c>
      <c r="H153" s="386" t="s">
        <v>44</v>
      </c>
    </row>
    <row r="154" ht="15.75" customHeight="1">
      <c r="A154" s="391"/>
      <c r="B154" s="386" t="s">
        <v>44</v>
      </c>
      <c r="C154" s="387" t="s">
        <v>44</v>
      </c>
      <c r="D154" s="388" t="s">
        <v>44</v>
      </c>
      <c r="E154" s="388" t="s">
        <v>44</v>
      </c>
      <c r="F154" s="387" t="s">
        <v>44</v>
      </c>
      <c r="G154" s="389" t="s">
        <v>44</v>
      </c>
      <c r="H154" s="386" t="s">
        <v>44</v>
      </c>
    </row>
    <row r="155" ht="15.75" customHeight="1">
      <c r="A155" s="391"/>
      <c r="B155" s="386" t="s">
        <v>44</v>
      </c>
      <c r="C155" s="387" t="s">
        <v>44</v>
      </c>
      <c r="D155" s="388" t="s">
        <v>44</v>
      </c>
      <c r="E155" s="388" t="s">
        <v>44</v>
      </c>
      <c r="F155" s="387" t="s">
        <v>44</v>
      </c>
      <c r="G155" s="389" t="s">
        <v>44</v>
      </c>
      <c r="H155" s="386" t="s">
        <v>44</v>
      </c>
    </row>
    <row r="156" ht="15.75" customHeight="1">
      <c r="A156" s="391"/>
      <c r="B156" s="386" t="s">
        <v>44</v>
      </c>
      <c r="C156" s="387" t="s">
        <v>44</v>
      </c>
      <c r="D156" s="388" t="s">
        <v>44</v>
      </c>
      <c r="E156" s="388" t="s">
        <v>44</v>
      </c>
      <c r="F156" s="387" t="s">
        <v>44</v>
      </c>
      <c r="G156" s="389" t="s">
        <v>44</v>
      </c>
      <c r="H156" s="386" t="s">
        <v>44</v>
      </c>
    </row>
    <row r="157" ht="15.75" customHeight="1">
      <c r="A157" s="391"/>
      <c r="B157" s="386" t="s">
        <v>44</v>
      </c>
      <c r="C157" s="387" t="s">
        <v>44</v>
      </c>
      <c r="D157" s="388" t="s">
        <v>44</v>
      </c>
      <c r="E157" s="388" t="s">
        <v>44</v>
      </c>
      <c r="F157" s="387" t="s">
        <v>44</v>
      </c>
      <c r="G157" s="389" t="s">
        <v>44</v>
      </c>
      <c r="H157" s="386" t="s">
        <v>44</v>
      </c>
    </row>
    <row r="158" ht="15.75" customHeight="1">
      <c r="A158" s="391"/>
      <c r="B158" s="386" t="s">
        <v>44</v>
      </c>
      <c r="C158" s="387" t="s">
        <v>44</v>
      </c>
      <c r="D158" s="388" t="s">
        <v>44</v>
      </c>
      <c r="E158" s="388" t="s">
        <v>44</v>
      </c>
      <c r="F158" s="387" t="s">
        <v>44</v>
      </c>
      <c r="G158" s="389" t="s">
        <v>44</v>
      </c>
      <c r="H158" s="386" t="s">
        <v>44</v>
      </c>
    </row>
    <row r="159" ht="15.75" customHeight="1">
      <c r="A159" s="391"/>
      <c r="B159" s="386" t="s">
        <v>44</v>
      </c>
      <c r="C159" s="387" t="s">
        <v>44</v>
      </c>
      <c r="D159" s="388" t="s">
        <v>44</v>
      </c>
      <c r="E159" s="388" t="s">
        <v>44</v>
      </c>
      <c r="F159" s="387" t="s">
        <v>44</v>
      </c>
      <c r="G159" s="389" t="s">
        <v>44</v>
      </c>
      <c r="H159" s="386" t="s">
        <v>44</v>
      </c>
    </row>
    <row r="160" ht="15.75" customHeight="1">
      <c r="A160" s="391"/>
      <c r="B160" s="386" t="s">
        <v>44</v>
      </c>
      <c r="C160" s="387" t="s">
        <v>44</v>
      </c>
      <c r="D160" s="388" t="s">
        <v>44</v>
      </c>
      <c r="E160" s="388" t="s">
        <v>44</v>
      </c>
      <c r="F160" s="387" t="s">
        <v>44</v>
      </c>
      <c r="G160" s="389" t="s">
        <v>44</v>
      </c>
      <c r="H160" s="386" t="s">
        <v>44</v>
      </c>
    </row>
    <row r="161" ht="15.75" customHeight="1">
      <c r="A161" s="391"/>
      <c r="B161" s="386" t="s">
        <v>44</v>
      </c>
      <c r="C161" s="387" t="s">
        <v>44</v>
      </c>
      <c r="D161" s="388" t="s">
        <v>44</v>
      </c>
      <c r="E161" s="388" t="s">
        <v>44</v>
      </c>
      <c r="F161" s="387" t="s">
        <v>44</v>
      </c>
      <c r="G161" s="389" t="s">
        <v>44</v>
      </c>
      <c r="H161" s="386" t="s">
        <v>44</v>
      </c>
    </row>
    <row r="162" ht="15.75" customHeight="1">
      <c r="A162" s="391"/>
      <c r="B162" s="386" t="s">
        <v>44</v>
      </c>
      <c r="C162" s="387" t="s">
        <v>44</v>
      </c>
      <c r="D162" s="388" t="s">
        <v>44</v>
      </c>
      <c r="E162" s="388" t="s">
        <v>44</v>
      </c>
      <c r="F162" s="387" t="s">
        <v>44</v>
      </c>
      <c r="G162" s="389" t="s">
        <v>44</v>
      </c>
      <c r="H162" s="386" t="s">
        <v>44</v>
      </c>
    </row>
    <row r="163" ht="15.75" customHeight="1">
      <c r="A163" s="391"/>
      <c r="B163" s="386" t="s">
        <v>44</v>
      </c>
      <c r="C163" s="387" t="s">
        <v>44</v>
      </c>
      <c r="D163" s="388" t="s">
        <v>44</v>
      </c>
      <c r="E163" s="388" t="s">
        <v>44</v>
      </c>
      <c r="F163" s="387" t="s">
        <v>44</v>
      </c>
      <c r="G163" s="389" t="s">
        <v>44</v>
      </c>
      <c r="H163" s="386" t="s">
        <v>44</v>
      </c>
    </row>
    <row r="164" ht="15.75" customHeight="1">
      <c r="A164" s="391"/>
      <c r="B164" s="386" t="s">
        <v>44</v>
      </c>
      <c r="C164" s="387" t="s">
        <v>44</v>
      </c>
      <c r="D164" s="388" t="s">
        <v>44</v>
      </c>
      <c r="E164" s="388" t="s">
        <v>44</v>
      </c>
      <c r="F164" s="387" t="s">
        <v>44</v>
      </c>
      <c r="G164" s="389" t="s">
        <v>44</v>
      </c>
      <c r="H164" s="386" t="s">
        <v>44</v>
      </c>
    </row>
    <row r="165" ht="15.75" customHeight="1">
      <c r="A165" s="391"/>
      <c r="B165" s="386" t="s">
        <v>44</v>
      </c>
      <c r="C165" s="387" t="s">
        <v>44</v>
      </c>
      <c r="D165" s="388" t="s">
        <v>44</v>
      </c>
      <c r="E165" s="388" t="s">
        <v>44</v>
      </c>
      <c r="F165" s="387" t="s">
        <v>44</v>
      </c>
      <c r="G165" s="389" t="s">
        <v>44</v>
      </c>
      <c r="H165" s="386" t="s">
        <v>44</v>
      </c>
    </row>
    <row r="166" ht="15.75" customHeight="1">
      <c r="A166" s="391"/>
      <c r="B166" s="386" t="s">
        <v>44</v>
      </c>
      <c r="C166" s="387" t="s">
        <v>44</v>
      </c>
      <c r="D166" s="388" t="s">
        <v>44</v>
      </c>
      <c r="E166" s="388" t="s">
        <v>44</v>
      </c>
      <c r="F166" s="387" t="s">
        <v>44</v>
      </c>
      <c r="G166" s="389" t="s">
        <v>44</v>
      </c>
      <c r="H166" s="386" t="s">
        <v>44</v>
      </c>
    </row>
    <row r="167" ht="15.75" customHeight="1">
      <c r="A167" s="391"/>
      <c r="B167" s="386" t="s">
        <v>44</v>
      </c>
      <c r="C167" s="387" t="s">
        <v>44</v>
      </c>
      <c r="D167" s="388" t="s">
        <v>44</v>
      </c>
      <c r="E167" s="388" t="s">
        <v>44</v>
      </c>
      <c r="F167" s="387" t="s">
        <v>44</v>
      </c>
      <c r="G167" s="389" t="s">
        <v>44</v>
      </c>
      <c r="H167" s="386" t="s">
        <v>44</v>
      </c>
    </row>
    <row r="168" ht="15.75" customHeight="1">
      <c r="A168" s="391"/>
      <c r="B168" s="386" t="s">
        <v>44</v>
      </c>
      <c r="C168" s="387" t="s">
        <v>44</v>
      </c>
      <c r="D168" s="388" t="s">
        <v>44</v>
      </c>
      <c r="E168" s="388" t="s">
        <v>44</v>
      </c>
      <c r="F168" s="387" t="s">
        <v>44</v>
      </c>
      <c r="G168" s="389" t="s">
        <v>44</v>
      </c>
      <c r="H168" s="386" t="s">
        <v>44</v>
      </c>
    </row>
    <row r="169" ht="15.75" customHeight="1">
      <c r="A169" s="391"/>
      <c r="B169" s="386" t="s">
        <v>44</v>
      </c>
      <c r="C169" s="387" t="s">
        <v>44</v>
      </c>
      <c r="D169" s="388" t="s">
        <v>44</v>
      </c>
      <c r="E169" s="388" t="s">
        <v>44</v>
      </c>
      <c r="F169" s="387" t="s">
        <v>44</v>
      </c>
      <c r="G169" s="389" t="s">
        <v>44</v>
      </c>
      <c r="H169" s="386" t="s">
        <v>44</v>
      </c>
    </row>
    <row r="170" ht="15.75" customHeight="1">
      <c r="A170" s="391"/>
      <c r="B170" s="386" t="s">
        <v>44</v>
      </c>
      <c r="C170" s="387" t="s">
        <v>44</v>
      </c>
      <c r="D170" s="388" t="s">
        <v>44</v>
      </c>
      <c r="E170" s="388" t="s">
        <v>44</v>
      </c>
      <c r="F170" s="387" t="s">
        <v>44</v>
      </c>
      <c r="G170" s="389" t="s">
        <v>44</v>
      </c>
      <c r="H170" s="386" t="s">
        <v>44</v>
      </c>
    </row>
    <row r="171" ht="15.75" customHeight="1">
      <c r="A171" s="391"/>
      <c r="B171" s="386" t="s">
        <v>44</v>
      </c>
      <c r="C171" s="387" t="s">
        <v>44</v>
      </c>
      <c r="D171" s="388" t="s">
        <v>44</v>
      </c>
      <c r="E171" s="388" t="s">
        <v>44</v>
      </c>
      <c r="F171" s="387" t="s">
        <v>44</v>
      </c>
      <c r="G171" s="389" t="s">
        <v>44</v>
      </c>
      <c r="H171" s="386" t="s">
        <v>44</v>
      </c>
    </row>
    <row r="172" ht="15.75" customHeight="1">
      <c r="A172" s="391"/>
      <c r="B172" s="386" t="s">
        <v>44</v>
      </c>
      <c r="C172" s="387" t="s">
        <v>44</v>
      </c>
      <c r="D172" s="388" t="s">
        <v>44</v>
      </c>
      <c r="E172" s="388" t="s">
        <v>44</v>
      </c>
      <c r="F172" s="387" t="s">
        <v>44</v>
      </c>
      <c r="G172" s="389" t="s">
        <v>44</v>
      </c>
      <c r="H172" s="386" t="s">
        <v>44</v>
      </c>
    </row>
    <row r="173" ht="15.75" customHeight="1">
      <c r="A173" s="391"/>
      <c r="B173" s="386" t="s">
        <v>44</v>
      </c>
      <c r="C173" s="387" t="s">
        <v>44</v>
      </c>
      <c r="D173" s="388" t="s">
        <v>44</v>
      </c>
      <c r="E173" s="388" t="s">
        <v>44</v>
      </c>
      <c r="F173" s="387" t="s">
        <v>44</v>
      </c>
      <c r="G173" s="389" t="s">
        <v>44</v>
      </c>
      <c r="H173" s="386" t="s">
        <v>44</v>
      </c>
    </row>
    <row r="174" ht="15.75" customHeight="1">
      <c r="A174" s="391"/>
      <c r="B174" s="386" t="s">
        <v>44</v>
      </c>
      <c r="C174" s="387" t="s">
        <v>44</v>
      </c>
      <c r="D174" s="388" t="s">
        <v>44</v>
      </c>
      <c r="E174" s="388" t="s">
        <v>44</v>
      </c>
      <c r="F174" s="387" t="s">
        <v>44</v>
      </c>
      <c r="G174" s="389" t="s">
        <v>44</v>
      </c>
      <c r="H174" s="386" t="s">
        <v>44</v>
      </c>
    </row>
    <row r="175" ht="15.75" customHeight="1">
      <c r="A175" s="391"/>
      <c r="B175" s="386" t="s">
        <v>44</v>
      </c>
      <c r="C175" s="387" t="s">
        <v>44</v>
      </c>
      <c r="D175" s="388" t="s">
        <v>44</v>
      </c>
      <c r="E175" s="388" t="s">
        <v>44</v>
      </c>
      <c r="F175" s="387" t="s">
        <v>44</v>
      </c>
      <c r="G175" s="389" t="s">
        <v>44</v>
      </c>
      <c r="H175" s="386" t="s">
        <v>44</v>
      </c>
    </row>
    <row r="176" ht="15.75" customHeight="1">
      <c r="A176" s="391"/>
      <c r="B176" s="386" t="s">
        <v>44</v>
      </c>
      <c r="C176" s="387" t="s">
        <v>44</v>
      </c>
      <c r="D176" s="388" t="s">
        <v>44</v>
      </c>
      <c r="E176" s="388" t="s">
        <v>44</v>
      </c>
      <c r="F176" s="387" t="s">
        <v>44</v>
      </c>
      <c r="G176" s="389" t="s">
        <v>44</v>
      </c>
      <c r="H176" s="386" t="s">
        <v>44</v>
      </c>
    </row>
    <row r="177" ht="15.75" customHeight="1">
      <c r="A177" s="391"/>
      <c r="B177" s="386" t="s">
        <v>44</v>
      </c>
      <c r="C177" s="387" t="s">
        <v>44</v>
      </c>
      <c r="D177" s="388" t="s">
        <v>44</v>
      </c>
      <c r="E177" s="388" t="s">
        <v>44</v>
      </c>
      <c r="F177" s="387" t="s">
        <v>44</v>
      </c>
      <c r="G177" s="389" t="s">
        <v>44</v>
      </c>
      <c r="H177" s="386" t="s">
        <v>44</v>
      </c>
    </row>
    <row r="178" ht="15.75" customHeight="1">
      <c r="A178" s="391"/>
      <c r="B178" s="386" t="s">
        <v>44</v>
      </c>
      <c r="C178" s="387" t="s">
        <v>44</v>
      </c>
      <c r="D178" s="388" t="s">
        <v>44</v>
      </c>
      <c r="E178" s="388" t="s">
        <v>44</v>
      </c>
      <c r="F178" s="387" t="s">
        <v>44</v>
      </c>
      <c r="G178" s="389" t="s">
        <v>44</v>
      </c>
      <c r="H178" s="386" t="s">
        <v>44</v>
      </c>
    </row>
    <row r="179" ht="15.75" customHeight="1">
      <c r="A179" s="391"/>
      <c r="B179" s="386" t="s">
        <v>44</v>
      </c>
      <c r="C179" s="387" t="s">
        <v>44</v>
      </c>
      <c r="D179" s="388" t="s">
        <v>44</v>
      </c>
      <c r="E179" s="388" t="s">
        <v>44</v>
      </c>
      <c r="F179" s="387" t="s">
        <v>44</v>
      </c>
      <c r="G179" s="389" t="s">
        <v>44</v>
      </c>
      <c r="H179" s="386" t="s">
        <v>44</v>
      </c>
    </row>
    <row r="180" ht="15.75" customHeight="1">
      <c r="A180" s="391"/>
      <c r="B180" s="386" t="s">
        <v>44</v>
      </c>
      <c r="C180" s="387" t="s">
        <v>44</v>
      </c>
      <c r="D180" s="388" t="s">
        <v>44</v>
      </c>
      <c r="E180" s="388" t="s">
        <v>44</v>
      </c>
      <c r="F180" s="387" t="s">
        <v>44</v>
      </c>
      <c r="G180" s="389" t="s">
        <v>44</v>
      </c>
      <c r="H180" s="386" t="s">
        <v>44</v>
      </c>
    </row>
    <row r="181" ht="15.75" customHeight="1">
      <c r="A181" s="391"/>
      <c r="B181" s="386" t="s">
        <v>44</v>
      </c>
      <c r="C181" s="387" t="s">
        <v>44</v>
      </c>
      <c r="D181" s="388" t="s">
        <v>44</v>
      </c>
      <c r="E181" s="388" t="s">
        <v>44</v>
      </c>
      <c r="F181" s="387" t="s">
        <v>44</v>
      </c>
      <c r="G181" s="389" t="s">
        <v>44</v>
      </c>
      <c r="H181" s="386" t="s">
        <v>44</v>
      </c>
    </row>
    <row r="182" ht="15.75" customHeight="1">
      <c r="A182" s="391"/>
      <c r="B182" s="386" t="s">
        <v>44</v>
      </c>
      <c r="C182" s="387" t="s">
        <v>44</v>
      </c>
      <c r="D182" s="388" t="s">
        <v>44</v>
      </c>
      <c r="E182" s="388" t="s">
        <v>44</v>
      </c>
      <c r="F182" s="387" t="s">
        <v>44</v>
      </c>
      <c r="G182" s="389" t="s">
        <v>44</v>
      </c>
      <c r="H182" s="386" t="s">
        <v>44</v>
      </c>
    </row>
    <row r="183" ht="15.75" customHeight="1">
      <c r="A183" s="391"/>
      <c r="B183" s="386" t="s">
        <v>44</v>
      </c>
      <c r="C183" s="387" t="s">
        <v>44</v>
      </c>
      <c r="D183" s="388" t="s">
        <v>44</v>
      </c>
      <c r="E183" s="388" t="s">
        <v>44</v>
      </c>
      <c r="F183" s="387" t="s">
        <v>44</v>
      </c>
      <c r="G183" s="389" t="s">
        <v>44</v>
      </c>
      <c r="H183" s="386" t="s">
        <v>44</v>
      </c>
    </row>
    <row r="184" ht="15.75" customHeight="1">
      <c r="A184" s="391"/>
      <c r="B184" s="386" t="s">
        <v>44</v>
      </c>
      <c r="C184" s="387" t="s">
        <v>44</v>
      </c>
      <c r="D184" s="388" t="s">
        <v>44</v>
      </c>
      <c r="E184" s="388" t="s">
        <v>44</v>
      </c>
      <c r="F184" s="387" t="s">
        <v>44</v>
      </c>
      <c r="G184" s="389" t="s">
        <v>44</v>
      </c>
      <c r="H184" s="386" t="s">
        <v>44</v>
      </c>
    </row>
    <row r="185" ht="15.75" customHeight="1">
      <c r="A185" s="391"/>
      <c r="B185" s="386" t="s">
        <v>44</v>
      </c>
      <c r="C185" s="387" t="s">
        <v>44</v>
      </c>
      <c r="D185" s="388" t="s">
        <v>44</v>
      </c>
      <c r="E185" s="388" t="s">
        <v>44</v>
      </c>
      <c r="F185" s="387" t="s">
        <v>44</v>
      </c>
      <c r="G185" s="389" t="s">
        <v>44</v>
      </c>
      <c r="H185" s="386" t="s">
        <v>44</v>
      </c>
    </row>
    <row r="186" ht="15.75" customHeight="1">
      <c r="A186" s="391"/>
      <c r="B186" s="386" t="s">
        <v>44</v>
      </c>
      <c r="C186" s="387" t="s">
        <v>44</v>
      </c>
      <c r="D186" s="388" t="s">
        <v>44</v>
      </c>
      <c r="E186" s="388" t="s">
        <v>44</v>
      </c>
      <c r="F186" s="387" t="s">
        <v>44</v>
      </c>
      <c r="G186" s="389" t="s">
        <v>44</v>
      </c>
      <c r="H186" s="386" t="s">
        <v>44</v>
      </c>
    </row>
    <row r="187" ht="15.75" customHeight="1">
      <c r="A187" s="391"/>
      <c r="B187" s="386" t="s">
        <v>44</v>
      </c>
      <c r="C187" s="387" t="s">
        <v>44</v>
      </c>
      <c r="D187" s="388" t="s">
        <v>44</v>
      </c>
      <c r="E187" s="388" t="s">
        <v>44</v>
      </c>
      <c r="F187" s="387" t="s">
        <v>44</v>
      </c>
      <c r="G187" s="389" t="s">
        <v>44</v>
      </c>
      <c r="H187" s="386" t="s">
        <v>44</v>
      </c>
    </row>
    <row r="188" ht="15.75" customHeight="1">
      <c r="A188" s="391"/>
      <c r="B188" s="386" t="s">
        <v>44</v>
      </c>
      <c r="C188" s="387" t="s">
        <v>44</v>
      </c>
      <c r="D188" s="388" t="s">
        <v>44</v>
      </c>
      <c r="E188" s="388" t="s">
        <v>44</v>
      </c>
      <c r="F188" s="387" t="s">
        <v>44</v>
      </c>
      <c r="G188" s="389" t="s">
        <v>44</v>
      </c>
      <c r="H188" s="386" t="s">
        <v>44</v>
      </c>
    </row>
    <row r="189" ht="15.75" customHeight="1">
      <c r="A189" s="391"/>
      <c r="B189" s="386" t="s">
        <v>44</v>
      </c>
      <c r="C189" s="387" t="s">
        <v>44</v>
      </c>
      <c r="D189" s="388" t="s">
        <v>44</v>
      </c>
      <c r="E189" s="388" t="s">
        <v>44</v>
      </c>
      <c r="F189" s="387" t="s">
        <v>44</v>
      </c>
      <c r="G189" s="389" t="s">
        <v>44</v>
      </c>
      <c r="H189" s="386" t="s">
        <v>44</v>
      </c>
    </row>
    <row r="190" ht="15.75" customHeight="1">
      <c r="A190" s="391"/>
      <c r="B190" s="386" t="s">
        <v>44</v>
      </c>
      <c r="C190" s="387" t="s">
        <v>44</v>
      </c>
      <c r="D190" s="388" t="s">
        <v>44</v>
      </c>
      <c r="E190" s="388" t="s">
        <v>44</v>
      </c>
      <c r="F190" s="387" t="s">
        <v>44</v>
      </c>
      <c r="G190" s="389" t="s">
        <v>44</v>
      </c>
      <c r="H190" s="386" t="s">
        <v>44</v>
      </c>
    </row>
    <row r="191" ht="15.75" customHeight="1">
      <c r="A191" s="391"/>
      <c r="B191" s="386" t="s">
        <v>44</v>
      </c>
      <c r="C191" s="387" t="s">
        <v>44</v>
      </c>
      <c r="D191" s="388" t="s">
        <v>44</v>
      </c>
      <c r="E191" s="388" t="s">
        <v>44</v>
      </c>
      <c r="F191" s="387" t="s">
        <v>44</v>
      </c>
      <c r="G191" s="389" t="s">
        <v>44</v>
      </c>
      <c r="H191" s="386" t="s">
        <v>44</v>
      </c>
    </row>
    <row r="192" ht="15.75" customHeight="1">
      <c r="A192" s="391"/>
      <c r="B192" s="386" t="s">
        <v>44</v>
      </c>
      <c r="C192" s="387" t="s">
        <v>44</v>
      </c>
      <c r="D192" s="388" t="s">
        <v>44</v>
      </c>
      <c r="E192" s="388" t="s">
        <v>44</v>
      </c>
      <c r="F192" s="387" t="s">
        <v>44</v>
      </c>
      <c r="G192" s="389" t="s">
        <v>44</v>
      </c>
      <c r="H192" s="386" t="s">
        <v>44</v>
      </c>
    </row>
    <row r="193" ht="15.75" customHeight="1">
      <c r="A193" s="391"/>
      <c r="B193" s="386" t="s">
        <v>44</v>
      </c>
      <c r="C193" s="387" t="s">
        <v>44</v>
      </c>
      <c r="D193" s="388" t="s">
        <v>44</v>
      </c>
      <c r="E193" s="388" t="s">
        <v>44</v>
      </c>
      <c r="F193" s="387" t="s">
        <v>44</v>
      </c>
      <c r="G193" s="389" t="s">
        <v>44</v>
      </c>
      <c r="H193" s="386" t="s">
        <v>44</v>
      </c>
    </row>
    <row r="194" ht="15.75" customHeight="1">
      <c r="A194" s="391"/>
      <c r="B194" s="386" t="s">
        <v>44</v>
      </c>
      <c r="C194" s="387" t="s">
        <v>44</v>
      </c>
      <c r="D194" s="388" t="s">
        <v>44</v>
      </c>
      <c r="E194" s="388" t="s">
        <v>44</v>
      </c>
      <c r="F194" s="387" t="s">
        <v>44</v>
      </c>
      <c r="G194" s="389" t="s">
        <v>44</v>
      </c>
      <c r="H194" s="386" t="s">
        <v>44</v>
      </c>
    </row>
    <row r="195" ht="15.75" customHeight="1">
      <c r="A195" s="391"/>
      <c r="B195" s="386" t="s">
        <v>44</v>
      </c>
      <c r="C195" s="387" t="s">
        <v>44</v>
      </c>
      <c r="D195" s="388" t="s">
        <v>44</v>
      </c>
      <c r="E195" s="388" t="s">
        <v>44</v>
      </c>
      <c r="F195" s="387" t="s">
        <v>44</v>
      </c>
      <c r="G195" s="389" t="s">
        <v>44</v>
      </c>
      <c r="H195" s="386" t="s">
        <v>44</v>
      </c>
    </row>
    <row r="196" ht="15.75" customHeight="1">
      <c r="A196" s="391"/>
      <c r="B196" s="386" t="s">
        <v>44</v>
      </c>
      <c r="C196" s="387" t="s">
        <v>44</v>
      </c>
      <c r="D196" s="388" t="s">
        <v>44</v>
      </c>
      <c r="E196" s="388" t="s">
        <v>44</v>
      </c>
      <c r="F196" s="387" t="s">
        <v>44</v>
      </c>
      <c r="G196" s="389" t="s">
        <v>44</v>
      </c>
      <c r="H196" s="386" t="s">
        <v>44</v>
      </c>
    </row>
    <row r="197" ht="15.75" customHeight="1">
      <c r="A197" s="391"/>
      <c r="B197" s="386" t="s">
        <v>44</v>
      </c>
      <c r="C197" s="387" t="s">
        <v>44</v>
      </c>
      <c r="D197" s="388" t="s">
        <v>44</v>
      </c>
      <c r="E197" s="388" t="s">
        <v>44</v>
      </c>
      <c r="F197" s="387" t="s">
        <v>44</v>
      </c>
      <c r="G197" s="389" t="s">
        <v>44</v>
      </c>
      <c r="H197" s="386" t="s">
        <v>44</v>
      </c>
    </row>
    <row r="198" ht="15.75" customHeight="1">
      <c r="A198" s="391"/>
      <c r="B198" s="386" t="s">
        <v>44</v>
      </c>
      <c r="C198" s="387" t="s">
        <v>44</v>
      </c>
      <c r="D198" s="388" t="s">
        <v>44</v>
      </c>
      <c r="E198" s="388" t="s">
        <v>44</v>
      </c>
      <c r="F198" s="387" t="s">
        <v>44</v>
      </c>
      <c r="G198" s="389" t="s">
        <v>44</v>
      </c>
      <c r="H198" s="386" t="s">
        <v>44</v>
      </c>
    </row>
    <row r="199" ht="15.75" customHeight="1">
      <c r="A199" s="391"/>
      <c r="B199" s="386" t="s">
        <v>44</v>
      </c>
      <c r="C199" s="387" t="s">
        <v>44</v>
      </c>
      <c r="D199" s="388" t="s">
        <v>44</v>
      </c>
      <c r="E199" s="388" t="s">
        <v>44</v>
      </c>
      <c r="F199" s="387" t="s">
        <v>44</v>
      </c>
      <c r="G199" s="389" t="s">
        <v>44</v>
      </c>
      <c r="H199" s="386" t="s">
        <v>44</v>
      </c>
    </row>
    <row r="200" ht="15.75" customHeight="1">
      <c r="A200" s="391"/>
      <c r="B200" s="386" t="s">
        <v>44</v>
      </c>
      <c r="C200" s="387" t="s">
        <v>44</v>
      </c>
      <c r="D200" s="388" t="s">
        <v>44</v>
      </c>
      <c r="E200" s="388" t="s">
        <v>44</v>
      </c>
      <c r="F200" s="387" t="s">
        <v>44</v>
      </c>
      <c r="G200" s="389" t="s">
        <v>44</v>
      </c>
      <c r="H200" s="386" t="s">
        <v>44</v>
      </c>
    </row>
    <row r="201" ht="15.75" customHeight="1">
      <c r="A201" s="391"/>
      <c r="B201" s="386" t="s">
        <v>44</v>
      </c>
      <c r="C201" s="387" t="s">
        <v>44</v>
      </c>
      <c r="D201" s="388" t="s">
        <v>44</v>
      </c>
      <c r="E201" s="388" t="s">
        <v>44</v>
      </c>
      <c r="F201" s="387" t="s">
        <v>44</v>
      </c>
      <c r="G201" s="389" t="s">
        <v>44</v>
      </c>
      <c r="H201" s="386" t="s">
        <v>44</v>
      </c>
    </row>
    <row r="202" ht="15.75" customHeight="1">
      <c r="A202" s="391"/>
      <c r="B202" s="386" t="s">
        <v>44</v>
      </c>
      <c r="C202" s="387" t="s">
        <v>44</v>
      </c>
      <c r="D202" s="388" t="s">
        <v>44</v>
      </c>
      <c r="E202" s="388" t="s">
        <v>44</v>
      </c>
      <c r="F202" s="387" t="s">
        <v>44</v>
      </c>
      <c r="G202" s="389" t="s">
        <v>44</v>
      </c>
      <c r="H202" s="386" t="s">
        <v>44</v>
      </c>
    </row>
    <row r="203" ht="15.75" customHeight="1">
      <c r="A203" s="391"/>
      <c r="B203" s="386" t="s">
        <v>44</v>
      </c>
      <c r="C203" s="387" t="s">
        <v>44</v>
      </c>
      <c r="D203" s="388" t="s">
        <v>44</v>
      </c>
      <c r="E203" s="388" t="s">
        <v>44</v>
      </c>
      <c r="F203" s="387" t="s">
        <v>44</v>
      </c>
      <c r="G203" s="389" t="s">
        <v>44</v>
      </c>
      <c r="H203" s="386" t="s">
        <v>44</v>
      </c>
    </row>
    <row r="204" ht="15.75" customHeight="1">
      <c r="A204" s="391"/>
      <c r="B204" s="386" t="s">
        <v>44</v>
      </c>
      <c r="C204" s="387" t="s">
        <v>44</v>
      </c>
      <c r="D204" s="388" t="s">
        <v>44</v>
      </c>
      <c r="E204" s="388" t="s">
        <v>44</v>
      </c>
      <c r="F204" s="387" t="s">
        <v>44</v>
      </c>
      <c r="G204" s="389" t="s">
        <v>44</v>
      </c>
      <c r="H204" s="386" t="s">
        <v>44</v>
      </c>
    </row>
    <row r="205" ht="15.75" customHeight="1">
      <c r="A205" s="391"/>
      <c r="B205" s="386" t="s">
        <v>44</v>
      </c>
      <c r="C205" s="387" t="s">
        <v>44</v>
      </c>
      <c r="D205" s="388" t="s">
        <v>44</v>
      </c>
      <c r="E205" s="388" t="s">
        <v>44</v>
      </c>
      <c r="F205" s="387" t="s">
        <v>44</v>
      </c>
      <c r="G205" s="389" t="s">
        <v>44</v>
      </c>
      <c r="H205" s="386" t="s">
        <v>44</v>
      </c>
    </row>
    <row r="206" ht="15.75" customHeight="1">
      <c r="A206" s="391"/>
      <c r="B206" s="386" t="s">
        <v>44</v>
      </c>
      <c r="C206" s="387" t="s">
        <v>44</v>
      </c>
      <c r="D206" s="388" t="s">
        <v>44</v>
      </c>
      <c r="E206" s="388" t="s">
        <v>44</v>
      </c>
      <c r="F206" s="387" t="s">
        <v>44</v>
      </c>
      <c r="G206" s="389" t="s">
        <v>44</v>
      </c>
      <c r="H206" s="386" t="s">
        <v>44</v>
      </c>
    </row>
    <row r="207" ht="15.75" customHeight="1">
      <c r="A207" s="391"/>
      <c r="B207" s="386" t="s">
        <v>44</v>
      </c>
      <c r="C207" s="387" t="s">
        <v>44</v>
      </c>
      <c r="D207" s="388" t="s">
        <v>44</v>
      </c>
      <c r="E207" s="388" t="s">
        <v>44</v>
      </c>
      <c r="F207" s="387" t="s">
        <v>44</v>
      </c>
      <c r="G207" s="389" t="s">
        <v>44</v>
      </c>
      <c r="H207" s="386" t="s">
        <v>44</v>
      </c>
    </row>
    <row r="208" ht="15.75" customHeight="1">
      <c r="A208" s="391"/>
      <c r="B208" s="386" t="s">
        <v>44</v>
      </c>
      <c r="C208" s="387" t="s">
        <v>44</v>
      </c>
      <c r="D208" s="388" t="s">
        <v>44</v>
      </c>
      <c r="E208" s="388" t="s">
        <v>44</v>
      </c>
      <c r="F208" s="387" t="s">
        <v>44</v>
      </c>
      <c r="G208" s="389" t="s">
        <v>44</v>
      </c>
      <c r="H208" s="386" t="s">
        <v>44</v>
      </c>
    </row>
    <row r="209" ht="15.75" customHeight="1">
      <c r="A209" s="391"/>
      <c r="B209" s="386" t="s">
        <v>44</v>
      </c>
      <c r="C209" s="387" t="s">
        <v>44</v>
      </c>
      <c r="D209" s="388" t="s">
        <v>44</v>
      </c>
      <c r="E209" s="388" t="s">
        <v>44</v>
      </c>
      <c r="F209" s="387" t="s">
        <v>44</v>
      </c>
      <c r="G209" s="389" t="s">
        <v>44</v>
      </c>
      <c r="H209" s="386" t="s">
        <v>44</v>
      </c>
    </row>
    <row r="210" ht="15.75" customHeight="1">
      <c r="A210" s="391"/>
      <c r="B210" s="386" t="s">
        <v>44</v>
      </c>
      <c r="C210" s="387" t="s">
        <v>44</v>
      </c>
      <c r="D210" s="388" t="s">
        <v>44</v>
      </c>
      <c r="E210" s="388" t="s">
        <v>44</v>
      </c>
      <c r="F210" s="387" t="s">
        <v>44</v>
      </c>
      <c r="G210" s="389" t="s">
        <v>44</v>
      </c>
      <c r="H210" s="386" t="s">
        <v>44</v>
      </c>
    </row>
    <row r="211" ht="15.75" customHeight="1">
      <c r="A211" s="391"/>
      <c r="B211" s="386" t="s">
        <v>44</v>
      </c>
      <c r="C211" s="387" t="s">
        <v>44</v>
      </c>
      <c r="D211" s="388" t="s">
        <v>44</v>
      </c>
      <c r="E211" s="388" t="s">
        <v>44</v>
      </c>
      <c r="F211" s="387" t="s">
        <v>44</v>
      </c>
      <c r="G211" s="389" t="s">
        <v>44</v>
      </c>
      <c r="H211" s="386" t="s">
        <v>44</v>
      </c>
    </row>
    <row r="212" ht="15.75" customHeight="1">
      <c r="A212" s="391"/>
      <c r="B212" s="386" t="s">
        <v>44</v>
      </c>
      <c r="C212" s="387" t="s">
        <v>44</v>
      </c>
      <c r="D212" s="388" t="s">
        <v>44</v>
      </c>
      <c r="E212" s="388" t="s">
        <v>44</v>
      </c>
      <c r="F212" s="387" t="s">
        <v>44</v>
      </c>
      <c r="G212" s="389" t="s">
        <v>44</v>
      </c>
      <c r="H212" s="386" t="s">
        <v>44</v>
      </c>
    </row>
    <row r="213" ht="15.75" customHeight="1">
      <c r="A213" s="391"/>
      <c r="B213" s="386" t="s">
        <v>44</v>
      </c>
      <c r="C213" s="387" t="s">
        <v>44</v>
      </c>
      <c r="D213" s="388" t="s">
        <v>44</v>
      </c>
      <c r="E213" s="388" t="s">
        <v>44</v>
      </c>
      <c r="F213" s="387" t="s">
        <v>44</v>
      </c>
      <c r="G213" s="389" t="s">
        <v>44</v>
      </c>
      <c r="H213" s="386" t="s">
        <v>44</v>
      </c>
    </row>
    <row r="214" ht="15.75" customHeight="1">
      <c r="A214" s="391"/>
      <c r="B214" s="386" t="s">
        <v>44</v>
      </c>
      <c r="C214" s="387" t="s">
        <v>44</v>
      </c>
      <c r="D214" s="388" t="s">
        <v>44</v>
      </c>
      <c r="E214" s="388" t="s">
        <v>44</v>
      </c>
      <c r="F214" s="387" t="s">
        <v>44</v>
      </c>
      <c r="G214" s="389" t="s">
        <v>44</v>
      </c>
      <c r="H214" s="386" t="s">
        <v>44</v>
      </c>
    </row>
    <row r="215" ht="15.75" customHeight="1">
      <c r="A215" s="391"/>
      <c r="B215" s="386" t="s">
        <v>44</v>
      </c>
      <c r="C215" s="387" t="s">
        <v>44</v>
      </c>
      <c r="D215" s="388" t="s">
        <v>44</v>
      </c>
      <c r="E215" s="388" t="s">
        <v>44</v>
      </c>
      <c r="F215" s="387" t="s">
        <v>44</v>
      </c>
      <c r="G215" s="389" t="s">
        <v>44</v>
      </c>
      <c r="H215" s="386" t="s">
        <v>44</v>
      </c>
    </row>
    <row r="216" ht="15.75" customHeight="1">
      <c r="A216" s="391"/>
      <c r="B216" s="386" t="s">
        <v>44</v>
      </c>
      <c r="C216" s="387" t="s">
        <v>44</v>
      </c>
      <c r="D216" s="388" t="s">
        <v>44</v>
      </c>
      <c r="E216" s="388" t="s">
        <v>44</v>
      </c>
      <c r="F216" s="387" t="s">
        <v>44</v>
      </c>
      <c r="G216" s="389" t="s">
        <v>44</v>
      </c>
      <c r="H216" s="386" t="s">
        <v>44</v>
      </c>
    </row>
    <row r="217" ht="15.75" customHeight="1">
      <c r="A217" s="391"/>
      <c r="B217" s="386" t="s">
        <v>44</v>
      </c>
      <c r="C217" s="387" t="s">
        <v>44</v>
      </c>
      <c r="D217" s="388" t="s">
        <v>44</v>
      </c>
      <c r="E217" s="388" t="s">
        <v>44</v>
      </c>
      <c r="F217" s="387" t="s">
        <v>44</v>
      </c>
      <c r="G217" s="389" t="s">
        <v>44</v>
      </c>
      <c r="H217" s="386" t="s">
        <v>44</v>
      </c>
    </row>
    <row r="218" ht="15.75" customHeight="1">
      <c r="A218" s="391"/>
      <c r="B218" s="386" t="s">
        <v>44</v>
      </c>
      <c r="C218" s="387" t="s">
        <v>44</v>
      </c>
      <c r="D218" s="388" t="s">
        <v>44</v>
      </c>
      <c r="E218" s="388" t="s">
        <v>44</v>
      </c>
      <c r="F218" s="387" t="s">
        <v>44</v>
      </c>
      <c r="G218" s="389" t="s">
        <v>44</v>
      </c>
      <c r="H218" s="386" t="s">
        <v>44</v>
      </c>
    </row>
    <row r="219" ht="15.75" customHeight="1">
      <c r="A219" s="391"/>
      <c r="B219" s="386" t="s">
        <v>44</v>
      </c>
      <c r="C219" s="387" t="s">
        <v>44</v>
      </c>
      <c r="D219" s="388" t="s">
        <v>44</v>
      </c>
      <c r="E219" s="388" t="s">
        <v>44</v>
      </c>
      <c r="F219" s="387" t="s">
        <v>44</v>
      </c>
      <c r="G219" s="389" t="s">
        <v>44</v>
      </c>
      <c r="H219" s="386" t="s">
        <v>44</v>
      </c>
    </row>
    <row r="220" ht="15.75" customHeight="1">
      <c r="A220" s="391"/>
      <c r="B220" s="386" t="s">
        <v>44</v>
      </c>
      <c r="C220" s="387" t="s">
        <v>44</v>
      </c>
      <c r="D220" s="388" t="s">
        <v>44</v>
      </c>
      <c r="E220" s="388" t="s">
        <v>44</v>
      </c>
      <c r="F220" s="387" t="s">
        <v>44</v>
      </c>
      <c r="G220" s="389" t="s">
        <v>44</v>
      </c>
      <c r="H220" s="386" t="s">
        <v>44</v>
      </c>
    </row>
    <row r="221" ht="15.75" customHeight="1">
      <c r="A221" s="391"/>
      <c r="B221" s="386" t="s">
        <v>44</v>
      </c>
      <c r="C221" s="387" t="s">
        <v>44</v>
      </c>
      <c r="D221" s="388" t="s">
        <v>44</v>
      </c>
      <c r="E221" s="388" t="s">
        <v>44</v>
      </c>
      <c r="F221" s="387" t="s">
        <v>44</v>
      </c>
      <c r="G221" s="389" t="s">
        <v>44</v>
      </c>
      <c r="H221" s="386" t="s">
        <v>44</v>
      </c>
    </row>
    <row r="222" ht="15.75" customHeight="1">
      <c r="A222" s="391"/>
      <c r="B222" s="386" t="s">
        <v>44</v>
      </c>
      <c r="C222" s="387" t="s">
        <v>44</v>
      </c>
      <c r="D222" s="388" t="s">
        <v>44</v>
      </c>
      <c r="E222" s="388" t="s">
        <v>44</v>
      </c>
      <c r="F222" s="387" t="s">
        <v>44</v>
      </c>
      <c r="G222" s="389" t="s">
        <v>44</v>
      </c>
      <c r="H222" s="386" t="s">
        <v>44</v>
      </c>
    </row>
    <row r="223" ht="15.75" customHeight="1">
      <c r="A223" s="391"/>
      <c r="B223" s="386" t="s">
        <v>44</v>
      </c>
      <c r="C223" s="387" t="s">
        <v>44</v>
      </c>
      <c r="D223" s="388" t="s">
        <v>44</v>
      </c>
      <c r="E223" s="388" t="s">
        <v>44</v>
      </c>
      <c r="F223" s="387" t="s">
        <v>44</v>
      </c>
      <c r="G223" s="389" t="s">
        <v>44</v>
      </c>
      <c r="H223" s="386" t="s">
        <v>44</v>
      </c>
    </row>
    <row r="224" ht="15.75" customHeight="1">
      <c r="A224" s="391"/>
      <c r="B224" s="386" t="s">
        <v>44</v>
      </c>
      <c r="C224" s="387" t="s">
        <v>44</v>
      </c>
      <c r="D224" s="388" t="s">
        <v>44</v>
      </c>
      <c r="E224" s="388" t="s">
        <v>44</v>
      </c>
      <c r="F224" s="387" t="s">
        <v>44</v>
      </c>
      <c r="G224" s="389" t="s">
        <v>44</v>
      </c>
      <c r="H224" s="386" t="s">
        <v>44</v>
      </c>
    </row>
    <row r="225" ht="15.75" customHeight="1">
      <c r="A225" s="391"/>
      <c r="B225" s="386" t="s">
        <v>44</v>
      </c>
      <c r="C225" s="387" t="s">
        <v>44</v>
      </c>
      <c r="D225" s="388" t="s">
        <v>44</v>
      </c>
      <c r="E225" s="388" t="s">
        <v>44</v>
      </c>
      <c r="F225" s="387" t="s">
        <v>44</v>
      </c>
      <c r="G225" s="389" t="s">
        <v>44</v>
      </c>
      <c r="H225" s="386" t="s">
        <v>44</v>
      </c>
    </row>
    <row r="226" ht="15.75" customHeight="1">
      <c r="A226" s="391"/>
      <c r="B226" s="386" t="s">
        <v>44</v>
      </c>
      <c r="C226" s="387" t="s">
        <v>44</v>
      </c>
      <c r="D226" s="388" t="s">
        <v>44</v>
      </c>
      <c r="E226" s="388" t="s">
        <v>44</v>
      </c>
      <c r="F226" s="387" t="s">
        <v>44</v>
      </c>
      <c r="G226" s="389" t="s">
        <v>44</v>
      </c>
      <c r="H226" s="386" t="s">
        <v>44</v>
      </c>
    </row>
    <row r="227" ht="15.75" customHeight="1">
      <c r="A227" s="391"/>
      <c r="B227" s="386" t="s">
        <v>44</v>
      </c>
      <c r="C227" s="387" t="s">
        <v>44</v>
      </c>
      <c r="D227" s="388" t="s">
        <v>44</v>
      </c>
      <c r="E227" s="388" t="s">
        <v>44</v>
      </c>
      <c r="F227" s="387" t="s">
        <v>44</v>
      </c>
      <c r="G227" s="389" t="s">
        <v>44</v>
      </c>
      <c r="H227" s="386" t="s">
        <v>44</v>
      </c>
    </row>
    <row r="228" ht="15.75" customHeight="1">
      <c r="A228" s="391"/>
      <c r="B228" s="386" t="s">
        <v>44</v>
      </c>
      <c r="C228" s="387" t="s">
        <v>44</v>
      </c>
      <c r="D228" s="388" t="s">
        <v>44</v>
      </c>
      <c r="E228" s="388" t="s">
        <v>44</v>
      </c>
      <c r="F228" s="387" t="s">
        <v>44</v>
      </c>
      <c r="G228" s="389" t="s">
        <v>44</v>
      </c>
      <c r="H228" s="386" t="s">
        <v>44</v>
      </c>
    </row>
    <row r="229" ht="15.75" customHeight="1">
      <c r="A229" s="391"/>
      <c r="B229" s="386" t="s">
        <v>44</v>
      </c>
      <c r="C229" s="387" t="s">
        <v>44</v>
      </c>
      <c r="D229" s="388" t="s">
        <v>44</v>
      </c>
      <c r="E229" s="388" t="s">
        <v>44</v>
      </c>
      <c r="F229" s="387" t="s">
        <v>44</v>
      </c>
      <c r="G229" s="389" t="s">
        <v>44</v>
      </c>
      <c r="H229" s="386" t="s">
        <v>44</v>
      </c>
    </row>
    <row r="230" ht="15.75" customHeight="1">
      <c r="A230" s="391"/>
      <c r="B230" s="386" t="s">
        <v>44</v>
      </c>
      <c r="C230" s="387" t="s">
        <v>44</v>
      </c>
      <c r="D230" s="388" t="s">
        <v>44</v>
      </c>
      <c r="E230" s="388" t="s">
        <v>44</v>
      </c>
      <c r="F230" s="387" t="s">
        <v>44</v>
      </c>
      <c r="G230" s="389" t="s">
        <v>44</v>
      </c>
      <c r="H230" s="386" t="s">
        <v>44</v>
      </c>
    </row>
    <row r="231" ht="15.75" customHeight="1">
      <c r="A231" s="391"/>
      <c r="B231" s="386" t="s">
        <v>44</v>
      </c>
      <c r="C231" s="387" t="s">
        <v>44</v>
      </c>
      <c r="D231" s="388" t="s">
        <v>44</v>
      </c>
      <c r="E231" s="388" t="s">
        <v>44</v>
      </c>
      <c r="F231" s="387" t="s">
        <v>44</v>
      </c>
      <c r="G231" s="389" t="s">
        <v>44</v>
      </c>
      <c r="H231" s="386" t="s">
        <v>44</v>
      </c>
    </row>
    <row r="232" ht="15.75" customHeight="1">
      <c r="A232" s="391"/>
      <c r="B232" s="386" t="s">
        <v>44</v>
      </c>
      <c r="C232" s="387" t="s">
        <v>44</v>
      </c>
      <c r="D232" s="388" t="s">
        <v>44</v>
      </c>
      <c r="E232" s="388" t="s">
        <v>44</v>
      </c>
      <c r="F232" s="387" t="s">
        <v>44</v>
      </c>
      <c r="G232" s="389" t="s">
        <v>44</v>
      </c>
      <c r="H232" s="386" t="s">
        <v>44</v>
      </c>
    </row>
    <row r="233" ht="15.75" customHeight="1">
      <c r="A233" s="391"/>
      <c r="B233" s="386" t="s">
        <v>44</v>
      </c>
      <c r="C233" s="387" t="s">
        <v>44</v>
      </c>
      <c r="D233" s="388" t="s">
        <v>44</v>
      </c>
      <c r="E233" s="388" t="s">
        <v>44</v>
      </c>
      <c r="F233" s="387" t="s">
        <v>44</v>
      </c>
      <c r="G233" s="389" t="s">
        <v>44</v>
      </c>
      <c r="H233" s="386" t="s">
        <v>44</v>
      </c>
    </row>
    <row r="234" ht="15.75" customHeight="1">
      <c r="A234" s="391"/>
      <c r="B234" s="386" t="s">
        <v>44</v>
      </c>
      <c r="C234" s="387" t="s">
        <v>44</v>
      </c>
      <c r="D234" s="388" t="s">
        <v>44</v>
      </c>
      <c r="E234" s="388" t="s">
        <v>44</v>
      </c>
      <c r="F234" s="387" t="s">
        <v>44</v>
      </c>
      <c r="G234" s="389" t="s">
        <v>44</v>
      </c>
      <c r="H234" s="386" t="s">
        <v>44</v>
      </c>
    </row>
    <row r="235" ht="15.75" customHeight="1">
      <c r="A235" s="391"/>
      <c r="B235" s="386" t="s">
        <v>44</v>
      </c>
      <c r="C235" s="387" t="s">
        <v>44</v>
      </c>
      <c r="D235" s="388" t="s">
        <v>44</v>
      </c>
      <c r="E235" s="388" t="s">
        <v>44</v>
      </c>
      <c r="F235" s="387" t="s">
        <v>44</v>
      </c>
      <c r="G235" s="389" t="s">
        <v>44</v>
      </c>
      <c r="H235" s="386" t="s">
        <v>44</v>
      </c>
    </row>
    <row r="236" ht="15.75" customHeight="1">
      <c r="A236" s="391"/>
      <c r="B236" s="386" t="s">
        <v>44</v>
      </c>
      <c r="C236" s="387" t="s">
        <v>44</v>
      </c>
      <c r="D236" s="388" t="s">
        <v>44</v>
      </c>
      <c r="E236" s="388" t="s">
        <v>44</v>
      </c>
      <c r="F236" s="387" t="s">
        <v>44</v>
      </c>
      <c r="G236" s="389" t="s">
        <v>44</v>
      </c>
      <c r="H236" s="386" t="s">
        <v>44</v>
      </c>
    </row>
    <row r="237" ht="15.75" customHeight="1">
      <c r="A237" s="391"/>
      <c r="B237" s="386" t="s">
        <v>44</v>
      </c>
      <c r="C237" s="387" t="s">
        <v>44</v>
      </c>
      <c r="D237" s="388" t="s">
        <v>44</v>
      </c>
      <c r="E237" s="388" t="s">
        <v>44</v>
      </c>
      <c r="F237" s="387" t="s">
        <v>44</v>
      </c>
      <c r="G237" s="389" t="s">
        <v>44</v>
      </c>
      <c r="H237" s="386" t="s">
        <v>44</v>
      </c>
    </row>
    <row r="238" ht="15.75" customHeight="1">
      <c r="A238" s="391"/>
      <c r="B238" s="386" t="s">
        <v>44</v>
      </c>
      <c r="C238" s="387" t="s">
        <v>44</v>
      </c>
      <c r="D238" s="388" t="s">
        <v>44</v>
      </c>
      <c r="E238" s="388" t="s">
        <v>44</v>
      </c>
      <c r="F238" s="387" t="s">
        <v>44</v>
      </c>
      <c r="G238" s="389" t="s">
        <v>44</v>
      </c>
      <c r="H238" s="386" t="s">
        <v>44</v>
      </c>
    </row>
    <row r="239" ht="15.75" customHeight="1">
      <c r="A239" s="391"/>
      <c r="B239" s="386" t="s">
        <v>44</v>
      </c>
      <c r="C239" s="387" t="s">
        <v>44</v>
      </c>
      <c r="D239" s="388" t="s">
        <v>44</v>
      </c>
      <c r="E239" s="388" t="s">
        <v>44</v>
      </c>
      <c r="F239" s="387" t="s">
        <v>44</v>
      </c>
      <c r="G239" s="389" t="s">
        <v>44</v>
      </c>
      <c r="H239" s="386" t="s">
        <v>44</v>
      </c>
    </row>
    <row r="240" ht="15.75" customHeight="1">
      <c r="A240" s="391"/>
      <c r="B240" s="386" t="s">
        <v>44</v>
      </c>
      <c r="C240" s="387" t="s">
        <v>44</v>
      </c>
      <c r="D240" s="388" t="s">
        <v>44</v>
      </c>
      <c r="E240" s="388" t="s">
        <v>44</v>
      </c>
      <c r="F240" s="387" t="s">
        <v>44</v>
      </c>
      <c r="G240" s="389" t="s">
        <v>44</v>
      </c>
      <c r="H240" s="386" t="s">
        <v>44</v>
      </c>
    </row>
    <row r="241" ht="15.75" customHeight="1">
      <c r="A241" s="391"/>
      <c r="B241" s="386" t="s">
        <v>44</v>
      </c>
      <c r="C241" s="387" t="s">
        <v>44</v>
      </c>
      <c r="D241" s="388" t="s">
        <v>44</v>
      </c>
      <c r="E241" s="388" t="s">
        <v>44</v>
      </c>
      <c r="F241" s="387" t="s">
        <v>44</v>
      </c>
      <c r="G241" s="389" t="s">
        <v>44</v>
      </c>
      <c r="H241" s="386" t="s">
        <v>44</v>
      </c>
    </row>
    <row r="242" ht="15.75" customHeight="1">
      <c r="A242" s="391"/>
      <c r="B242" s="386" t="s">
        <v>44</v>
      </c>
      <c r="C242" s="387" t="s">
        <v>44</v>
      </c>
      <c r="D242" s="388" t="s">
        <v>44</v>
      </c>
      <c r="E242" s="388" t="s">
        <v>44</v>
      </c>
      <c r="F242" s="387" t="s">
        <v>44</v>
      </c>
      <c r="G242" s="389" t="s">
        <v>44</v>
      </c>
      <c r="H242" s="386" t="s">
        <v>44</v>
      </c>
    </row>
    <row r="243" ht="15.75" customHeight="1">
      <c r="A243" s="391"/>
      <c r="B243" s="386" t="s">
        <v>44</v>
      </c>
      <c r="C243" s="387" t="s">
        <v>44</v>
      </c>
      <c r="D243" s="388" t="s">
        <v>44</v>
      </c>
      <c r="E243" s="388" t="s">
        <v>44</v>
      </c>
      <c r="F243" s="387" t="s">
        <v>44</v>
      </c>
      <c r="G243" s="389" t="s">
        <v>44</v>
      </c>
      <c r="H243" s="386" t="s">
        <v>44</v>
      </c>
    </row>
    <row r="244" ht="15.75" customHeight="1">
      <c r="A244" s="391"/>
      <c r="B244" s="386" t="s">
        <v>44</v>
      </c>
      <c r="C244" s="387" t="s">
        <v>44</v>
      </c>
      <c r="D244" s="388" t="s">
        <v>44</v>
      </c>
      <c r="E244" s="388" t="s">
        <v>44</v>
      </c>
      <c r="F244" s="387" t="s">
        <v>44</v>
      </c>
      <c r="G244" s="389" t="s">
        <v>44</v>
      </c>
      <c r="H244" s="386" t="s">
        <v>44</v>
      </c>
    </row>
    <row r="245" ht="15.75" customHeight="1">
      <c r="A245" s="391"/>
      <c r="B245" s="386" t="s">
        <v>44</v>
      </c>
      <c r="C245" s="387" t="s">
        <v>44</v>
      </c>
      <c r="D245" s="388" t="s">
        <v>44</v>
      </c>
      <c r="E245" s="388" t="s">
        <v>44</v>
      </c>
      <c r="F245" s="387" t="s">
        <v>44</v>
      </c>
      <c r="G245" s="389" t="s">
        <v>44</v>
      </c>
      <c r="H245" s="386" t="s">
        <v>44</v>
      </c>
    </row>
    <row r="246" ht="15.75" customHeight="1">
      <c r="A246" s="391"/>
      <c r="B246" s="386" t="s">
        <v>44</v>
      </c>
      <c r="C246" s="387" t="s">
        <v>44</v>
      </c>
      <c r="D246" s="388" t="s">
        <v>44</v>
      </c>
      <c r="E246" s="388" t="s">
        <v>44</v>
      </c>
      <c r="F246" s="387" t="s">
        <v>44</v>
      </c>
      <c r="G246" s="389" t="s">
        <v>44</v>
      </c>
      <c r="H246" s="386" t="s">
        <v>44</v>
      </c>
    </row>
    <row r="247" ht="15.75" customHeight="1">
      <c r="A247" s="391"/>
      <c r="B247" s="386" t="s">
        <v>44</v>
      </c>
      <c r="C247" s="387" t="s">
        <v>44</v>
      </c>
      <c r="D247" s="388" t="s">
        <v>44</v>
      </c>
      <c r="E247" s="388" t="s">
        <v>44</v>
      </c>
      <c r="F247" s="387" t="s">
        <v>44</v>
      </c>
      <c r="G247" s="389" t="s">
        <v>44</v>
      </c>
      <c r="H247" s="386" t="s">
        <v>44</v>
      </c>
    </row>
    <row r="248" ht="15.75" customHeight="1">
      <c r="A248" s="391"/>
      <c r="B248" s="386" t="s">
        <v>44</v>
      </c>
      <c r="C248" s="387" t="s">
        <v>44</v>
      </c>
      <c r="D248" s="388" t="s">
        <v>44</v>
      </c>
      <c r="E248" s="388" t="s">
        <v>44</v>
      </c>
      <c r="F248" s="387" t="s">
        <v>44</v>
      </c>
      <c r="G248" s="389" t="s">
        <v>44</v>
      </c>
      <c r="H248" s="386" t="s">
        <v>44</v>
      </c>
    </row>
    <row r="249" ht="15.75" customHeight="1">
      <c r="A249" s="391"/>
      <c r="B249" s="386" t="s">
        <v>44</v>
      </c>
      <c r="C249" s="387" t="s">
        <v>44</v>
      </c>
      <c r="D249" s="388" t="s">
        <v>44</v>
      </c>
      <c r="E249" s="388" t="s">
        <v>44</v>
      </c>
      <c r="F249" s="387" t="s">
        <v>44</v>
      </c>
      <c r="G249" s="389" t="s">
        <v>44</v>
      </c>
      <c r="H249" s="386" t="s">
        <v>44</v>
      </c>
    </row>
    <row r="250" ht="15.75" customHeight="1">
      <c r="A250" s="391"/>
      <c r="B250" s="386" t="s">
        <v>44</v>
      </c>
      <c r="C250" s="387" t="s">
        <v>44</v>
      </c>
      <c r="D250" s="388" t="s">
        <v>44</v>
      </c>
      <c r="E250" s="388" t="s">
        <v>44</v>
      </c>
      <c r="F250" s="387" t="s">
        <v>44</v>
      </c>
      <c r="G250" s="389" t="s">
        <v>44</v>
      </c>
      <c r="H250" s="386" t="s">
        <v>44</v>
      </c>
    </row>
    <row r="251" ht="15.75" customHeight="1">
      <c r="A251" s="391"/>
      <c r="B251" s="386" t="s">
        <v>44</v>
      </c>
      <c r="C251" s="387" t="s">
        <v>44</v>
      </c>
      <c r="D251" s="388" t="s">
        <v>44</v>
      </c>
      <c r="E251" s="388" t="s">
        <v>44</v>
      </c>
      <c r="F251" s="387" t="s">
        <v>44</v>
      </c>
      <c r="G251" s="389" t="s">
        <v>44</v>
      </c>
      <c r="H251" s="386" t="s">
        <v>44</v>
      </c>
    </row>
    <row r="252" ht="15.75" customHeight="1">
      <c r="A252" s="391"/>
      <c r="B252" s="386" t="s">
        <v>44</v>
      </c>
      <c r="C252" s="387" t="s">
        <v>44</v>
      </c>
      <c r="D252" s="388" t="s">
        <v>44</v>
      </c>
      <c r="E252" s="388" t="s">
        <v>44</v>
      </c>
      <c r="F252" s="387" t="s">
        <v>44</v>
      </c>
      <c r="G252" s="389" t="s">
        <v>44</v>
      </c>
      <c r="H252" s="386" t="s">
        <v>44</v>
      </c>
    </row>
    <row r="253" ht="15.75" customHeight="1">
      <c r="A253" s="391"/>
      <c r="B253" s="386" t="s">
        <v>44</v>
      </c>
      <c r="C253" s="387" t="s">
        <v>44</v>
      </c>
      <c r="D253" s="388" t="s">
        <v>44</v>
      </c>
      <c r="E253" s="388" t="s">
        <v>44</v>
      </c>
      <c r="F253" s="387" t="s">
        <v>44</v>
      </c>
      <c r="G253" s="389" t="s">
        <v>44</v>
      </c>
      <c r="H253" s="386" t="s">
        <v>44</v>
      </c>
    </row>
    <row r="254" ht="15.75" customHeight="1">
      <c r="A254" s="391"/>
      <c r="B254" s="386" t="s">
        <v>44</v>
      </c>
      <c r="C254" s="387" t="s">
        <v>44</v>
      </c>
      <c r="D254" s="388" t="s">
        <v>44</v>
      </c>
      <c r="E254" s="388" t="s">
        <v>44</v>
      </c>
      <c r="F254" s="387" t="s">
        <v>44</v>
      </c>
      <c r="G254" s="389" t="s">
        <v>44</v>
      </c>
      <c r="H254" s="386" t="s">
        <v>44</v>
      </c>
    </row>
    <row r="255" ht="15.75" customHeight="1">
      <c r="A255" s="391"/>
      <c r="B255" s="386" t="s">
        <v>44</v>
      </c>
      <c r="C255" s="387" t="s">
        <v>44</v>
      </c>
      <c r="D255" s="388" t="s">
        <v>44</v>
      </c>
      <c r="E255" s="388" t="s">
        <v>44</v>
      </c>
      <c r="F255" s="387" t="s">
        <v>44</v>
      </c>
      <c r="G255" s="389" t="s">
        <v>44</v>
      </c>
      <c r="H255" s="386" t="s">
        <v>44</v>
      </c>
    </row>
    <row r="256" ht="15.75" customHeight="1">
      <c r="A256" s="391"/>
      <c r="B256" s="386" t="s">
        <v>44</v>
      </c>
      <c r="C256" s="387" t="s">
        <v>44</v>
      </c>
      <c r="D256" s="388" t="s">
        <v>44</v>
      </c>
      <c r="E256" s="388" t="s">
        <v>44</v>
      </c>
      <c r="F256" s="387" t="s">
        <v>44</v>
      </c>
      <c r="G256" s="389" t="s">
        <v>44</v>
      </c>
      <c r="H256" s="386" t="s">
        <v>44</v>
      </c>
    </row>
    <row r="257" ht="15.75" customHeight="1">
      <c r="A257" s="391"/>
      <c r="B257" s="386" t="s">
        <v>44</v>
      </c>
      <c r="C257" s="387" t="s">
        <v>44</v>
      </c>
      <c r="D257" s="388" t="s">
        <v>44</v>
      </c>
      <c r="E257" s="388" t="s">
        <v>44</v>
      </c>
      <c r="F257" s="387" t="s">
        <v>44</v>
      </c>
      <c r="G257" s="389" t="s">
        <v>44</v>
      </c>
      <c r="H257" s="386" t="s">
        <v>44</v>
      </c>
    </row>
    <row r="258" ht="15.75" customHeight="1">
      <c r="A258" s="391"/>
      <c r="B258" s="386" t="s">
        <v>44</v>
      </c>
      <c r="C258" s="387" t="s">
        <v>44</v>
      </c>
      <c r="D258" s="388" t="s">
        <v>44</v>
      </c>
      <c r="E258" s="388" t="s">
        <v>44</v>
      </c>
      <c r="F258" s="387" t="s">
        <v>44</v>
      </c>
      <c r="G258" s="389" t="s">
        <v>44</v>
      </c>
      <c r="H258" s="386" t="s">
        <v>44</v>
      </c>
    </row>
    <row r="259" ht="15.75" customHeight="1">
      <c r="A259" s="391"/>
      <c r="B259" s="386" t="s">
        <v>44</v>
      </c>
      <c r="C259" s="387" t="s">
        <v>44</v>
      </c>
      <c r="D259" s="388" t="s">
        <v>44</v>
      </c>
      <c r="E259" s="388" t="s">
        <v>44</v>
      </c>
      <c r="F259" s="387" t="s">
        <v>44</v>
      </c>
      <c r="G259" s="389" t="s">
        <v>44</v>
      </c>
      <c r="H259" s="386" t="s">
        <v>44</v>
      </c>
    </row>
    <row r="260" ht="15.75" customHeight="1">
      <c r="A260" s="391"/>
      <c r="B260" s="386" t="s">
        <v>44</v>
      </c>
      <c r="C260" s="387" t="s">
        <v>44</v>
      </c>
      <c r="D260" s="388" t="s">
        <v>44</v>
      </c>
      <c r="E260" s="388" t="s">
        <v>44</v>
      </c>
      <c r="F260" s="387" t="s">
        <v>44</v>
      </c>
      <c r="G260" s="389" t="s">
        <v>44</v>
      </c>
      <c r="H260" s="386" t="s">
        <v>44</v>
      </c>
    </row>
    <row r="261" ht="15.75" customHeight="1">
      <c r="A261" s="391"/>
      <c r="B261" s="386" t="s">
        <v>44</v>
      </c>
      <c r="C261" s="387" t="s">
        <v>44</v>
      </c>
      <c r="D261" s="388" t="s">
        <v>44</v>
      </c>
      <c r="E261" s="388" t="s">
        <v>44</v>
      </c>
      <c r="F261" s="387" t="s">
        <v>44</v>
      </c>
      <c r="G261" s="389" t="s">
        <v>44</v>
      </c>
      <c r="H261" s="386" t="s">
        <v>44</v>
      </c>
    </row>
    <row r="262" ht="15.75" customHeight="1">
      <c r="A262" s="391"/>
      <c r="B262" s="386" t="s">
        <v>44</v>
      </c>
      <c r="C262" s="387" t="s">
        <v>44</v>
      </c>
      <c r="D262" s="388" t="s">
        <v>44</v>
      </c>
      <c r="E262" s="388" t="s">
        <v>44</v>
      </c>
      <c r="F262" s="387" t="s">
        <v>44</v>
      </c>
      <c r="G262" s="389" t="s">
        <v>44</v>
      </c>
      <c r="H262" s="386" t="s">
        <v>44</v>
      </c>
    </row>
    <row r="263" ht="15.75" customHeight="1">
      <c r="A263" s="391"/>
      <c r="B263" s="386" t="s">
        <v>44</v>
      </c>
      <c r="C263" s="387" t="s">
        <v>44</v>
      </c>
      <c r="D263" s="388" t="s">
        <v>44</v>
      </c>
      <c r="E263" s="388" t="s">
        <v>44</v>
      </c>
      <c r="F263" s="387" t="s">
        <v>44</v>
      </c>
      <c r="G263" s="389" t="s">
        <v>44</v>
      </c>
      <c r="H263" s="386" t="s">
        <v>44</v>
      </c>
    </row>
    <row r="264" ht="15.75" customHeight="1">
      <c r="A264" s="391"/>
      <c r="B264" s="386" t="s">
        <v>44</v>
      </c>
      <c r="C264" s="387" t="s">
        <v>44</v>
      </c>
      <c r="D264" s="388" t="s">
        <v>44</v>
      </c>
      <c r="E264" s="388" t="s">
        <v>44</v>
      </c>
      <c r="F264" s="387" t="s">
        <v>44</v>
      </c>
      <c r="G264" s="389" t="s">
        <v>44</v>
      </c>
      <c r="H264" s="386" t="s">
        <v>44</v>
      </c>
    </row>
    <row r="265" ht="15.75" customHeight="1">
      <c r="A265" s="391"/>
      <c r="B265" s="386" t="s">
        <v>44</v>
      </c>
      <c r="C265" s="387" t="s">
        <v>44</v>
      </c>
      <c r="D265" s="388" t="s">
        <v>44</v>
      </c>
      <c r="E265" s="388" t="s">
        <v>44</v>
      </c>
      <c r="F265" s="387" t="s">
        <v>44</v>
      </c>
      <c r="G265" s="389" t="s">
        <v>44</v>
      </c>
      <c r="H265" s="386" t="s">
        <v>44</v>
      </c>
    </row>
    <row r="266" ht="15.75" customHeight="1">
      <c r="A266" s="391"/>
      <c r="B266" s="386" t="s">
        <v>44</v>
      </c>
      <c r="C266" s="387" t="s">
        <v>44</v>
      </c>
      <c r="D266" s="388" t="s">
        <v>44</v>
      </c>
      <c r="E266" s="388" t="s">
        <v>44</v>
      </c>
      <c r="F266" s="387" t="s">
        <v>44</v>
      </c>
      <c r="G266" s="389" t="s">
        <v>44</v>
      </c>
      <c r="H266" s="386" t="s">
        <v>44</v>
      </c>
    </row>
    <row r="267" ht="15.75" customHeight="1">
      <c r="A267" s="391"/>
      <c r="B267" s="386" t="s">
        <v>44</v>
      </c>
      <c r="C267" s="387" t="s">
        <v>44</v>
      </c>
      <c r="D267" s="388" t="s">
        <v>44</v>
      </c>
      <c r="E267" s="388" t="s">
        <v>44</v>
      </c>
      <c r="F267" s="387" t="s">
        <v>44</v>
      </c>
      <c r="G267" s="389" t="s">
        <v>44</v>
      </c>
      <c r="H267" s="386" t="s">
        <v>44</v>
      </c>
    </row>
    <row r="268" ht="15.75" customHeight="1">
      <c r="A268" s="391"/>
      <c r="B268" s="386" t="s">
        <v>44</v>
      </c>
      <c r="C268" s="387" t="s">
        <v>44</v>
      </c>
      <c r="D268" s="388" t="s">
        <v>44</v>
      </c>
      <c r="E268" s="388" t="s">
        <v>44</v>
      </c>
      <c r="F268" s="387" t="s">
        <v>44</v>
      </c>
      <c r="G268" s="389" t="s">
        <v>44</v>
      </c>
      <c r="H268" s="386" t="s">
        <v>44</v>
      </c>
    </row>
    <row r="269" ht="15.75" customHeight="1">
      <c r="A269" s="391"/>
      <c r="B269" s="386" t="s">
        <v>44</v>
      </c>
      <c r="C269" s="387" t="s">
        <v>44</v>
      </c>
      <c r="D269" s="388" t="s">
        <v>44</v>
      </c>
      <c r="E269" s="388" t="s">
        <v>44</v>
      </c>
      <c r="F269" s="387" t="s">
        <v>44</v>
      </c>
      <c r="G269" s="389" t="s">
        <v>44</v>
      </c>
      <c r="H269" s="386" t="s">
        <v>44</v>
      </c>
    </row>
    <row r="270" ht="15.75" customHeight="1">
      <c r="A270" s="391"/>
      <c r="B270" s="386" t="s">
        <v>44</v>
      </c>
      <c r="C270" s="387" t="s">
        <v>44</v>
      </c>
      <c r="D270" s="388" t="s">
        <v>44</v>
      </c>
      <c r="E270" s="388" t="s">
        <v>44</v>
      </c>
      <c r="F270" s="387" t="s">
        <v>44</v>
      </c>
      <c r="G270" s="389" t="s">
        <v>44</v>
      </c>
      <c r="H270" s="386" t="s">
        <v>44</v>
      </c>
    </row>
    <row r="271" ht="15.75" customHeight="1">
      <c r="A271" s="391"/>
      <c r="B271" s="386" t="s">
        <v>44</v>
      </c>
      <c r="C271" s="387" t="s">
        <v>44</v>
      </c>
      <c r="D271" s="388" t="s">
        <v>44</v>
      </c>
      <c r="E271" s="388" t="s">
        <v>44</v>
      </c>
      <c r="F271" s="387" t="s">
        <v>44</v>
      </c>
      <c r="G271" s="389" t="s">
        <v>44</v>
      </c>
      <c r="H271" s="386" t="s">
        <v>44</v>
      </c>
    </row>
    <row r="272" ht="15.75" customHeight="1">
      <c r="A272" s="391"/>
      <c r="B272" s="386" t="s">
        <v>44</v>
      </c>
      <c r="C272" s="387" t="s">
        <v>44</v>
      </c>
      <c r="D272" s="388" t="s">
        <v>44</v>
      </c>
      <c r="E272" s="388" t="s">
        <v>44</v>
      </c>
      <c r="F272" s="387" t="s">
        <v>44</v>
      </c>
      <c r="G272" s="389" t="s">
        <v>44</v>
      </c>
      <c r="H272" s="386" t="s">
        <v>44</v>
      </c>
    </row>
    <row r="273" ht="15.75" customHeight="1">
      <c r="A273" s="391"/>
      <c r="B273" s="386" t="s">
        <v>44</v>
      </c>
      <c r="C273" s="387" t="s">
        <v>44</v>
      </c>
      <c r="D273" s="388" t="s">
        <v>44</v>
      </c>
      <c r="E273" s="388" t="s">
        <v>44</v>
      </c>
      <c r="F273" s="387" t="s">
        <v>44</v>
      </c>
      <c r="G273" s="389" t="s">
        <v>44</v>
      </c>
      <c r="H273" s="386" t="s">
        <v>44</v>
      </c>
    </row>
    <row r="274" ht="15.75" customHeight="1">
      <c r="A274" s="391"/>
      <c r="B274" s="386" t="s">
        <v>44</v>
      </c>
      <c r="C274" s="387" t="s">
        <v>44</v>
      </c>
      <c r="D274" s="388" t="s">
        <v>44</v>
      </c>
      <c r="E274" s="388" t="s">
        <v>44</v>
      </c>
      <c r="F274" s="387" t="s">
        <v>44</v>
      </c>
      <c r="G274" s="389" t="s">
        <v>44</v>
      </c>
      <c r="H274" s="386" t="s">
        <v>44</v>
      </c>
    </row>
    <row r="275" ht="15.75" customHeight="1">
      <c r="A275" s="391"/>
      <c r="B275" s="386" t="s">
        <v>44</v>
      </c>
      <c r="C275" s="387" t="s">
        <v>44</v>
      </c>
      <c r="D275" s="388" t="s">
        <v>44</v>
      </c>
      <c r="E275" s="388" t="s">
        <v>44</v>
      </c>
      <c r="F275" s="387" t="s">
        <v>44</v>
      </c>
      <c r="G275" s="389" t="s">
        <v>44</v>
      </c>
      <c r="H275" s="386" t="s">
        <v>44</v>
      </c>
    </row>
    <row r="276" ht="15.75" customHeight="1">
      <c r="A276" s="391"/>
      <c r="B276" s="386" t="s">
        <v>44</v>
      </c>
      <c r="C276" s="387" t="s">
        <v>44</v>
      </c>
      <c r="D276" s="388" t="s">
        <v>44</v>
      </c>
      <c r="E276" s="388" t="s">
        <v>44</v>
      </c>
      <c r="F276" s="387" t="s">
        <v>44</v>
      </c>
      <c r="G276" s="389" t="s">
        <v>44</v>
      </c>
      <c r="H276" s="386" t="s">
        <v>44</v>
      </c>
    </row>
    <row r="277" ht="15.75" customHeight="1">
      <c r="A277" s="391"/>
      <c r="B277" s="386" t="s">
        <v>44</v>
      </c>
      <c r="C277" s="387" t="s">
        <v>44</v>
      </c>
      <c r="D277" s="388" t="s">
        <v>44</v>
      </c>
      <c r="E277" s="388" t="s">
        <v>44</v>
      </c>
      <c r="F277" s="387" t="s">
        <v>44</v>
      </c>
      <c r="G277" s="389" t="s">
        <v>44</v>
      </c>
      <c r="H277" s="386" t="s">
        <v>44</v>
      </c>
    </row>
    <row r="278" ht="15.75" customHeight="1">
      <c r="A278" s="391"/>
      <c r="B278" s="386" t="s">
        <v>44</v>
      </c>
      <c r="C278" s="387" t="s">
        <v>44</v>
      </c>
      <c r="D278" s="388" t="s">
        <v>44</v>
      </c>
      <c r="E278" s="388" t="s">
        <v>44</v>
      </c>
      <c r="F278" s="387" t="s">
        <v>44</v>
      </c>
      <c r="G278" s="389" t="s">
        <v>44</v>
      </c>
      <c r="H278" s="386" t="s">
        <v>44</v>
      </c>
    </row>
    <row r="279" ht="15.75" customHeight="1">
      <c r="A279" s="391"/>
      <c r="B279" s="386" t="s">
        <v>44</v>
      </c>
      <c r="C279" s="387" t="s">
        <v>44</v>
      </c>
      <c r="D279" s="388" t="s">
        <v>44</v>
      </c>
      <c r="E279" s="388" t="s">
        <v>44</v>
      </c>
      <c r="F279" s="387" t="s">
        <v>44</v>
      </c>
      <c r="G279" s="389" t="s">
        <v>44</v>
      </c>
      <c r="H279" s="386" t="s">
        <v>44</v>
      </c>
    </row>
    <row r="280" ht="15.75" customHeight="1">
      <c r="A280" s="391"/>
      <c r="B280" s="386" t="s">
        <v>44</v>
      </c>
      <c r="C280" s="387" t="s">
        <v>44</v>
      </c>
      <c r="D280" s="388" t="s">
        <v>44</v>
      </c>
      <c r="E280" s="388" t="s">
        <v>44</v>
      </c>
      <c r="F280" s="387" t="s">
        <v>44</v>
      </c>
      <c r="G280" s="389" t="s">
        <v>44</v>
      </c>
      <c r="H280" s="386" t="s">
        <v>44</v>
      </c>
    </row>
    <row r="281" ht="15.75" customHeight="1">
      <c r="A281" s="391"/>
      <c r="B281" s="386" t="s">
        <v>44</v>
      </c>
      <c r="C281" s="387" t="s">
        <v>44</v>
      </c>
      <c r="D281" s="388" t="s">
        <v>44</v>
      </c>
      <c r="E281" s="388" t="s">
        <v>44</v>
      </c>
      <c r="F281" s="387" t="s">
        <v>44</v>
      </c>
      <c r="G281" s="389" t="s">
        <v>44</v>
      </c>
      <c r="H281" s="386" t="s">
        <v>44</v>
      </c>
    </row>
    <row r="282" ht="15.75" customHeight="1">
      <c r="A282" s="391"/>
      <c r="B282" s="386" t="s">
        <v>44</v>
      </c>
      <c r="C282" s="387" t="s">
        <v>44</v>
      </c>
      <c r="D282" s="388" t="s">
        <v>44</v>
      </c>
      <c r="E282" s="388" t="s">
        <v>44</v>
      </c>
      <c r="F282" s="387" t="s">
        <v>44</v>
      </c>
      <c r="G282" s="389" t="s">
        <v>44</v>
      </c>
      <c r="H282" s="386" t="s">
        <v>44</v>
      </c>
    </row>
    <row r="283" ht="15.75" customHeight="1">
      <c r="A283" s="391"/>
      <c r="B283" s="386" t="s">
        <v>44</v>
      </c>
      <c r="C283" s="387" t="s">
        <v>44</v>
      </c>
      <c r="D283" s="388" t="s">
        <v>44</v>
      </c>
      <c r="E283" s="388" t="s">
        <v>44</v>
      </c>
      <c r="F283" s="387" t="s">
        <v>44</v>
      </c>
      <c r="G283" s="389" t="s">
        <v>44</v>
      </c>
      <c r="H283" s="386" t="s">
        <v>44</v>
      </c>
    </row>
    <row r="284" ht="15.75" customHeight="1">
      <c r="A284" s="391"/>
      <c r="B284" s="386" t="s">
        <v>44</v>
      </c>
      <c r="C284" s="387" t="s">
        <v>44</v>
      </c>
      <c r="D284" s="388" t="s">
        <v>44</v>
      </c>
      <c r="E284" s="388" t="s">
        <v>44</v>
      </c>
      <c r="F284" s="387" t="s">
        <v>44</v>
      </c>
      <c r="G284" s="389" t="s">
        <v>44</v>
      </c>
      <c r="H284" s="386" t="s">
        <v>44</v>
      </c>
    </row>
    <row r="285" ht="15.75" customHeight="1">
      <c r="A285" s="391"/>
      <c r="B285" s="386" t="s">
        <v>44</v>
      </c>
      <c r="C285" s="387" t="s">
        <v>44</v>
      </c>
      <c r="D285" s="388" t="s">
        <v>44</v>
      </c>
      <c r="E285" s="388" t="s">
        <v>44</v>
      </c>
      <c r="F285" s="387" t="s">
        <v>44</v>
      </c>
      <c r="G285" s="389" t="s">
        <v>44</v>
      </c>
      <c r="H285" s="386" t="s">
        <v>44</v>
      </c>
    </row>
    <row r="286" ht="15.75" customHeight="1">
      <c r="A286" s="391"/>
      <c r="B286" s="386" t="s">
        <v>44</v>
      </c>
      <c r="C286" s="387" t="s">
        <v>44</v>
      </c>
      <c r="D286" s="388" t="s">
        <v>44</v>
      </c>
      <c r="E286" s="388" t="s">
        <v>44</v>
      </c>
      <c r="F286" s="387" t="s">
        <v>44</v>
      </c>
      <c r="G286" s="389" t="s">
        <v>44</v>
      </c>
      <c r="H286" s="386" t="s">
        <v>44</v>
      </c>
    </row>
    <row r="287" ht="15.75" customHeight="1">
      <c r="A287" s="391"/>
      <c r="B287" s="386" t="s">
        <v>44</v>
      </c>
      <c r="C287" s="387" t="s">
        <v>44</v>
      </c>
      <c r="D287" s="388" t="s">
        <v>44</v>
      </c>
      <c r="E287" s="388" t="s">
        <v>44</v>
      </c>
      <c r="F287" s="387" t="s">
        <v>44</v>
      </c>
      <c r="G287" s="389" t="s">
        <v>44</v>
      </c>
      <c r="H287" s="386" t="s">
        <v>44</v>
      </c>
    </row>
    <row r="288" ht="15.75" customHeight="1">
      <c r="A288" s="391"/>
      <c r="B288" s="386" t="s">
        <v>44</v>
      </c>
      <c r="C288" s="387" t="s">
        <v>44</v>
      </c>
      <c r="D288" s="388" t="s">
        <v>44</v>
      </c>
      <c r="E288" s="388" t="s">
        <v>44</v>
      </c>
      <c r="F288" s="387" t="s">
        <v>44</v>
      </c>
      <c r="G288" s="389" t="s">
        <v>44</v>
      </c>
      <c r="H288" s="386" t="s">
        <v>44</v>
      </c>
    </row>
    <row r="289" ht="15.75" customHeight="1">
      <c r="A289" s="391"/>
      <c r="B289" s="386" t="s">
        <v>44</v>
      </c>
      <c r="C289" s="387" t="s">
        <v>44</v>
      </c>
      <c r="D289" s="388" t="s">
        <v>44</v>
      </c>
      <c r="E289" s="388" t="s">
        <v>44</v>
      </c>
      <c r="F289" s="387" t="s">
        <v>44</v>
      </c>
      <c r="G289" s="389" t="s">
        <v>44</v>
      </c>
      <c r="H289" s="386" t="s">
        <v>44</v>
      </c>
    </row>
    <row r="290" ht="15.75" customHeight="1">
      <c r="A290" s="391"/>
      <c r="B290" s="386" t="s">
        <v>44</v>
      </c>
      <c r="C290" s="387" t="s">
        <v>44</v>
      </c>
      <c r="D290" s="388" t="s">
        <v>44</v>
      </c>
      <c r="E290" s="388" t="s">
        <v>44</v>
      </c>
      <c r="F290" s="387" t="s">
        <v>44</v>
      </c>
      <c r="G290" s="389" t="s">
        <v>44</v>
      </c>
      <c r="H290" s="386" t="s">
        <v>44</v>
      </c>
    </row>
    <row r="291" ht="15.75" customHeight="1">
      <c r="A291" s="391"/>
      <c r="B291" s="386" t="s">
        <v>44</v>
      </c>
      <c r="C291" s="387" t="s">
        <v>44</v>
      </c>
      <c r="D291" s="388" t="s">
        <v>44</v>
      </c>
      <c r="E291" s="388" t="s">
        <v>44</v>
      </c>
      <c r="F291" s="387" t="s">
        <v>44</v>
      </c>
      <c r="G291" s="389" t="s">
        <v>44</v>
      </c>
      <c r="H291" s="386" t="s">
        <v>44</v>
      </c>
    </row>
    <row r="292" ht="15.75" customHeight="1">
      <c r="A292" s="391"/>
      <c r="B292" s="386" t="s">
        <v>44</v>
      </c>
      <c r="C292" s="387" t="s">
        <v>44</v>
      </c>
      <c r="D292" s="388" t="s">
        <v>44</v>
      </c>
      <c r="E292" s="388" t="s">
        <v>44</v>
      </c>
      <c r="F292" s="387" t="s">
        <v>44</v>
      </c>
      <c r="G292" s="389" t="s">
        <v>44</v>
      </c>
      <c r="H292" s="386" t="s">
        <v>44</v>
      </c>
    </row>
    <row r="293" ht="15.75" customHeight="1">
      <c r="A293" s="391"/>
      <c r="B293" s="386" t="s">
        <v>44</v>
      </c>
      <c r="C293" s="387" t="s">
        <v>44</v>
      </c>
      <c r="D293" s="388" t="s">
        <v>44</v>
      </c>
      <c r="E293" s="388" t="s">
        <v>44</v>
      </c>
      <c r="F293" s="387" t="s">
        <v>44</v>
      </c>
      <c r="G293" s="389" t="s">
        <v>44</v>
      </c>
      <c r="H293" s="386" t="s">
        <v>44</v>
      </c>
    </row>
    <row r="294" ht="15.75" customHeight="1">
      <c r="A294" s="391"/>
      <c r="B294" s="386" t="s">
        <v>44</v>
      </c>
      <c r="C294" s="387" t="s">
        <v>44</v>
      </c>
      <c r="D294" s="388" t="s">
        <v>44</v>
      </c>
      <c r="E294" s="388" t="s">
        <v>44</v>
      </c>
      <c r="F294" s="387" t="s">
        <v>44</v>
      </c>
      <c r="G294" s="389" t="s">
        <v>44</v>
      </c>
      <c r="H294" s="386" t="s">
        <v>44</v>
      </c>
    </row>
    <row r="295" ht="15.75" customHeight="1">
      <c r="A295" s="391"/>
      <c r="B295" s="386" t="s">
        <v>44</v>
      </c>
      <c r="C295" s="387" t="s">
        <v>44</v>
      </c>
      <c r="D295" s="388" t="s">
        <v>44</v>
      </c>
      <c r="E295" s="388" t="s">
        <v>44</v>
      </c>
      <c r="F295" s="387" t="s">
        <v>44</v>
      </c>
      <c r="G295" s="389" t="s">
        <v>44</v>
      </c>
      <c r="H295" s="386" t="s">
        <v>44</v>
      </c>
    </row>
    <row r="296" ht="15.75" customHeight="1">
      <c r="A296" s="391"/>
      <c r="B296" s="386" t="s">
        <v>44</v>
      </c>
      <c r="C296" s="387" t="s">
        <v>44</v>
      </c>
      <c r="D296" s="388" t="s">
        <v>44</v>
      </c>
      <c r="E296" s="388" t="s">
        <v>44</v>
      </c>
      <c r="F296" s="387" t="s">
        <v>44</v>
      </c>
      <c r="G296" s="389" t="s">
        <v>44</v>
      </c>
      <c r="H296" s="386" t="s">
        <v>44</v>
      </c>
    </row>
    <row r="297" ht="15.75" customHeight="1">
      <c r="A297" s="391"/>
      <c r="B297" s="386" t="s">
        <v>44</v>
      </c>
      <c r="C297" s="387" t="s">
        <v>44</v>
      </c>
      <c r="D297" s="388" t="s">
        <v>44</v>
      </c>
      <c r="E297" s="388" t="s">
        <v>44</v>
      </c>
      <c r="F297" s="387" t="s">
        <v>44</v>
      </c>
      <c r="G297" s="389" t="s">
        <v>44</v>
      </c>
      <c r="H297" s="386" t="s">
        <v>44</v>
      </c>
    </row>
    <row r="298" ht="15.75" customHeight="1">
      <c r="A298" s="391"/>
      <c r="B298" s="386" t="s">
        <v>44</v>
      </c>
      <c r="C298" s="387" t="s">
        <v>44</v>
      </c>
      <c r="D298" s="388" t="s">
        <v>44</v>
      </c>
      <c r="E298" s="388" t="s">
        <v>44</v>
      </c>
      <c r="F298" s="387" t="s">
        <v>44</v>
      </c>
      <c r="G298" s="389" t="s">
        <v>44</v>
      </c>
      <c r="H298" s="386" t="s">
        <v>44</v>
      </c>
    </row>
    <row r="299" ht="15.75" customHeight="1">
      <c r="A299" s="391"/>
      <c r="B299" s="386" t="s">
        <v>44</v>
      </c>
      <c r="C299" s="387" t="s">
        <v>44</v>
      </c>
      <c r="D299" s="388" t="s">
        <v>44</v>
      </c>
      <c r="E299" s="388" t="s">
        <v>44</v>
      </c>
      <c r="F299" s="387" t="s">
        <v>44</v>
      </c>
      <c r="G299" s="389" t="s">
        <v>44</v>
      </c>
      <c r="H299" s="386" t="s">
        <v>44</v>
      </c>
    </row>
    <row r="300" ht="15.75" customHeight="1">
      <c r="A300" s="391"/>
      <c r="B300" s="386" t="s">
        <v>44</v>
      </c>
      <c r="C300" s="387" t="s">
        <v>44</v>
      </c>
      <c r="D300" s="388" t="s">
        <v>44</v>
      </c>
      <c r="E300" s="388" t="s">
        <v>44</v>
      </c>
      <c r="F300" s="387" t="s">
        <v>44</v>
      </c>
      <c r="G300" s="389" t="s">
        <v>44</v>
      </c>
      <c r="H300" s="386" t="s">
        <v>44</v>
      </c>
    </row>
    <row r="301" ht="15.75" customHeight="1">
      <c r="A301" s="391"/>
      <c r="B301" s="386" t="s">
        <v>44</v>
      </c>
      <c r="C301" s="387" t="s">
        <v>44</v>
      </c>
      <c r="D301" s="388" t="s">
        <v>44</v>
      </c>
      <c r="E301" s="388" t="s">
        <v>44</v>
      </c>
      <c r="F301" s="387" t="s">
        <v>44</v>
      </c>
      <c r="G301" s="389" t="s">
        <v>44</v>
      </c>
      <c r="H301" s="386" t="s">
        <v>44</v>
      </c>
    </row>
    <row r="302" ht="15.75" customHeight="1">
      <c r="A302" s="391"/>
      <c r="B302" s="386" t="s">
        <v>44</v>
      </c>
      <c r="C302" s="387" t="s">
        <v>44</v>
      </c>
      <c r="D302" s="388" t="s">
        <v>44</v>
      </c>
      <c r="E302" s="388" t="s">
        <v>44</v>
      </c>
      <c r="F302" s="387" t="s">
        <v>44</v>
      </c>
      <c r="G302" s="389" t="s">
        <v>44</v>
      </c>
      <c r="H302" s="386" t="s">
        <v>44</v>
      </c>
    </row>
    <row r="303" ht="15.75" customHeight="1">
      <c r="A303" s="391"/>
      <c r="B303" s="386" t="s">
        <v>44</v>
      </c>
      <c r="C303" s="387" t="s">
        <v>44</v>
      </c>
      <c r="D303" s="388" t="s">
        <v>44</v>
      </c>
      <c r="E303" s="388" t="s">
        <v>44</v>
      </c>
      <c r="F303" s="387" t="s">
        <v>44</v>
      </c>
      <c r="G303" s="389" t="s">
        <v>44</v>
      </c>
      <c r="H303" s="386" t="s">
        <v>44</v>
      </c>
    </row>
    <row r="304" ht="15.75" customHeight="1">
      <c r="A304" s="391"/>
      <c r="B304" s="386" t="s">
        <v>44</v>
      </c>
      <c r="C304" s="387" t="s">
        <v>44</v>
      </c>
      <c r="D304" s="388" t="s">
        <v>44</v>
      </c>
      <c r="E304" s="388" t="s">
        <v>44</v>
      </c>
      <c r="F304" s="387" t="s">
        <v>44</v>
      </c>
      <c r="G304" s="389" t="s">
        <v>44</v>
      </c>
      <c r="H304" s="386" t="s">
        <v>44</v>
      </c>
    </row>
    <row r="305" ht="15.75" customHeight="1">
      <c r="A305" s="391"/>
      <c r="B305" s="386" t="s">
        <v>44</v>
      </c>
      <c r="C305" s="387" t="s">
        <v>44</v>
      </c>
      <c r="D305" s="388" t="s">
        <v>44</v>
      </c>
      <c r="E305" s="388" t="s">
        <v>44</v>
      </c>
      <c r="F305" s="387" t="s">
        <v>44</v>
      </c>
      <c r="G305" s="389" t="s">
        <v>44</v>
      </c>
      <c r="H305" s="386" t="s">
        <v>44</v>
      </c>
    </row>
    <row r="306" ht="15.75" customHeight="1">
      <c r="A306" s="391"/>
      <c r="B306" s="386" t="s">
        <v>44</v>
      </c>
      <c r="C306" s="387" t="s">
        <v>44</v>
      </c>
      <c r="D306" s="388" t="s">
        <v>44</v>
      </c>
      <c r="E306" s="388" t="s">
        <v>44</v>
      </c>
      <c r="F306" s="387" t="s">
        <v>44</v>
      </c>
      <c r="G306" s="389" t="s">
        <v>44</v>
      </c>
      <c r="H306" s="386" t="s">
        <v>44</v>
      </c>
    </row>
    <row r="307" ht="15.75" customHeight="1">
      <c r="A307" s="391"/>
      <c r="B307" s="386" t="s">
        <v>44</v>
      </c>
      <c r="C307" s="387" t="s">
        <v>44</v>
      </c>
      <c r="D307" s="388" t="s">
        <v>44</v>
      </c>
      <c r="E307" s="388" t="s">
        <v>44</v>
      </c>
      <c r="F307" s="387" t="s">
        <v>44</v>
      </c>
      <c r="G307" s="389" t="s">
        <v>44</v>
      </c>
      <c r="H307" s="386" t="s">
        <v>44</v>
      </c>
    </row>
    <row r="308" ht="15.75" customHeight="1">
      <c r="A308" s="391"/>
      <c r="B308" s="386" t="s">
        <v>44</v>
      </c>
      <c r="C308" s="387" t="s">
        <v>44</v>
      </c>
      <c r="D308" s="388" t="s">
        <v>44</v>
      </c>
      <c r="E308" s="388" t="s">
        <v>44</v>
      </c>
      <c r="F308" s="387" t="s">
        <v>44</v>
      </c>
      <c r="G308" s="389" t="s">
        <v>44</v>
      </c>
      <c r="H308" s="386" t="s">
        <v>44</v>
      </c>
    </row>
    <row r="309" ht="15.75" customHeight="1">
      <c r="A309" s="391"/>
      <c r="B309" s="386" t="s">
        <v>44</v>
      </c>
      <c r="C309" s="387" t="s">
        <v>44</v>
      </c>
      <c r="D309" s="388" t="s">
        <v>44</v>
      </c>
      <c r="E309" s="388" t="s">
        <v>44</v>
      </c>
      <c r="F309" s="387" t="s">
        <v>44</v>
      </c>
      <c r="G309" s="389" t="s">
        <v>44</v>
      </c>
      <c r="H309" s="386" t="s">
        <v>44</v>
      </c>
    </row>
    <row r="310" ht="15.75" customHeight="1">
      <c r="A310" s="391"/>
      <c r="B310" s="386" t="s">
        <v>44</v>
      </c>
      <c r="C310" s="387" t="s">
        <v>44</v>
      </c>
      <c r="D310" s="388" t="s">
        <v>44</v>
      </c>
      <c r="E310" s="388" t="s">
        <v>44</v>
      </c>
      <c r="F310" s="387" t="s">
        <v>44</v>
      </c>
      <c r="G310" s="389" t="s">
        <v>44</v>
      </c>
      <c r="H310" s="386" t="s">
        <v>44</v>
      </c>
    </row>
    <row r="311" ht="15.75" customHeight="1">
      <c r="A311" s="391"/>
      <c r="B311" s="386" t="s">
        <v>44</v>
      </c>
      <c r="C311" s="387" t="s">
        <v>44</v>
      </c>
      <c r="D311" s="388" t="s">
        <v>44</v>
      </c>
      <c r="E311" s="388" t="s">
        <v>44</v>
      </c>
      <c r="F311" s="387" t="s">
        <v>44</v>
      </c>
      <c r="G311" s="389" t="s">
        <v>44</v>
      </c>
      <c r="H311" s="386" t="s">
        <v>44</v>
      </c>
    </row>
    <row r="312" ht="15.75" customHeight="1">
      <c r="A312" s="391"/>
      <c r="B312" s="386" t="s">
        <v>44</v>
      </c>
      <c r="C312" s="387" t="s">
        <v>44</v>
      </c>
      <c r="D312" s="388" t="s">
        <v>44</v>
      </c>
      <c r="E312" s="388" t="s">
        <v>44</v>
      </c>
      <c r="F312" s="387" t="s">
        <v>44</v>
      </c>
      <c r="G312" s="389" t="s">
        <v>44</v>
      </c>
      <c r="H312" s="386" t="s">
        <v>44</v>
      </c>
    </row>
    <row r="313" ht="15.75" customHeight="1">
      <c r="A313" s="391"/>
      <c r="B313" s="386" t="s">
        <v>44</v>
      </c>
      <c r="C313" s="387" t="s">
        <v>44</v>
      </c>
      <c r="D313" s="388" t="s">
        <v>44</v>
      </c>
      <c r="E313" s="388" t="s">
        <v>44</v>
      </c>
      <c r="F313" s="387" t="s">
        <v>44</v>
      </c>
      <c r="G313" s="389" t="s">
        <v>44</v>
      </c>
      <c r="H313" s="386" t="s">
        <v>44</v>
      </c>
    </row>
    <row r="314" ht="15.75" customHeight="1">
      <c r="A314" s="391"/>
      <c r="B314" s="386" t="s">
        <v>44</v>
      </c>
      <c r="C314" s="387" t="s">
        <v>44</v>
      </c>
      <c r="D314" s="388" t="s">
        <v>44</v>
      </c>
      <c r="E314" s="388" t="s">
        <v>44</v>
      </c>
      <c r="F314" s="387" t="s">
        <v>44</v>
      </c>
      <c r="G314" s="389" t="s">
        <v>44</v>
      </c>
      <c r="H314" s="386" t="s">
        <v>44</v>
      </c>
    </row>
    <row r="315" ht="15.75" customHeight="1">
      <c r="A315" s="391"/>
      <c r="B315" s="386" t="s">
        <v>44</v>
      </c>
      <c r="C315" s="387" t="s">
        <v>44</v>
      </c>
      <c r="D315" s="388" t="s">
        <v>44</v>
      </c>
      <c r="E315" s="388" t="s">
        <v>44</v>
      </c>
      <c r="F315" s="387" t="s">
        <v>44</v>
      </c>
      <c r="G315" s="389" t="s">
        <v>44</v>
      </c>
      <c r="H315" s="386" t="s">
        <v>44</v>
      </c>
    </row>
    <row r="316" ht="15.75" customHeight="1">
      <c r="A316" s="391"/>
      <c r="B316" s="386" t="s">
        <v>44</v>
      </c>
      <c r="C316" s="387" t="s">
        <v>44</v>
      </c>
      <c r="D316" s="388" t="s">
        <v>44</v>
      </c>
      <c r="E316" s="388" t="s">
        <v>44</v>
      </c>
      <c r="F316" s="387" t="s">
        <v>44</v>
      </c>
      <c r="G316" s="389" t="s">
        <v>44</v>
      </c>
      <c r="H316" s="386" t="s">
        <v>44</v>
      </c>
    </row>
    <row r="317" ht="15.75" customHeight="1">
      <c r="A317" s="391"/>
      <c r="B317" s="386" t="s">
        <v>44</v>
      </c>
      <c r="C317" s="387" t="s">
        <v>44</v>
      </c>
      <c r="D317" s="388" t="s">
        <v>44</v>
      </c>
      <c r="E317" s="388" t="s">
        <v>44</v>
      </c>
      <c r="F317" s="387" t="s">
        <v>44</v>
      </c>
      <c r="G317" s="389" t="s">
        <v>44</v>
      </c>
      <c r="H317" s="386" t="s">
        <v>44</v>
      </c>
    </row>
    <row r="318" ht="15.75" customHeight="1">
      <c r="A318" s="391"/>
      <c r="B318" s="386" t="s">
        <v>44</v>
      </c>
      <c r="C318" s="387" t="s">
        <v>44</v>
      </c>
      <c r="D318" s="388" t="s">
        <v>44</v>
      </c>
      <c r="E318" s="388" t="s">
        <v>44</v>
      </c>
      <c r="F318" s="387" t="s">
        <v>44</v>
      </c>
      <c r="G318" s="389" t="s">
        <v>44</v>
      </c>
      <c r="H318" s="386" t="s">
        <v>44</v>
      </c>
    </row>
    <row r="319" ht="15.75" customHeight="1">
      <c r="A319" s="391"/>
      <c r="B319" s="386" t="s">
        <v>44</v>
      </c>
      <c r="C319" s="387" t="s">
        <v>44</v>
      </c>
      <c r="D319" s="388" t="s">
        <v>44</v>
      </c>
      <c r="E319" s="388" t="s">
        <v>44</v>
      </c>
      <c r="F319" s="387" t="s">
        <v>44</v>
      </c>
      <c r="G319" s="389" t="s">
        <v>44</v>
      </c>
      <c r="H319" s="386" t="s">
        <v>44</v>
      </c>
    </row>
    <row r="320" ht="15.75" customHeight="1">
      <c r="A320" s="391"/>
      <c r="B320" s="386" t="s">
        <v>44</v>
      </c>
      <c r="C320" s="387" t="s">
        <v>44</v>
      </c>
      <c r="D320" s="388" t="s">
        <v>44</v>
      </c>
      <c r="E320" s="388" t="s">
        <v>44</v>
      </c>
      <c r="F320" s="387" t="s">
        <v>44</v>
      </c>
      <c r="G320" s="389" t="s">
        <v>44</v>
      </c>
      <c r="H320" s="386" t="s">
        <v>44</v>
      </c>
    </row>
    <row r="321" ht="15.75" customHeight="1">
      <c r="A321" s="391"/>
      <c r="B321" s="386" t="s">
        <v>44</v>
      </c>
      <c r="C321" s="387" t="s">
        <v>44</v>
      </c>
      <c r="D321" s="388" t="s">
        <v>44</v>
      </c>
      <c r="E321" s="388" t="s">
        <v>44</v>
      </c>
      <c r="F321" s="387" t="s">
        <v>44</v>
      </c>
      <c r="G321" s="389" t="s">
        <v>44</v>
      </c>
      <c r="H321" s="386" t="s">
        <v>44</v>
      </c>
    </row>
    <row r="322" ht="15.75" customHeight="1">
      <c r="A322" s="391"/>
      <c r="B322" s="386" t="s">
        <v>44</v>
      </c>
      <c r="C322" s="387" t="s">
        <v>44</v>
      </c>
      <c r="D322" s="388" t="s">
        <v>44</v>
      </c>
      <c r="E322" s="388" t="s">
        <v>44</v>
      </c>
      <c r="F322" s="387" t="s">
        <v>44</v>
      </c>
      <c r="G322" s="389" t="s">
        <v>44</v>
      </c>
      <c r="H322" s="386" t="s">
        <v>44</v>
      </c>
    </row>
    <row r="323" ht="15.75" customHeight="1">
      <c r="A323" s="391"/>
      <c r="B323" s="386" t="s">
        <v>44</v>
      </c>
      <c r="C323" s="387" t="s">
        <v>44</v>
      </c>
      <c r="D323" s="388" t="s">
        <v>44</v>
      </c>
      <c r="E323" s="388" t="s">
        <v>44</v>
      </c>
      <c r="F323" s="387" t="s">
        <v>44</v>
      </c>
      <c r="G323" s="389" t="s">
        <v>44</v>
      </c>
      <c r="H323" s="386" t="s">
        <v>44</v>
      </c>
    </row>
    <row r="324" ht="15.75" customHeight="1">
      <c r="A324" s="391"/>
      <c r="B324" s="386" t="s">
        <v>44</v>
      </c>
      <c r="C324" s="387" t="s">
        <v>44</v>
      </c>
      <c r="D324" s="388" t="s">
        <v>44</v>
      </c>
      <c r="E324" s="388" t="s">
        <v>44</v>
      </c>
      <c r="F324" s="387" t="s">
        <v>44</v>
      </c>
      <c r="G324" s="389" t="s">
        <v>44</v>
      </c>
      <c r="H324" s="386" t="s">
        <v>44</v>
      </c>
    </row>
    <row r="325" ht="15.75" customHeight="1">
      <c r="A325" s="391"/>
      <c r="B325" s="386" t="s">
        <v>44</v>
      </c>
      <c r="C325" s="387" t="s">
        <v>44</v>
      </c>
      <c r="D325" s="388" t="s">
        <v>44</v>
      </c>
      <c r="E325" s="388" t="s">
        <v>44</v>
      </c>
      <c r="F325" s="387" t="s">
        <v>44</v>
      </c>
      <c r="G325" s="389" t="s">
        <v>44</v>
      </c>
      <c r="H325" s="386" t="s">
        <v>44</v>
      </c>
    </row>
    <row r="326" ht="15.75" customHeight="1">
      <c r="A326" s="391"/>
      <c r="B326" s="386" t="s">
        <v>44</v>
      </c>
      <c r="C326" s="387" t="s">
        <v>44</v>
      </c>
      <c r="D326" s="388" t="s">
        <v>44</v>
      </c>
      <c r="E326" s="388" t="s">
        <v>44</v>
      </c>
      <c r="F326" s="387" t="s">
        <v>44</v>
      </c>
      <c r="G326" s="389" t="s">
        <v>44</v>
      </c>
      <c r="H326" s="386" t="s">
        <v>44</v>
      </c>
    </row>
    <row r="327" ht="15.75" customHeight="1">
      <c r="A327" s="391"/>
      <c r="B327" s="386" t="s">
        <v>44</v>
      </c>
      <c r="C327" s="387" t="s">
        <v>44</v>
      </c>
      <c r="D327" s="388" t="s">
        <v>44</v>
      </c>
      <c r="E327" s="388" t="s">
        <v>44</v>
      </c>
      <c r="F327" s="387" t="s">
        <v>44</v>
      </c>
      <c r="G327" s="389" t="s">
        <v>44</v>
      </c>
      <c r="H327" s="386" t="s">
        <v>44</v>
      </c>
    </row>
    <row r="328" ht="15.75" customHeight="1">
      <c r="A328" s="391"/>
      <c r="B328" s="386" t="s">
        <v>44</v>
      </c>
      <c r="C328" s="387" t="s">
        <v>44</v>
      </c>
      <c r="D328" s="388" t="s">
        <v>44</v>
      </c>
      <c r="E328" s="388" t="s">
        <v>44</v>
      </c>
      <c r="F328" s="387" t="s">
        <v>44</v>
      </c>
      <c r="G328" s="389" t="s">
        <v>44</v>
      </c>
      <c r="H328" s="386" t="s">
        <v>44</v>
      </c>
    </row>
    <row r="329" ht="15.75" customHeight="1">
      <c r="A329" s="391"/>
      <c r="B329" s="386" t="s">
        <v>44</v>
      </c>
      <c r="C329" s="387" t="s">
        <v>44</v>
      </c>
      <c r="D329" s="388" t="s">
        <v>44</v>
      </c>
      <c r="E329" s="388" t="s">
        <v>44</v>
      </c>
      <c r="F329" s="387" t="s">
        <v>44</v>
      </c>
      <c r="G329" s="389" t="s">
        <v>44</v>
      </c>
      <c r="H329" s="386" t="s">
        <v>44</v>
      </c>
    </row>
    <row r="330" ht="15.75" customHeight="1">
      <c r="A330" s="391"/>
      <c r="B330" s="386" t="s">
        <v>44</v>
      </c>
      <c r="C330" s="387" t="s">
        <v>44</v>
      </c>
      <c r="D330" s="388" t="s">
        <v>44</v>
      </c>
      <c r="E330" s="388" t="s">
        <v>44</v>
      </c>
      <c r="F330" s="387" t="s">
        <v>44</v>
      </c>
      <c r="G330" s="389" t="s">
        <v>44</v>
      </c>
      <c r="H330" s="386" t="s">
        <v>44</v>
      </c>
    </row>
    <row r="331" ht="15.75" customHeight="1">
      <c r="A331" s="391"/>
      <c r="B331" s="386" t="s">
        <v>44</v>
      </c>
      <c r="C331" s="387" t="s">
        <v>44</v>
      </c>
      <c r="D331" s="388" t="s">
        <v>44</v>
      </c>
      <c r="E331" s="388" t="s">
        <v>44</v>
      </c>
      <c r="F331" s="387" t="s">
        <v>44</v>
      </c>
      <c r="G331" s="389" t="s">
        <v>44</v>
      </c>
      <c r="H331" s="386" t="s">
        <v>44</v>
      </c>
    </row>
    <row r="332" ht="15.75" customHeight="1">
      <c r="A332" s="391"/>
      <c r="B332" s="386" t="s">
        <v>44</v>
      </c>
      <c r="C332" s="387" t="s">
        <v>44</v>
      </c>
      <c r="D332" s="388" t="s">
        <v>44</v>
      </c>
      <c r="E332" s="388" t="s">
        <v>44</v>
      </c>
      <c r="F332" s="387" t="s">
        <v>44</v>
      </c>
      <c r="G332" s="389" t="s">
        <v>44</v>
      </c>
      <c r="H332" s="386" t="s">
        <v>44</v>
      </c>
    </row>
    <row r="333" ht="15.75" customHeight="1">
      <c r="A333" s="391"/>
      <c r="B333" s="386" t="s">
        <v>44</v>
      </c>
      <c r="C333" s="387" t="s">
        <v>44</v>
      </c>
      <c r="D333" s="388" t="s">
        <v>44</v>
      </c>
      <c r="E333" s="388" t="s">
        <v>44</v>
      </c>
      <c r="F333" s="387" t="s">
        <v>44</v>
      </c>
      <c r="G333" s="389" t="s">
        <v>44</v>
      </c>
      <c r="H333" s="386" t="s">
        <v>44</v>
      </c>
    </row>
    <row r="334" ht="15.75" customHeight="1">
      <c r="A334" s="391"/>
      <c r="B334" s="386" t="s">
        <v>44</v>
      </c>
      <c r="C334" s="387" t="s">
        <v>44</v>
      </c>
      <c r="D334" s="388" t="s">
        <v>44</v>
      </c>
      <c r="E334" s="388" t="s">
        <v>44</v>
      </c>
      <c r="F334" s="387" t="s">
        <v>44</v>
      </c>
      <c r="G334" s="389" t="s">
        <v>44</v>
      </c>
      <c r="H334" s="386" t="s">
        <v>44</v>
      </c>
    </row>
    <row r="335" ht="15.75" customHeight="1">
      <c r="A335" s="391"/>
      <c r="B335" s="386" t="s">
        <v>44</v>
      </c>
      <c r="C335" s="387" t="s">
        <v>44</v>
      </c>
      <c r="D335" s="388" t="s">
        <v>44</v>
      </c>
      <c r="E335" s="388" t="s">
        <v>44</v>
      </c>
      <c r="F335" s="387" t="s">
        <v>44</v>
      </c>
      <c r="G335" s="389" t="s">
        <v>44</v>
      </c>
      <c r="H335" s="386" t="s">
        <v>44</v>
      </c>
    </row>
    <row r="336" ht="15.75" customHeight="1">
      <c r="A336" s="391"/>
      <c r="B336" s="386" t="s">
        <v>44</v>
      </c>
      <c r="C336" s="387" t="s">
        <v>44</v>
      </c>
      <c r="D336" s="388" t="s">
        <v>44</v>
      </c>
      <c r="E336" s="388" t="s">
        <v>44</v>
      </c>
      <c r="F336" s="387" t="s">
        <v>44</v>
      </c>
      <c r="G336" s="389" t="s">
        <v>44</v>
      </c>
      <c r="H336" s="386" t="s">
        <v>44</v>
      </c>
    </row>
    <row r="337" ht="15.75" customHeight="1">
      <c r="A337" s="391"/>
      <c r="B337" s="386" t="s">
        <v>44</v>
      </c>
      <c r="C337" s="387" t="s">
        <v>44</v>
      </c>
      <c r="D337" s="388" t="s">
        <v>44</v>
      </c>
      <c r="E337" s="388" t="s">
        <v>44</v>
      </c>
      <c r="F337" s="387" t="s">
        <v>44</v>
      </c>
      <c r="G337" s="389" t="s">
        <v>44</v>
      </c>
      <c r="H337" s="386" t="s">
        <v>44</v>
      </c>
    </row>
    <row r="338" ht="15.75" customHeight="1">
      <c r="A338" s="391"/>
      <c r="B338" s="386" t="s">
        <v>44</v>
      </c>
      <c r="C338" s="387" t="s">
        <v>44</v>
      </c>
      <c r="D338" s="388" t="s">
        <v>44</v>
      </c>
      <c r="E338" s="388" t="s">
        <v>44</v>
      </c>
      <c r="F338" s="387" t="s">
        <v>44</v>
      </c>
      <c r="G338" s="389" t="s">
        <v>44</v>
      </c>
      <c r="H338" s="386" t="s">
        <v>44</v>
      </c>
    </row>
    <row r="339" ht="15.75" customHeight="1">
      <c r="A339" s="391"/>
      <c r="B339" s="386" t="s">
        <v>44</v>
      </c>
      <c r="C339" s="387" t="s">
        <v>44</v>
      </c>
      <c r="D339" s="388" t="s">
        <v>44</v>
      </c>
      <c r="E339" s="388" t="s">
        <v>44</v>
      </c>
      <c r="F339" s="387" t="s">
        <v>44</v>
      </c>
      <c r="G339" s="389" t="s">
        <v>44</v>
      </c>
      <c r="H339" s="386" t="s">
        <v>44</v>
      </c>
    </row>
    <row r="340" ht="15.75" customHeight="1">
      <c r="A340" s="391"/>
      <c r="B340" s="386" t="s">
        <v>44</v>
      </c>
      <c r="C340" s="387" t="s">
        <v>44</v>
      </c>
      <c r="D340" s="388" t="s">
        <v>44</v>
      </c>
      <c r="E340" s="388" t="s">
        <v>44</v>
      </c>
      <c r="F340" s="387" t="s">
        <v>44</v>
      </c>
      <c r="G340" s="389" t="s">
        <v>44</v>
      </c>
      <c r="H340" s="386" t="s">
        <v>44</v>
      </c>
    </row>
    <row r="341" ht="15.75" customHeight="1">
      <c r="A341" s="391"/>
      <c r="B341" s="386" t="s">
        <v>44</v>
      </c>
      <c r="C341" s="387" t="s">
        <v>44</v>
      </c>
      <c r="D341" s="388" t="s">
        <v>44</v>
      </c>
      <c r="E341" s="388" t="s">
        <v>44</v>
      </c>
      <c r="F341" s="387" t="s">
        <v>44</v>
      </c>
      <c r="G341" s="389" t="s">
        <v>44</v>
      </c>
      <c r="H341" s="386" t="s">
        <v>44</v>
      </c>
    </row>
    <row r="342" ht="15.75" customHeight="1">
      <c r="A342" s="391"/>
      <c r="B342" s="386" t="s">
        <v>44</v>
      </c>
      <c r="C342" s="387" t="s">
        <v>44</v>
      </c>
      <c r="D342" s="388" t="s">
        <v>44</v>
      </c>
      <c r="E342" s="388" t="s">
        <v>44</v>
      </c>
      <c r="F342" s="387" t="s">
        <v>44</v>
      </c>
      <c r="G342" s="389" t="s">
        <v>44</v>
      </c>
      <c r="H342" s="386" t="s">
        <v>44</v>
      </c>
    </row>
    <row r="343" ht="15.75" customHeight="1">
      <c r="A343" s="391"/>
      <c r="B343" s="386" t="s">
        <v>44</v>
      </c>
      <c r="C343" s="387" t="s">
        <v>44</v>
      </c>
      <c r="D343" s="388" t="s">
        <v>44</v>
      </c>
      <c r="E343" s="388" t="s">
        <v>44</v>
      </c>
      <c r="F343" s="387" t="s">
        <v>44</v>
      </c>
      <c r="G343" s="389" t="s">
        <v>44</v>
      </c>
      <c r="H343" s="386" t="s">
        <v>44</v>
      </c>
    </row>
    <row r="344" ht="15.75" customHeight="1">
      <c r="A344" s="391"/>
      <c r="B344" s="386" t="s">
        <v>44</v>
      </c>
      <c r="C344" s="387" t="s">
        <v>44</v>
      </c>
      <c r="D344" s="388" t="s">
        <v>44</v>
      </c>
      <c r="E344" s="388" t="s">
        <v>44</v>
      </c>
      <c r="F344" s="387" t="s">
        <v>44</v>
      </c>
      <c r="G344" s="389" t="s">
        <v>44</v>
      </c>
      <c r="H344" s="386" t="s">
        <v>44</v>
      </c>
    </row>
    <row r="345" ht="15.75" customHeight="1">
      <c r="A345" s="391"/>
      <c r="B345" s="386" t="s">
        <v>44</v>
      </c>
      <c r="C345" s="387" t="s">
        <v>44</v>
      </c>
      <c r="D345" s="388" t="s">
        <v>44</v>
      </c>
      <c r="E345" s="388" t="s">
        <v>44</v>
      </c>
      <c r="F345" s="387" t="s">
        <v>44</v>
      </c>
      <c r="G345" s="389" t="s">
        <v>44</v>
      </c>
      <c r="H345" s="386" t="s">
        <v>44</v>
      </c>
    </row>
    <row r="346" ht="15.75" customHeight="1">
      <c r="A346" s="391"/>
      <c r="B346" s="386" t="s">
        <v>44</v>
      </c>
      <c r="C346" s="387" t="s">
        <v>44</v>
      </c>
      <c r="D346" s="388" t="s">
        <v>44</v>
      </c>
      <c r="E346" s="388" t="s">
        <v>44</v>
      </c>
      <c r="F346" s="387" t="s">
        <v>44</v>
      </c>
      <c r="G346" s="389" t="s">
        <v>44</v>
      </c>
      <c r="H346" s="386" t="s">
        <v>44</v>
      </c>
    </row>
    <row r="347" ht="15.75" customHeight="1">
      <c r="A347" s="391"/>
      <c r="B347" s="386" t="s">
        <v>44</v>
      </c>
      <c r="C347" s="387" t="s">
        <v>44</v>
      </c>
      <c r="D347" s="388" t="s">
        <v>44</v>
      </c>
      <c r="E347" s="388" t="s">
        <v>44</v>
      </c>
      <c r="F347" s="387" t="s">
        <v>44</v>
      </c>
      <c r="G347" s="389" t="s">
        <v>44</v>
      </c>
      <c r="H347" s="386" t="s">
        <v>44</v>
      </c>
    </row>
    <row r="348" ht="15.75" customHeight="1">
      <c r="A348" s="391"/>
      <c r="B348" s="386" t="s">
        <v>44</v>
      </c>
      <c r="C348" s="387" t="s">
        <v>44</v>
      </c>
      <c r="D348" s="388" t="s">
        <v>44</v>
      </c>
      <c r="E348" s="388" t="s">
        <v>44</v>
      </c>
      <c r="F348" s="387" t="s">
        <v>44</v>
      </c>
      <c r="G348" s="389" t="s">
        <v>44</v>
      </c>
      <c r="H348" s="386" t="s">
        <v>44</v>
      </c>
    </row>
    <row r="349" ht="15.75" customHeight="1">
      <c r="A349" s="391"/>
      <c r="B349" s="386" t="s">
        <v>44</v>
      </c>
      <c r="C349" s="387" t="s">
        <v>44</v>
      </c>
      <c r="D349" s="388" t="s">
        <v>44</v>
      </c>
      <c r="E349" s="388" t="s">
        <v>44</v>
      </c>
      <c r="F349" s="387" t="s">
        <v>44</v>
      </c>
      <c r="G349" s="389" t="s">
        <v>44</v>
      </c>
      <c r="H349" s="386" t="s">
        <v>44</v>
      </c>
    </row>
    <row r="350" ht="15.75" customHeight="1">
      <c r="A350" s="391"/>
      <c r="B350" s="386" t="s">
        <v>44</v>
      </c>
      <c r="C350" s="387" t="s">
        <v>44</v>
      </c>
      <c r="D350" s="388" t="s">
        <v>44</v>
      </c>
      <c r="E350" s="388" t="s">
        <v>44</v>
      </c>
      <c r="F350" s="387" t="s">
        <v>44</v>
      </c>
      <c r="G350" s="389" t="s">
        <v>44</v>
      </c>
      <c r="H350" s="386" t="s">
        <v>44</v>
      </c>
    </row>
    <row r="351" ht="15.75" customHeight="1">
      <c r="A351" s="391"/>
      <c r="B351" s="386" t="s">
        <v>44</v>
      </c>
      <c r="C351" s="387" t="s">
        <v>44</v>
      </c>
      <c r="D351" s="388" t="s">
        <v>44</v>
      </c>
      <c r="E351" s="388" t="s">
        <v>44</v>
      </c>
      <c r="F351" s="387" t="s">
        <v>44</v>
      </c>
      <c r="G351" s="389" t="s">
        <v>44</v>
      </c>
      <c r="H351" s="386" t="s">
        <v>44</v>
      </c>
    </row>
    <row r="352" ht="15.75" customHeight="1">
      <c r="A352" s="391"/>
      <c r="B352" s="386" t="s">
        <v>44</v>
      </c>
      <c r="C352" s="387" t="s">
        <v>44</v>
      </c>
      <c r="D352" s="388" t="s">
        <v>44</v>
      </c>
      <c r="E352" s="388" t="s">
        <v>44</v>
      </c>
      <c r="F352" s="387" t="s">
        <v>44</v>
      </c>
      <c r="G352" s="389" t="s">
        <v>44</v>
      </c>
      <c r="H352" s="386" t="s">
        <v>44</v>
      </c>
    </row>
    <row r="353" ht="15.75" customHeight="1">
      <c r="A353" s="391"/>
      <c r="B353" s="386" t="s">
        <v>44</v>
      </c>
      <c r="C353" s="387" t="s">
        <v>44</v>
      </c>
      <c r="D353" s="388" t="s">
        <v>44</v>
      </c>
      <c r="E353" s="388" t="s">
        <v>44</v>
      </c>
      <c r="F353" s="387" t="s">
        <v>44</v>
      </c>
      <c r="G353" s="389" t="s">
        <v>44</v>
      </c>
      <c r="H353" s="386" t="s">
        <v>44</v>
      </c>
    </row>
    <row r="354" ht="15.75" customHeight="1">
      <c r="A354" s="391"/>
      <c r="B354" s="386" t="s">
        <v>44</v>
      </c>
      <c r="C354" s="387" t="s">
        <v>44</v>
      </c>
      <c r="D354" s="388" t="s">
        <v>44</v>
      </c>
      <c r="E354" s="388" t="s">
        <v>44</v>
      </c>
      <c r="F354" s="387" t="s">
        <v>44</v>
      </c>
      <c r="G354" s="389" t="s">
        <v>44</v>
      </c>
      <c r="H354" s="386" t="s">
        <v>44</v>
      </c>
    </row>
    <row r="355" ht="15.75" customHeight="1">
      <c r="A355" s="391"/>
      <c r="B355" s="386" t="s">
        <v>44</v>
      </c>
      <c r="C355" s="387" t="s">
        <v>44</v>
      </c>
      <c r="D355" s="388" t="s">
        <v>44</v>
      </c>
      <c r="E355" s="388" t="s">
        <v>44</v>
      </c>
      <c r="F355" s="387" t="s">
        <v>44</v>
      </c>
      <c r="G355" s="389" t="s">
        <v>44</v>
      </c>
      <c r="H355" s="386" t="s">
        <v>44</v>
      </c>
    </row>
    <row r="356" ht="15.75" customHeight="1">
      <c r="A356" s="391"/>
      <c r="B356" s="386" t="s">
        <v>44</v>
      </c>
      <c r="C356" s="387" t="s">
        <v>44</v>
      </c>
      <c r="D356" s="388" t="s">
        <v>44</v>
      </c>
      <c r="E356" s="388" t="s">
        <v>44</v>
      </c>
      <c r="F356" s="387" t="s">
        <v>44</v>
      </c>
      <c r="G356" s="389" t="s">
        <v>44</v>
      </c>
      <c r="H356" s="386" t="s">
        <v>44</v>
      </c>
    </row>
    <row r="357" ht="15.75" customHeight="1">
      <c r="A357" s="391"/>
      <c r="B357" s="386" t="s">
        <v>44</v>
      </c>
      <c r="C357" s="387" t="s">
        <v>44</v>
      </c>
      <c r="D357" s="388" t="s">
        <v>44</v>
      </c>
      <c r="E357" s="388" t="s">
        <v>44</v>
      </c>
      <c r="F357" s="387" t="s">
        <v>44</v>
      </c>
      <c r="G357" s="389" t="s">
        <v>44</v>
      </c>
      <c r="H357" s="386" t="s">
        <v>44</v>
      </c>
    </row>
    <row r="358" ht="15.75" customHeight="1">
      <c r="A358" s="391"/>
      <c r="B358" s="386" t="s">
        <v>44</v>
      </c>
      <c r="C358" s="387" t="s">
        <v>44</v>
      </c>
      <c r="D358" s="388" t="s">
        <v>44</v>
      </c>
      <c r="E358" s="388" t="s">
        <v>44</v>
      </c>
      <c r="F358" s="387" t="s">
        <v>44</v>
      </c>
      <c r="G358" s="389" t="s">
        <v>44</v>
      </c>
      <c r="H358" s="386" t="s">
        <v>44</v>
      </c>
    </row>
    <row r="359" ht="15.75" customHeight="1">
      <c r="A359" s="391"/>
      <c r="B359" s="386" t="s">
        <v>44</v>
      </c>
      <c r="C359" s="387" t="s">
        <v>44</v>
      </c>
      <c r="D359" s="388" t="s">
        <v>44</v>
      </c>
      <c r="E359" s="388" t="s">
        <v>44</v>
      </c>
      <c r="F359" s="387" t="s">
        <v>44</v>
      </c>
      <c r="G359" s="389" t="s">
        <v>44</v>
      </c>
      <c r="H359" s="386" t="s">
        <v>44</v>
      </c>
    </row>
    <row r="360" ht="15.75" customHeight="1">
      <c r="A360" s="391"/>
      <c r="B360" s="386" t="s">
        <v>44</v>
      </c>
      <c r="C360" s="387" t="s">
        <v>44</v>
      </c>
      <c r="D360" s="388" t="s">
        <v>44</v>
      </c>
      <c r="E360" s="388" t="s">
        <v>44</v>
      </c>
      <c r="F360" s="387" t="s">
        <v>44</v>
      </c>
      <c r="G360" s="389" t="s">
        <v>44</v>
      </c>
      <c r="H360" s="386" t="s">
        <v>44</v>
      </c>
    </row>
    <row r="361" ht="15.75" customHeight="1">
      <c r="A361" s="391"/>
      <c r="B361" s="386" t="s">
        <v>44</v>
      </c>
      <c r="C361" s="387" t="s">
        <v>44</v>
      </c>
      <c r="D361" s="388" t="s">
        <v>44</v>
      </c>
      <c r="E361" s="388" t="s">
        <v>44</v>
      </c>
      <c r="F361" s="387" t="s">
        <v>44</v>
      </c>
      <c r="G361" s="389" t="s">
        <v>44</v>
      </c>
      <c r="H361" s="386" t="s">
        <v>44</v>
      </c>
    </row>
    <row r="362" ht="15.75" customHeight="1">
      <c r="A362" s="391"/>
      <c r="B362" s="386" t="s">
        <v>44</v>
      </c>
      <c r="C362" s="387" t="s">
        <v>44</v>
      </c>
      <c r="D362" s="388" t="s">
        <v>44</v>
      </c>
      <c r="E362" s="388" t="s">
        <v>44</v>
      </c>
      <c r="F362" s="387" t="s">
        <v>44</v>
      </c>
      <c r="G362" s="389" t="s">
        <v>44</v>
      </c>
      <c r="H362" s="386" t="s">
        <v>44</v>
      </c>
    </row>
    <row r="363" ht="15.75" customHeight="1">
      <c r="A363" s="391"/>
      <c r="B363" s="386" t="s">
        <v>44</v>
      </c>
      <c r="C363" s="387" t="s">
        <v>44</v>
      </c>
      <c r="D363" s="388" t="s">
        <v>44</v>
      </c>
      <c r="E363" s="388" t="s">
        <v>44</v>
      </c>
      <c r="F363" s="387" t="s">
        <v>44</v>
      </c>
      <c r="G363" s="389" t="s">
        <v>44</v>
      </c>
      <c r="H363" s="386" t="s">
        <v>44</v>
      </c>
    </row>
    <row r="364" ht="15.75" customHeight="1">
      <c r="A364" s="391"/>
      <c r="B364" s="386" t="s">
        <v>44</v>
      </c>
      <c r="C364" s="387" t="s">
        <v>44</v>
      </c>
      <c r="D364" s="388" t="s">
        <v>44</v>
      </c>
      <c r="E364" s="388" t="s">
        <v>44</v>
      </c>
      <c r="F364" s="387" t="s">
        <v>44</v>
      </c>
      <c r="G364" s="389" t="s">
        <v>44</v>
      </c>
      <c r="H364" s="386" t="s">
        <v>44</v>
      </c>
    </row>
    <row r="365" ht="15.75" customHeight="1">
      <c r="A365" s="391"/>
      <c r="B365" s="386" t="s">
        <v>44</v>
      </c>
      <c r="C365" s="387" t="s">
        <v>44</v>
      </c>
      <c r="D365" s="388" t="s">
        <v>44</v>
      </c>
      <c r="E365" s="388" t="s">
        <v>44</v>
      </c>
      <c r="F365" s="387" t="s">
        <v>44</v>
      </c>
      <c r="G365" s="389" t="s">
        <v>44</v>
      </c>
      <c r="H365" s="386" t="s">
        <v>44</v>
      </c>
    </row>
    <row r="366" ht="15.75" customHeight="1">
      <c r="A366" s="391"/>
      <c r="B366" s="386" t="s">
        <v>44</v>
      </c>
      <c r="C366" s="387" t="s">
        <v>44</v>
      </c>
      <c r="D366" s="388" t="s">
        <v>44</v>
      </c>
      <c r="E366" s="388" t="s">
        <v>44</v>
      </c>
      <c r="F366" s="387" t="s">
        <v>44</v>
      </c>
      <c r="G366" s="389" t="s">
        <v>44</v>
      </c>
      <c r="H366" s="386" t="s">
        <v>44</v>
      </c>
    </row>
    <row r="367" ht="15.75" customHeight="1">
      <c r="A367" s="391"/>
      <c r="B367" s="386" t="s">
        <v>44</v>
      </c>
      <c r="C367" s="387" t="s">
        <v>44</v>
      </c>
      <c r="D367" s="388" t="s">
        <v>44</v>
      </c>
      <c r="E367" s="388" t="s">
        <v>44</v>
      </c>
      <c r="F367" s="387" t="s">
        <v>44</v>
      </c>
      <c r="G367" s="389" t="s">
        <v>44</v>
      </c>
      <c r="H367" s="386" t="s">
        <v>44</v>
      </c>
    </row>
    <row r="368" ht="15.75" customHeight="1">
      <c r="A368" s="391"/>
      <c r="B368" s="386" t="s">
        <v>44</v>
      </c>
      <c r="C368" s="387" t="s">
        <v>44</v>
      </c>
      <c r="D368" s="388" t="s">
        <v>44</v>
      </c>
      <c r="E368" s="388" t="s">
        <v>44</v>
      </c>
      <c r="F368" s="387" t="s">
        <v>44</v>
      </c>
      <c r="G368" s="389" t="s">
        <v>44</v>
      </c>
      <c r="H368" s="386" t="s">
        <v>44</v>
      </c>
    </row>
    <row r="369" ht="15.75" customHeight="1">
      <c r="A369" s="391"/>
      <c r="B369" s="386" t="s">
        <v>44</v>
      </c>
      <c r="C369" s="387" t="s">
        <v>44</v>
      </c>
      <c r="D369" s="388" t="s">
        <v>44</v>
      </c>
      <c r="E369" s="388" t="s">
        <v>44</v>
      </c>
      <c r="F369" s="387" t="s">
        <v>44</v>
      </c>
      <c r="G369" s="389" t="s">
        <v>44</v>
      </c>
      <c r="H369" s="386" t="s">
        <v>44</v>
      </c>
    </row>
    <row r="370" ht="15.75" customHeight="1">
      <c r="A370" s="391"/>
      <c r="B370" s="386" t="s">
        <v>44</v>
      </c>
      <c r="C370" s="387" t="s">
        <v>44</v>
      </c>
      <c r="D370" s="388" t="s">
        <v>44</v>
      </c>
      <c r="E370" s="388" t="s">
        <v>44</v>
      </c>
      <c r="F370" s="387" t="s">
        <v>44</v>
      </c>
      <c r="G370" s="389" t="s">
        <v>44</v>
      </c>
      <c r="H370" s="386" t="s">
        <v>44</v>
      </c>
    </row>
    <row r="371" ht="15.75" customHeight="1">
      <c r="A371" s="391"/>
      <c r="B371" s="386" t="s">
        <v>44</v>
      </c>
      <c r="C371" s="387" t="s">
        <v>44</v>
      </c>
      <c r="D371" s="388" t="s">
        <v>44</v>
      </c>
      <c r="E371" s="388" t="s">
        <v>44</v>
      </c>
      <c r="F371" s="387" t="s">
        <v>44</v>
      </c>
      <c r="G371" s="389" t="s">
        <v>44</v>
      </c>
      <c r="H371" s="386" t="s">
        <v>44</v>
      </c>
    </row>
    <row r="372" ht="15.75" customHeight="1">
      <c r="A372" s="391"/>
      <c r="B372" s="386" t="s">
        <v>44</v>
      </c>
      <c r="C372" s="387" t="s">
        <v>44</v>
      </c>
      <c r="D372" s="388" t="s">
        <v>44</v>
      </c>
      <c r="E372" s="388" t="s">
        <v>44</v>
      </c>
      <c r="F372" s="387" t="s">
        <v>44</v>
      </c>
      <c r="G372" s="389" t="s">
        <v>44</v>
      </c>
      <c r="H372" s="386" t="s">
        <v>44</v>
      </c>
    </row>
    <row r="373" ht="15.75" customHeight="1">
      <c r="A373" s="391"/>
      <c r="B373" s="386" t="s">
        <v>44</v>
      </c>
      <c r="C373" s="387" t="s">
        <v>44</v>
      </c>
      <c r="D373" s="388" t="s">
        <v>44</v>
      </c>
      <c r="E373" s="388" t="s">
        <v>44</v>
      </c>
      <c r="F373" s="387" t="s">
        <v>44</v>
      </c>
      <c r="G373" s="389" t="s">
        <v>44</v>
      </c>
      <c r="H373" s="386" t="s">
        <v>44</v>
      </c>
    </row>
    <row r="374" ht="15.75" customHeight="1">
      <c r="A374" s="391"/>
      <c r="B374" s="386" t="s">
        <v>44</v>
      </c>
      <c r="C374" s="387" t="s">
        <v>44</v>
      </c>
      <c r="D374" s="388" t="s">
        <v>44</v>
      </c>
      <c r="E374" s="388" t="s">
        <v>44</v>
      </c>
      <c r="F374" s="387" t="s">
        <v>44</v>
      </c>
      <c r="G374" s="389" t="s">
        <v>44</v>
      </c>
      <c r="H374" s="386" t="s">
        <v>44</v>
      </c>
    </row>
    <row r="375" ht="15.75" customHeight="1">
      <c r="A375" s="391"/>
      <c r="B375" s="386" t="s">
        <v>44</v>
      </c>
      <c r="C375" s="387" t="s">
        <v>44</v>
      </c>
      <c r="D375" s="388" t="s">
        <v>44</v>
      </c>
      <c r="E375" s="388" t="s">
        <v>44</v>
      </c>
      <c r="F375" s="387" t="s">
        <v>44</v>
      </c>
      <c r="G375" s="389" t="s">
        <v>44</v>
      </c>
      <c r="H375" s="386" t="s">
        <v>44</v>
      </c>
    </row>
    <row r="376" ht="15.75" customHeight="1">
      <c r="A376" s="391"/>
      <c r="B376" s="386" t="s">
        <v>44</v>
      </c>
      <c r="C376" s="387" t="s">
        <v>44</v>
      </c>
      <c r="D376" s="388" t="s">
        <v>44</v>
      </c>
      <c r="E376" s="388" t="s">
        <v>44</v>
      </c>
      <c r="F376" s="387" t="s">
        <v>44</v>
      </c>
      <c r="G376" s="389" t="s">
        <v>44</v>
      </c>
      <c r="H376" s="386" t="s">
        <v>44</v>
      </c>
    </row>
    <row r="377" ht="15.75" customHeight="1">
      <c r="A377" s="391"/>
      <c r="B377" s="386" t="s">
        <v>44</v>
      </c>
      <c r="C377" s="387" t="s">
        <v>44</v>
      </c>
      <c r="D377" s="388" t="s">
        <v>44</v>
      </c>
      <c r="E377" s="388" t="s">
        <v>44</v>
      </c>
      <c r="F377" s="387" t="s">
        <v>44</v>
      </c>
      <c r="G377" s="389" t="s">
        <v>44</v>
      </c>
      <c r="H377" s="386" t="s">
        <v>44</v>
      </c>
    </row>
    <row r="378" ht="15.75" customHeight="1">
      <c r="A378" s="391"/>
      <c r="B378" s="386" t="s">
        <v>44</v>
      </c>
      <c r="C378" s="387" t="s">
        <v>44</v>
      </c>
      <c r="D378" s="388" t="s">
        <v>44</v>
      </c>
      <c r="E378" s="388" t="s">
        <v>44</v>
      </c>
      <c r="F378" s="387" t="s">
        <v>44</v>
      </c>
      <c r="G378" s="389" t="s">
        <v>44</v>
      </c>
      <c r="H378" s="386" t="s">
        <v>44</v>
      </c>
    </row>
    <row r="379" ht="15.75" customHeight="1">
      <c r="A379" s="391"/>
      <c r="B379" s="386" t="s">
        <v>44</v>
      </c>
      <c r="C379" s="387" t="s">
        <v>44</v>
      </c>
      <c r="D379" s="388" t="s">
        <v>44</v>
      </c>
      <c r="E379" s="388" t="s">
        <v>44</v>
      </c>
      <c r="F379" s="387" t="s">
        <v>44</v>
      </c>
      <c r="G379" s="389" t="s">
        <v>44</v>
      </c>
      <c r="H379" s="386" t="s">
        <v>44</v>
      </c>
    </row>
    <row r="380" ht="15.75" customHeight="1">
      <c r="A380" s="391"/>
      <c r="B380" s="386" t="s">
        <v>44</v>
      </c>
      <c r="C380" s="387" t="s">
        <v>44</v>
      </c>
      <c r="D380" s="388" t="s">
        <v>44</v>
      </c>
      <c r="E380" s="388" t="s">
        <v>44</v>
      </c>
      <c r="F380" s="387" t="s">
        <v>44</v>
      </c>
      <c r="G380" s="389" t="s">
        <v>44</v>
      </c>
      <c r="H380" s="386" t="s">
        <v>44</v>
      </c>
    </row>
    <row r="381" ht="15.75" customHeight="1">
      <c r="A381" s="391"/>
      <c r="B381" s="386" t="s">
        <v>44</v>
      </c>
      <c r="C381" s="387" t="s">
        <v>44</v>
      </c>
      <c r="D381" s="388" t="s">
        <v>44</v>
      </c>
      <c r="E381" s="388" t="s">
        <v>44</v>
      </c>
      <c r="F381" s="387" t="s">
        <v>44</v>
      </c>
      <c r="G381" s="389" t="s">
        <v>44</v>
      </c>
      <c r="H381" s="386" t="s">
        <v>44</v>
      </c>
    </row>
    <row r="382" ht="15.75" customHeight="1">
      <c r="A382" s="391"/>
      <c r="B382" s="386" t="s">
        <v>44</v>
      </c>
      <c r="C382" s="387" t="s">
        <v>44</v>
      </c>
      <c r="D382" s="388" t="s">
        <v>44</v>
      </c>
      <c r="E382" s="388" t="s">
        <v>44</v>
      </c>
      <c r="F382" s="387" t="s">
        <v>44</v>
      </c>
      <c r="G382" s="389" t="s">
        <v>44</v>
      </c>
      <c r="H382" s="386" t="s">
        <v>44</v>
      </c>
    </row>
    <row r="383" ht="15.75" customHeight="1">
      <c r="A383" s="391"/>
      <c r="B383" s="386" t="s">
        <v>44</v>
      </c>
      <c r="C383" s="387" t="s">
        <v>44</v>
      </c>
      <c r="D383" s="388" t="s">
        <v>44</v>
      </c>
      <c r="E383" s="388" t="s">
        <v>44</v>
      </c>
      <c r="F383" s="387" t="s">
        <v>44</v>
      </c>
      <c r="G383" s="389" t="s">
        <v>44</v>
      </c>
      <c r="H383" s="386" t="s">
        <v>44</v>
      </c>
    </row>
    <row r="384" ht="15.75" customHeight="1">
      <c r="A384" s="391"/>
      <c r="B384" s="386" t="s">
        <v>44</v>
      </c>
      <c r="C384" s="387" t="s">
        <v>44</v>
      </c>
      <c r="D384" s="388" t="s">
        <v>44</v>
      </c>
      <c r="E384" s="388" t="s">
        <v>44</v>
      </c>
      <c r="F384" s="387" t="s">
        <v>44</v>
      </c>
      <c r="G384" s="389" t="s">
        <v>44</v>
      </c>
      <c r="H384" s="386" t="s">
        <v>44</v>
      </c>
    </row>
    <row r="385" ht="15.75" customHeight="1">
      <c r="A385" s="391"/>
      <c r="B385" s="386" t="s">
        <v>44</v>
      </c>
      <c r="C385" s="387" t="s">
        <v>44</v>
      </c>
      <c r="D385" s="388" t="s">
        <v>44</v>
      </c>
      <c r="E385" s="388" t="s">
        <v>44</v>
      </c>
      <c r="F385" s="387" t="s">
        <v>44</v>
      </c>
      <c r="G385" s="389" t="s">
        <v>44</v>
      </c>
      <c r="H385" s="386" t="s">
        <v>44</v>
      </c>
    </row>
    <row r="386" ht="15.75" customHeight="1">
      <c r="A386" s="391"/>
      <c r="B386" s="386" t="s">
        <v>44</v>
      </c>
      <c r="C386" s="387" t="s">
        <v>44</v>
      </c>
      <c r="D386" s="388" t="s">
        <v>44</v>
      </c>
      <c r="E386" s="388" t="s">
        <v>44</v>
      </c>
      <c r="F386" s="387" t="s">
        <v>44</v>
      </c>
      <c r="G386" s="389" t="s">
        <v>44</v>
      </c>
      <c r="H386" s="386" t="s">
        <v>44</v>
      </c>
    </row>
    <row r="387" ht="15.75" customHeight="1">
      <c r="A387" s="391"/>
      <c r="B387" s="386" t="s">
        <v>44</v>
      </c>
      <c r="C387" s="387" t="s">
        <v>44</v>
      </c>
      <c r="D387" s="388" t="s">
        <v>44</v>
      </c>
      <c r="E387" s="388" t="s">
        <v>44</v>
      </c>
      <c r="F387" s="387" t="s">
        <v>44</v>
      </c>
      <c r="G387" s="389" t="s">
        <v>44</v>
      </c>
      <c r="H387" s="386" t="s">
        <v>44</v>
      </c>
    </row>
    <row r="388" ht="15.75" customHeight="1">
      <c r="A388" s="391"/>
      <c r="B388" s="386" t="s">
        <v>44</v>
      </c>
      <c r="C388" s="387" t="s">
        <v>44</v>
      </c>
      <c r="D388" s="388" t="s">
        <v>44</v>
      </c>
      <c r="E388" s="388" t="s">
        <v>44</v>
      </c>
      <c r="F388" s="387" t="s">
        <v>44</v>
      </c>
      <c r="G388" s="389" t="s">
        <v>44</v>
      </c>
      <c r="H388" s="386" t="s">
        <v>44</v>
      </c>
    </row>
    <row r="389" ht="15.75" customHeight="1">
      <c r="A389" s="391"/>
      <c r="B389" s="386" t="s">
        <v>44</v>
      </c>
      <c r="C389" s="387" t="s">
        <v>44</v>
      </c>
      <c r="D389" s="388" t="s">
        <v>44</v>
      </c>
      <c r="E389" s="388" t="s">
        <v>44</v>
      </c>
      <c r="F389" s="387" t="s">
        <v>44</v>
      </c>
      <c r="G389" s="389" t="s">
        <v>44</v>
      </c>
      <c r="H389" s="386" t="s">
        <v>44</v>
      </c>
    </row>
    <row r="390" ht="15.75" customHeight="1">
      <c r="A390" s="391"/>
      <c r="B390" s="386" t="s">
        <v>44</v>
      </c>
      <c r="C390" s="387" t="s">
        <v>44</v>
      </c>
      <c r="D390" s="388" t="s">
        <v>44</v>
      </c>
      <c r="E390" s="388" t="s">
        <v>44</v>
      </c>
      <c r="F390" s="387" t="s">
        <v>44</v>
      </c>
      <c r="G390" s="389" t="s">
        <v>44</v>
      </c>
      <c r="H390" s="386" t="s">
        <v>44</v>
      </c>
    </row>
    <row r="391" ht="15.75" customHeight="1">
      <c r="A391" s="391"/>
      <c r="B391" s="386" t="s">
        <v>44</v>
      </c>
      <c r="C391" s="387" t="s">
        <v>44</v>
      </c>
      <c r="D391" s="388" t="s">
        <v>44</v>
      </c>
      <c r="E391" s="388" t="s">
        <v>44</v>
      </c>
      <c r="F391" s="387" t="s">
        <v>44</v>
      </c>
      <c r="G391" s="389" t="s">
        <v>44</v>
      </c>
      <c r="H391" s="386" t="s">
        <v>44</v>
      </c>
    </row>
    <row r="392" ht="15.75" customHeight="1">
      <c r="A392" s="391"/>
      <c r="B392" s="386" t="s">
        <v>44</v>
      </c>
      <c r="C392" s="387" t="s">
        <v>44</v>
      </c>
      <c r="D392" s="388" t="s">
        <v>44</v>
      </c>
      <c r="E392" s="388" t="s">
        <v>44</v>
      </c>
      <c r="F392" s="387" t="s">
        <v>44</v>
      </c>
      <c r="G392" s="389" t="s">
        <v>44</v>
      </c>
      <c r="H392" s="386" t="s">
        <v>44</v>
      </c>
    </row>
    <row r="393" ht="15.75" customHeight="1">
      <c r="A393" s="391"/>
      <c r="B393" s="386" t="s">
        <v>44</v>
      </c>
      <c r="C393" s="387" t="s">
        <v>44</v>
      </c>
      <c r="D393" s="388" t="s">
        <v>44</v>
      </c>
      <c r="E393" s="388" t="s">
        <v>44</v>
      </c>
      <c r="F393" s="387" t="s">
        <v>44</v>
      </c>
      <c r="G393" s="389" t="s">
        <v>44</v>
      </c>
      <c r="H393" s="386" t="s">
        <v>44</v>
      </c>
    </row>
    <row r="394" ht="15.75" customHeight="1">
      <c r="A394" s="391"/>
      <c r="B394" s="386" t="s">
        <v>44</v>
      </c>
      <c r="C394" s="387" t="s">
        <v>44</v>
      </c>
      <c r="D394" s="388" t="s">
        <v>44</v>
      </c>
      <c r="E394" s="388" t="s">
        <v>44</v>
      </c>
      <c r="F394" s="387" t="s">
        <v>44</v>
      </c>
      <c r="G394" s="389" t="s">
        <v>44</v>
      </c>
      <c r="H394" s="386" t="s">
        <v>44</v>
      </c>
    </row>
    <row r="395" ht="15.75" customHeight="1">
      <c r="A395" s="391"/>
      <c r="B395" s="386" t="s">
        <v>44</v>
      </c>
      <c r="C395" s="387" t="s">
        <v>44</v>
      </c>
      <c r="D395" s="388" t="s">
        <v>44</v>
      </c>
      <c r="E395" s="388" t="s">
        <v>44</v>
      </c>
      <c r="F395" s="387" t="s">
        <v>44</v>
      </c>
      <c r="G395" s="389" t="s">
        <v>44</v>
      </c>
      <c r="H395" s="386" t="s">
        <v>44</v>
      </c>
    </row>
    <row r="396" ht="15.75" customHeight="1">
      <c r="A396" s="391"/>
      <c r="B396" s="386" t="s">
        <v>44</v>
      </c>
      <c r="C396" s="387" t="s">
        <v>44</v>
      </c>
      <c r="D396" s="388" t="s">
        <v>44</v>
      </c>
      <c r="E396" s="388" t="s">
        <v>44</v>
      </c>
      <c r="F396" s="387" t="s">
        <v>44</v>
      </c>
      <c r="G396" s="389" t="s">
        <v>44</v>
      </c>
      <c r="H396" s="386" t="s">
        <v>44</v>
      </c>
    </row>
    <row r="397" ht="15.75" customHeight="1">
      <c r="A397" s="391"/>
      <c r="B397" s="386" t="s">
        <v>44</v>
      </c>
      <c r="C397" s="387" t="s">
        <v>44</v>
      </c>
      <c r="D397" s="388" t="s">
        <v>44</v>
      </c>
      <c r="E397" s="388" t="s">
        <v>44</v>
      </c>
      <c r="F397" s="387" t="s">
        <v>44</v>
      </c>
      <c r="G397" s="389" t="s">
        <v>44</v>
      </c>
      <c r="H397" s="386" t="s">
        <v>44</v>
      </c>
    </row>
    <row r="398" ht="15.75" customHeight="1">
      <c r="A398" s="391"/>
      <c r="B398" s="386" t="s">
        <v>44</v>
      </c>
      <c r="C398" s="387" t="s">
        <v>44</v>
      </c>
      <c r="D398" s="388" t="s">
        <v>44</v>
      </c>
      <c r="E398" s="388" t="s">
        <v>44</v>
      </c>
      <c r="F398" s="387" t="s">
        <v>44</v>
      </c>
      <c r="G398" s="389" t="s">
        <v>44</v>
      </c>
      <c r="H398" s="386" t="s">
        <v>44</v>
      </c>
    </row>
    <row r="399" ht="15.75" customHeight="1">
      <c r="A399" s="391"/>
      <c r="B399" s="386" t="s">
        <v>44</v>
      </c>
      <c r="C399" s="387" t="s">
        <v>44</v>
      </c>
      <c r="D399" s="388" t="s">
        <v>44</v>
      </c>
      <c r="E399" s="388" t="s">
        <v>44</v>
      </c>
      <c r="F399" s="387" t="s">
        <v>44</v>
      </c>
      <c r="G399" s="389" t="s">
        <v>44</v>
      </c>
      <c r="H399" s="386" t="s">
        <v>44</v>
      </c>
    </row>
    <row r="400" ht="15.75" customHeight="1">
      <c r="A400" s="391"/>
      <c r="B400" s="386" t="s">
        <v>44</v>
      </c>
      <c r="C400" s="387" t="s">
        <v>44</v>
      </c>
      <c r="D400" s="388" t="s">
        <v>44</v>
      </c>
      <c r="E400" s="388" t="s">
        <v>44</v>
      </c>
      <c r="F400" s="387" t="s">
        <v>44</v>
      </c>
      <c r="G400" s="389" t="s">
        <v>44</v>
      </c>
      <c r="H400" s="386" t="s">
        <v>44</v>
      </c>
    </row>
    <row r="401" ht="15.75" customHeight="1">
      <c r="A401" s="391"/>
      <c r="B401" s="386" t="s">
        <v>44</v>
      </c>
      <c r="C401" s="387" t="s">
        <v>44</v>
      </c>
      <c r="D401" s="388" t="s">
        <v>44</v>
      </c>
      <c r="E401" s="388" t="s">
        <v>44</v>
      </c>
      <c r="F401" s="387" t="s">
        <v>44</v>
      </c>
      <c r="G401" s="389" t="s">
        <v>44</v>
      </c>
      <c r="H401" s="386" t="s">
        <v>44</v>
      </c>
    </row>
    <row r="402" ht="15.75" customHeight="1">
      <c r="A402" s="391"/>
      <c r="B402" s="386" t="s">
        <v>44</v>
      </c>
      <c r="C402" s="387" t="s">
        <v>44</v>
      </c>
      <c r="D402" s="388" t="s">
        <v>44</v>
      </c>
      <c r="E402" s="388" t="s">
        <v>44</v>
      </c>
      <c r="F402" s="387" t="s">
        <v>44</v>
      </c>
      <c r="G402" s="389" t="s">
        <v>44</v>
      </c>
      <c r="H402" s="386" t="s">
        <v>44</v>
      </c>
    </row>
    <row r="403" ht="15.75" customHeight="1">
      <c r="A403" s="391"/>
      <c r="B403" s="386" t="s">
        <v>44</v>
      </c>
      <c r="C403" s="387" t="s">
        <v>44</v>
      </c>
      <c r="D403" s="388" t="s">
        <v>44</v>
      </c>
      <c r="E403" s="388" t="s">
        <v>44</v>
      </c>
      <c r="F403" s="387" t="s">
        <v>44</v>
      </c>
      <c r="G403" s="389" t="s">
        <v>44</v>
      </c>
      <c r="H403" s="386" t="s">
        <v>44</v>
      </c>
    </row>
    <row r="404" ht="15.75" customHeight="1">
      <c r="A404" s="391"/>
      <c r="B404" s="386" t="s">
        <v>44</v>
      </c>
      <c r="C404" s="387" t="s">
        <v>44</v>
      </c>
      <c r="D404" s="388" t="s">
        <v>44</v>
      </c>
      <c r="E404" s="388" t="s">
        <v>44</v>
      </c>
      <c r="F404" s="387" t="s">
        <v>44</v>
      </c>
      <c r="G404" s="389" t="s">
        <v>44</v>
      </c>
      <c r="H404" s="386" t="s">
        <v>44</v>
      </c>
    </row>
    <row r="405" ht="15.75" customHeight="1">
      <c r="A405" s="391"/>
      <c r="B405" s="386" t="s">
        <v>44</v>
      </c>
      <c r="C405" s="387" t="s">
        <v>44</v>
      </c>
      <c r="D405" s="388" t="s">
        <v>44</v>
      </c>
      <c r="E405" s="388" t="s">
        <v>44</v>
      </c>
      <c r="F405" s="387" t="s">
        <v>44</v>
      </c>
      <c r="G405" s="389" t="s">
        <v>44</v>
      </c>
      <c r="H405" s="386" t="s">
        <v>44</v>
      </c>
    </row>
    <row r="406" ht="15.75" customHeight="1">
      <c r="A406" s="391"/>
      <c r="B406" s="386" t="s">
        <v>44</v>
      </c>
      <c r="C406" s="387" t="s">
        <v>44</v>
      </c>
      <c r="D406" s="388" t="s">
        <v>44</v>
      </c>
      <c r="E406" s="388" t="s">
        <v>44</v>
      </c>
      <c r="F406" s="387" t="s">
        <v>44</v>
      </c>
      <c r="G406" s="389" t="s">
        <v>44</v>
      </c>
      <c r="H406" s="386" t="s">
        <v>44</v>
      </c>
    </row>
    <row r="407" ht="15.75" customHeight="1">
      <c r="A407" s="391"/>
      <c r="B407" s="386" t="s">
        <v>44</v>
      </c>
      <c r="C407" s="387" t="s">
        <v>44</v>
      </c>
      <c r="D407" s="388" t="s">
        <v>44</v>
      </c>
      <c r="E407" s="388" t="s">
        <v>44</v>
      </c>
      <c r="F407" s="387" t="s">
        <v>44</v>
      </c>
      <c r="G407" s="389" t="s">
        <v>44</v>
      </c>
      <c r="H407" s="386" t="s">
        <v>44</v>
      </c>
    </row>
    <row r="408" ht="15.75" customHeight="1">
      <c r="A408" s="391"/>
      <c r="B408" s="386" t="s">
        <v>44</v>
      </c>
      <c r="C408" s="387" t="s">
        <v>44</v>
      </c>
      <c r="D408" s="388" t="s">
        <v>44</v>
      </c>
      <c r="E408" s="388" t="s">
        <v>44</v>
      </c>
      <c r="F408" s="387" t="s">
        <v>44</v>
      </c>
      <c r="G408" s="389" t="s">
        <v>44</v>
      </c>
      <c r="H408" s="386" t="s">
        <v>44</v>
      </c>
    </row>
    <row r="409" ht="15.75" customHeight="1">
      <c r="A409" s="391"/>
      <c r="B409" s="386" t="s">
        <v>44</v>
      </c>
      <c r="C409" s="387" t="s">
        <v>44</v>
      </c>
      <c r="D409" s="388" t="s">
        <v>44</v>
      </c>
      <c r="E409" s="388" t="s">
        <v>44</v>
      </c>
      <c r="F409" s="387" t="s">
        <v>44</v>
      </c>
      <c r="G409" s="389" t="s">
        <v>44</v>
      </c>
      <c r="H409" s="386" t="s">
        <v>44</v>
      </c>
    </row>
    <row r="410" ht="15.75" customHeight="1">
      <c r="A410" s="391"/>
      <c r="B410" s="386" t="s">
        <v>44</v>
      </c>
      <c r="C410" s="387" t="s">
        <v>44</v>
      </c>
      <c r="D410" s="388" t="s">
        <v>44</v>
      </c>
      <c r="E410" s="388" t="s">
        <v>44</v>
      </c>
      <c r="F410" s="387" t="s">
        <v>44</v>
      </c>
      <c r="G410" s="389" t="s">
        <v>44</v>
      </c>
      <c r="H410" s="386" t="s">
        <v>44</v>
      </c>
    </row>
    <row r="411" ht="15.75" customHeight="1">
      <c r="A411" s="391"/>
      <c r="B411" s="386" t="s">
        <v>44</v>
      </c>
      <c r="C411" s="387" t="s">
        <v>44</v>
      </c>
      <c r="D411" s="388" t="s">
        <v>44</v>
      </c>
      <c r="E411" s="388" t="s">
        <v>44</v>
      </c>
      <c r="F411" s="387" t="s">
        <v>44</v>
      </c>
      <c r="G411" s="389" t="s">
        <v>44</v>
      </c>
      <c r="H411" s="386" t="s">
        <v>44</v>
      </c>
    </row>
    <row r="412" ht="15.75" customHeight="1">
      <c r="A412" s="391"/>
      <c r="B412" s="386" t="s">
        <v>44</v>
      </c>
      <c r="C412" s="387" t="s">
        <v>44</v>
      </c>
      <c r="D412" s="388" t="s">
        <v>44</v>
      </c>
      <c r="E412" s="388" t="s">
        <v>44</v>
      </c>
      <c r="F412" s="387" t="s">
        <v>44</v>
      </c>
      <c r="G412" s="389" t="s">
        <v>44</v>
      </c>
      <c r="H412" s="386" t="s">
        <v>44</v>
      </c>
    </row>
    <row r="413" ht="15.75" customHeight="1">
      <c r="A413" s="391"/>
      <c r="B413" s="386" t="s">
        <v>44</v>
      </c>
      <c r="C413" s="387" t="s">
        <v>44</v>
      </c>
      <c r="D413" s="388" t="s">
        <v>44</v>
      </c>
      <c r="E413" s="388" t="s">
        <v>44</v>
      </c>
      <c r="F413" s="387" t="s">
        <v>44</v>
      </c>
      <c r="G413" s="389" t="s">
        <v>44</v>
      </c>
      <c r="H413" s="386" t="s">
        <v>44</v>
      </c>
    </row>
    <row r="414" ht="15.75" customHeight="1">
      <c r="A414" s="391"/>
      <c r="B414" s="386" t="s">
        <v>44</v>
      </c>
      <c r="C414" s="387" t="s">
        <v>44</v>
      </c>
      <c r="D414" s="388" t="s">
        <v>44</v>
      </c>
      <c r="E414" s="388" t="s">
        <v>44</v>
      </c>
      <c r="F414" s="387" t="s">
        <v>44</v>
      </c>
      <c r="G414" s="389" t="s">
        <v>44</v>
      </c>
      <c r="H414" s="386" t="s">
        <v>44</v>
      </c>
    </row>
    <row r="415" ht="15.75" customHeight="1">
      <c r="A415" s="391"/>
      <c r="B415" s="386" t="s">
        <v>44</v>
      </c>
      <c r="C415" s="387" t="s">
        <v>44</v>
      </c>
      <c r="D415" s="388" t="s">
        <v>44</v>
      </c>
      <c r="E415" s="388" t="s">
        <v>44</v>
      </c>
      <c r="F415" s="387" t="s">
        <v>44</v>
      </c>
      <c r="G415" s="389" t="s">
        <v>44</v>
      </c>
      <c r="H415" s="386" t="s">
        <v>44</v>
      </c>
    </row>
    <row r="416" ht="15.75" customHeight="1">
      <c r="A416" s="391"/>
      <c r="B416" s="386" t="s">
        <v>44</v>
      </c>
      <c r="C416" s="387" t="s">
        <v>44</v>
      </c>
      <c r="D416" s="388" t="s">
        <v>44</v>
      </c>
      <c r="E416" s="388" t="s">
        <v>44</v>
      </c>
      <c r="F416" s="387" t="s">
        <v>44</v>
      </c>
      <c r="G416" s="389" t="s">
        <v>44</v>
      </c>
      <c r="H416" s="386" t="s">
        <v>44</v>
      </c>
    </row>
    <row r="417" ht="15.75" customHeight="1">
      <c r="A417" s="391"/>
      <c r="B417" s="386" t="s">
        <v>44</v>
      </c>
      <c r="C417" s="387" t="s">
        <v>44</v>
      </c>
      <c r="D417" s="388" t="s">
        <v>44</v>
      </c>
      <c r="E417" s="388" t="s">
        <v>44</v>
      </c>
      <c r="F417" s="387" t="s">
        <v>44</v>
      </c>
      <c r="G417" s="389" t="s">
        <v>44</v>
      </c>
      <c r="H417" s="386" t="s">
        <v>44</v>
      </c>
    </row>
    <row r="418" ht="15.75" customHeight="1">
      <c r="A418" s="391"/>
      <c r="B418" s="386" t="s">
        <v>44</v>
      </c>
      <c r="C418" s="387" t="s">
        <v>44</v>
      </c>
      <c r="D418" s="388" t="s">
        <v>44</v>
      </c>
      <c r="E418" s="388" t="s">
        <v>44</v>
      </c>
      <c r="F418" s="387" t="s">
        <v>44</v>
      </c>
      <c r="G418" s="389" t="s">
        <v>44</v>
      </c>
      <c r="H418" s="386" t="s">
        <v>44</v>
      </c>
    </row>
    <row r="419" ht="15.75" customHeight="1">
      <c r="A419" s="391"/>
      <c r="B419" s="386" t="s">
        <v>44</v>
      </c>
      <c r="C419" s="387" t="s">
        <v>44</v>
      </c>
      <c r="D419" s="388" t="s">
        <v>44</v>
      </c>
      <c r="E419" s="388" t="s">
        <v>44</v>
      </c>
      <c r="F419" s="387" t="s">
        <v>44</v>
      </c>
      <c r="G419" s="389" t="s">
        <v>44</v>
      </c>
      <c r="H419" s="386" t="s">
        <v>44</v>
      </c>
    </row>
    <row r="420" ht="15.75" customHeight="1">
      <c r="A420" s="391"/>
      <c r="B420" s="386" t="s">
        <v>44</v>
      </c>
      <c r="C420" s="387" t="s">
        <v>44</v>
      </c>
      <c r="D420" s="388" t="s">
        <v>44</v>
      </c>
      <c r="E420" s="388" t="s">
        <v>44</v>
      </c>
      <c r="F420" s="387" t="s">
        <v>44</v>
      </c>
      <c r="G420" s="389" t="s">
        <v>44</v>
      </c>
      <c r="H420" s="386" t="s">
        <v>44</v>
      </c>
    </row>
    <row r="421" ht="15.75" customHeight="1">
      <c r="A421" s="391"/>
      <c r="B421" s="386" t="s">
        <v>44</v>
      </c>
      <c r="C421" s="387" t="s">
        <v>44</v>
      </c>
      <c r="D421" s="388" t="s">
        <v>44</v>
      </c>
      <c r="E421" s="388" t="s">
        <v>44</v>
      </c>
      <c r="F421" s="387" t="s">
        <v>44</v>
      </c>
      <c r="G421" s="389" t="s">
        <v>44</v>
      </c>
      <c r="H421" s="386" t="s">
        <v>44</v>
      </c>
    </row>
    <row r="422" ht="15.75" customHeight="1">
      <c r="A422" s="391"/>
      <c r="B422" s="386" t="s">
        <v>44</v>
      </c>
      <c r="C422" s="387" t="s">
        <v>44</v>
      </c>
      <c r="D422" s="388" t="s">
        <v>44</v>
      </c>
      <c r="E422" s="388" t="s">
        <v>44</v>
      </c>
      <c r="F422" s="387" t="s">
        <v>44</v>
      </c>
      <c r="G422" s="389" t="s">
        <v>44</v>
      </c>
      <c r="H422" s="386" t="s">
        <v>44</v>
      </c>
    </row>
    <row r="423" ht="15.75" customHeight="1">
      <c r="A423" s="391"/>
      <c r="B423" s="386" t="s">
        <v>44</v>
      </c>
      <c r="C423" s="387" t="s">
        <v>44</v>
      </c>
      <c r="D423" s="388" t="s">
        <v>44</v>
      </c>
      <c r="E423" s="388" t="s">
        <v>44</v>
      </c>
      <c r="F423" s="387" t="s">
        <v>44</v>
      </c>
      <c r="G423" s="389" t="s">
        <v>44</v>
      </c>
      <c r="H423" s="386" t="s">
        <v>44</v>
      </c>
    </row>
    <row r="424" ht="15.75" customHeight="1">
      <c r="A424" s="391"/>
      <c r="B424" s="386" t="s">
        <v>44</v>
      </c>
      <c r="C424" s="387" t="s">
        <v>44</v>
      </c>
      <c r="D424" s="388" t="s">
        <v>44</v>
      </c>
      <c r="E424" s="388" t="s">
        <v>44</v>
      </c>
      <c r="F424" s="387" t="s">
        <v>44</v>
      </c>
      <c r="G424" s="389" t="s">
        <v>44</v>
      </c>
      <c r="H424" s="386" t="s">
        <v>44</v>
      </c>
    </row>
    <row r="425" ht="15.75" customHeight="1">
      <c r="A425" s="391"/>
      <c r="B425" s="386" t="s">
        <v>44</v>
      </c>
      <c r="C425" s="387" t="s">
        <v>44</v>
      </c>
      <c r="D425" s="388" t="s">
        <v>44</v>
      </c>
      <c r="E425" s="388" t="s">
        <v>44</v>
      </c>
      <c r="F425" s="387" t="s">
        <v>44</v>
      </c>
      <c r="G425" s="389" t="s">
        <v>44</v>
      </c>
      <c r="H425" s="386" t="s">
        <v>44</v>
      </c>
    </row>
    <row r="426" ht="15.75" customHeight="1">
      <c r="A426" s="391"/>
      <c r="B426" s="386" t="s">
        <v>44</v>
      </c>
      <c r="C426" s="387" t="s">
        <v>44</v>
      </c>
      <c r="D426" s="388" t="s">
        <v>44</v>
      </c>
      <c r="E426" s="388" t="s">
        <v>44</v>
      </c>
      <c r="F426" s="387" t="s">
        <v>44</v>
      </c>
      <c r="G426" s="389" t="s">
        <v>44</v>
      </c>
      <c r="H426" s="386" t="s">
        <v>44</v>
      </c>
    </row>
    <row r="427" ht="15.75" customHeight="1">
      <c r="A427" s="391"/>
      <c r="B427" s="386" t="s">
        <v>44</v>
      </c>
      <c r="C427" s="387" t="s">
        <v>44</v>
      </c>
      <c r="D427" s="388" t="s">
        <v>44</v>
      </c>
      <c r="E427" s="388" t="s">
        <v>44</v>
      </c>
      <c r="F427" s="387" t="s">
        <v>44</v>
      </c>
      <c r="G427" s="389" t="s">
        <v>44</v>
      </c>
      <c r="H427" s="386" t="s">
        <v>44</v>
      </c>
    </row>
    <row r="428" ht="15.75" customHeight="1">
      <c r="A428" s="391"/>
      <c r="B428" s="386" t="s">
        <v>44</v>
      </c>
      <c r="C428" s="387" t="s">
        <v>44</v>
      </c>
      <c r="D428" s="388" t="s">
        <v>44</v>
      </c>
      <c r="E428" s="388" t="s">
        <v>44</v>
      </c>
      <c r="F428" s="387" t="s">
        <v>44</v>
      </c>
      <c r="G428" s="389" t="s">
        <v>44</v>
      </c>
      <c r="H428" s="386" t="s">
        <v>44</v>
      </c>
    </row>
    <row r="429" ht="15.75" customHeight="1">
      <c r="A429" s="391"/>
      <c r="B429" s="386" t="s">
        <v>44</v>
      </c>
      <c r="C429" s="387" t="s">
        <v>44</v>
      </c>
      <c r="D429" s="388" t="s">
        <v>44</v>
      </c>
      <c r="E429" s="388" t="s">
        <v>44</v>
      </c>
      <c r="F429" s="387" t="s">
        <v>44</v>
      </c>
      <c r="G429" s="389" t="s">
        <v>44</v>
      </c>
      <c r="H429" s="386" t="s">
        <v>44</v>
      </c>
    </row>
    <row r="430" ht="15.75" customHeight="1">
      <c r="A430" s="391"/>
      <c r="B430" s="386" t="s">
        <v>44</v>
      </c>
      <c r="C430" s="387" t="s">
        <v>44</v>
      </c>
      <c r="D430" s="388" t="s">
        <v>44</v>
      </c>
      <c r="E430" s="388" t="s">
        <v>44</v>
      </c>
      <c r="F430" s="387" t="s">
        <v>44</v>
      </c>
      <c r="G430" s="389" t="s">
        <v>44</v>
      </c>
      <c r="H430" s="386" t="s">
        <v>44</v>
      </c>
    </row>
    <row r="431" ht="15.75" customHeight="1">
      <c r="A431" s="391"/>
      <c r="B431" s="386" t="s">
        <v>44</v>
      </c>
      <c r="C431" s="387" t="s">
        <v>44</v>
      </c>
      <c r="D431" s="388" t="s">
        <v>44</v>
      </c>
      <c r="E431" s="388" t="s">
        <v>44</v>
      </c>
      <c r="F431" s="387" t="s">
        <v>44</v>
      </c>
      <c r="G431" s="389" t="s">
        <v>44</v>
      </c>
      <c r="H431" s="386" t="s">
        <v>44</v>
      </c>
    </row>
    <row r="432" ht="15.75" customHeight="1">
      <c r="A432" s="391"/>
      <c r="B432" s="386" t="s">
        <v>44</v>
      </c>
      <c r="C432" s="387" t="s">
        <v>44</v>
      </c>
      <c r="D432" s="388" t="s">
        <v>44</v>
      </c>
      <c r="E432" s="388" t="s">
        <v>44</v>
      </c>
      <c r="F432" s="387" t="s">
        <v>44</v>
      </c>
      <c r="G432" s="389" t="s">
        <v>44</v>
      </c>
      <c r="H432" s="386" t="s">
        <v>44</v>
      </c>
    </row>
    <row r="433" ht="15.75" customHeight="1">
      <c r="A433" s="391"/>
      <c r="B433" s="386" t="s">
        <v>44</v>
      </c>
      <c r="C433" s="387" t="s">
        <v>44</v>
      </c>
      <c r="D433" s="388" t="s">
        <v>44</v>
      </c>
      <c r="E433" s="388" t="s">
        <v>44</v>
      </c>
      <c r="F433" s="387" t="s">
        <v>44</v>
      </c>
      <c r="G433" s="389" t="s">
        <v>44</v>
      </c>
      <c r="H433" s="386" t="s">
        <v>44</v>
      </c>
    </row>
    <row r="434" ht="15.75" customHeight="1">
      <c r="A434" s="391"/>
      <c r="B434" s="386" t="s">
        <v>44</v>
      </c>
      <c r="C434" s="387" t="s">
        <v>44</v>
      </c>
      <c r="D434" s="388" t="s">
        <v>44</v>
      </c>
      <c r="E434" s="388" t="s">
        <v>44</v>
      </c>
      <c r="F434" s="387" t="s">
        <v>44</v>
      </c>
      <c r="G434" s="389" t="s">
        <v>44</v>
      </c>
      <c r="H434" s="386" t="s">
        <v>44</v>
      </c>
    </row>
    <row r="435" ht="15.75" customHeight="1">
      <c r="A435" s="391"/>
      <c r="B435" s="386" t="s">
        <v>44</v>
      </c>
      <c r="C435" s="387" t="s">
        <v>44</v>
      </c>
      <c r="D435" s="388" t="s">
        <v>44</v>
      </c>
      <c r="E435" s="388" t="s">
        <v>44</v>
      </c>
      <c r="F435" s="387" t="s">
        <v>44</v>
      </c>
      <c r="G435" s="389" t="s">
        <v>44</v>
      </c>
      <c r="H435" s="386" t="s">
        <v>44</v>
      </c>
    </row>
    <row r="436" ht="15.75" customHeight="1">
      <c r="A436" s="391"/>
      <c r="B436" s="386" t="s">
        <v>44</v>
      </c>
      <c r="C436" s="387" t="s">
        <v>44</v>
      </c>
      <c r="D436" s="388" t="s">
        <v>44</v>
      </c>
      <c r="E436" s="388" t="s">
        <v>44</v>
      </c>
      <c r="F436" s="387" t="s">
        <v>44</v>
      </c>
      <c r="G436" s="389" t="s">
        <v>44</v>
      </c>
      <c r="H436" s="386" t="s">
        <v>44</v>
      </c>
    </row>
    <row r="437" ht="15.75" customHeight="1">
      <c r="A437" s="391"/>
      <c r="B437" s="386" t="s">
        <v>44</v>
      </c>
      <c r="C437" s="387" t="s">
        <v>44</v>
      </c>
      <c r="D437" s="388" t="s">
        <v>44</v>
      </c>
      <c r="E437" s="388" t="s">
        <v>44</v>
      </c>
      <c r="F437" s="387" t="s">
        <v>44</v>
      </c>
      <c r="G437" s="389" t="s">
        <v>44</v>
      </c>
      <c r="H437" s="386" t="s">
        <v>44</v>
      </c>
    </row>
    <row r="438" ht="15.75" customHeight="1">
      <c r="A438" s="391"/>
      <c r="B438" s="386" t="s">
        <v>44</v>
      </c>
      <c r="C438" s="387" t="s">
        <v>44</v>
      </c>
      <c r="D438" s="388" t="s">
        <v>44</v>
      </c>
      <c r="E438" s="388" t="s">
        <v>44</v>
      </c>
      <c r="F438" s="387" t="s">
        <v>44</v>
      </c>
      <c r="G438" s="389" t="s">
        <v>44</v>
      </c>
      <c r="H438" s="386" t="s">
        <v>44</v>
      </c>
    </row>
    <row r="439" ht="15.75" customHeight="1">
      <c r="A439" s="391"/>
      <c r="B439" s="386" t="s">
        <v>44</v>
      </c>
      <c r="C439" s="387" t="s">
        <v>44</v>
      </c>
      <c r="D439" s="388" t="s">
        <v>44</v>
      </c>
      <c r="E439" s="388" t="s">
        <v>44</v>
      </c>
      <c r="F439" s="387" t="s">
        <v>44</v>
      </c>
      <c r="G439" s="389" t="s">
        <v>44</v>
      </c>
      <c r="H439" s="386" t="s">
        <v>44</v>
      </c>
    </row>
    <row r="440" ht="15.75" customHeight="1">
      <c r="A440" s="391"/>
      <c r="B440" s="386" t="s">
        <v>44</v>
      </c>
      <c r="C440" s="387" t="s">
        <v>44</v>
      </c>
      <c r="D440" s="388" t="s">
        <v>44</v>
      </c>
      <c r="E440" s="388" t="s">
        <v>44</v>
      </c>
      <c r="F440" s="387" t="s">
        <v>44</v>
      </c>
      <c r="G440" s="389" t="s">
        <v>44</v>
      </c>
      <c r="H440" s="386" t="s">
        <v>44</v>
      </c>
    </row>
    <row r="441" ht="15.75" customHeight="1">
      <c r="A441" s="391"/>
      <c r="B441" s="386" t="s">
        <v>44</v>
      </c>
      <c r="C441" s="387" t="s">
        <v>44</v>
      </c>
      <c r="D441" s="388" t="s">
        <v>44</v>
      </c>
      <c r="E441" s="388" t="s">
        <v>44</v>
      </c>
      <c r="F441" s="387" t="s">
        <v>44</v>
      </c>
      <c r="G441" s="389" t="s">
        <v>44</v>
      </c>
      <c r="H441" s="386" t="s">
        <v>44</v>
      </c>
    </row>
    <row r="442" ht="15.75" customHeight="1">
      <c r="A442" s="391"/>
      <c r="B442" s="386" t="s">
        <v>44</v>
      </c>
      <c r="C442" s="387" t="s">
        <v>44</v>
      </c>
      <c r="D442" s="388" t="s">
        <v>44</v>
      </c>
      <c r="E442" s="388" t="s">
        <v>44</v>
      </c>
      <c r="F442" s="387" t="s">
        <v>44</v>
      </c>
      <c r="G442" s="389" t="s">
        <v>44</v>
      </c>
      <c r="H442" s="386" t="s">
        <v>44</v>
      </c>
    </row>
    <row r="443" ht="15.75" customHeight="1">
      <c r="A443" s="391"/>
      <c r="B443" s="386" t="s">
        <v>44</v>
      </c>
      <c r="C443" s="387" t="s">
        <v>44</v>
      </c>
      <c r="D443" s="388" t="s">
        <v>44</v>
      </c>
      <c r="E443" s="388" t="s">
        <v>44</v>
      </c>
      <c r="F443" s="387" t="s">
        <v>44</v>
      </c>
      <c r="G443" s="389" t="s">
        <v>44</v>
      </c>
      <c r="H443" s="386" t="s">
        <v>44</v>
      </c>
    </row>
    <row r="444" ht="15.75" customHeight="1">
      <c r="A444" s="391"/>
      <c r="B444" s="386" t="s">
        <v>44</v>
      </c>
      <c r="C444" s="387" t="s">
        <v>44</v>
      </c>
      <c r="D444" s="388" t="s">
        <v>44</v>
      </c>
      <c r="E444" s="388" t="s">
        <v>44</v>
      </c>
      <c r="F444" s="387" t="s">
        <v>44</v>
      </c>
      <c r="G444" s="389" t="s">
        <v>44</v>
      </c>
      <c r="H444" s="386" t="s">
        <v>44</v>
      </c>
    </row>
    <row r="445" ht="15.75" customHeight="1">
      <c r="A445" s="391"/>
      <c r="B445" s="386" t="s">
        <v>44</v>
      </c>
      <c r="C445" s="387" t="s">
        <v>44</v>
      </c>
      <c r="D445" s="388" t="s">
        <v>44</v>
      </c>
      <c r="E445" s="388" t="s">
        <v>44</v>
      </c>
      <c r="F445" s="387" t="s">
        <v>44</v>
      </c>
      <c r="G445" s="389" t="s">
        <v>44</v>
      </c>
      <c r="H445" s="386" t="s">
        <v>44</v>
      </c>
    </row>
    <row r="446" ht="15.75" customHeight="1">
      <c r="A446" s="391"/>
      <c r="B446" s="386" t="s">
        <v>44</v>
      </c>
      <c r="C446" s="387" t="s">
        <v>44</v>
      </c>
      <c r="D446" s="388" t="s">
        <v>44</v>
      </c>
      <c r="E446" s="388" t="s">
        <v>44</v>
      </c>
      <c r="F446" s="387" t="s">
        <v>44</v>
      </c>
      <c r="G446" s="389" t="s">
        <v>44</v>
      </c>
      <c r="H446" s="386" t="s">
        <v>44</v>
      </c>
    </row>
    <row r="447" ht="15.75" customHeight="1">
      <c r="A447" s="391"/>
      <c r="B447" s="386" t="s">
        <v>44</v>
      </c>
      <c r="C447" s="387" t="s">
        <v>44</v>
      </c>
      <c r="D447" s="388" t="s">
        <v>44</v>
      </c>
      <c r="E447" s="388" t="s">
        <v>44</v>
      </c>
      <c r="F447" s="387" t="s">
        <v>44</v>
      </c>
      <c r="G447" s="389" t="s">
        <v>44</v>
      </c>
      <c r="H447" s="386" t="s">
        <v>44</v>
      </c>
    </row>
    <row r="448" ht="15.75" customHeight="1">
      <c r="A448" s="391"/>
      <c r="B448" s="386" t="s">
        <v>44</v>
      </c>
      <c r="C448" s="387" t="s">
        <v>44</v>
      </c>
      <c r="D448" s="388" t="s">
        <v>44</v>
      </c>
      <c r="E448" s="388" t="s">
        <v>44</v>
      </c>
      <c r="F448" s="387" t="s">
        <v>44</v>
      </c>
      <c r="G448" s="389" t="s">
        <v>44</v>
      </c>
      <c r="H448" s="386" t="s">
        <v>44</v>
      </c>
    </row>
    <row r="449" ht="15.75" customHeight="1">
      <c r="A449" s="391"/>
      <c r="B449" s="386" t="s">
        <v>44</v>
      </c>
      <c r="C449" s="387" t="s">
        <v>44</v>
      </c>
      <c r="D449" s="388" t="s">
        <v>44</v>
      </c>
      <c r="E449" s="388" t="s">
        <v>44</v>
      </c>
      <c r="F449" s="387" t="s">
        <v>44</v>
      </c>
      <c r="G449" s="389" t="s">
        <v>44</v>
      </c>
      <c r="H449" s="386" t="s">
        <v>44</v>
      </c>
    </row>
    <row r="450" ht="15.75" customHeight="1">
      <c r="A450" s="391"/>
      <c r="B450" s="386" t="s">
        <v>44</v>
      </c>
      <c r="C450" s="387" t="s">
        <v>44</v>
      </c>
      <c r="D450" s="388" t="s">
        <v>44</v>
      </c>
      <c r="E450" s="388" t="s">
        <v>44</v>
      </c>
      <c r="F450" s="387" t="s">
        <v>44</v>
      </c>
      <c r="G450" s="389" t="s">
        <v>44</v>
      </c>
      <c r="H450" s="386" t="s">
        <v>44</v>
      </c>
    </row>
    <row r="451" ht="15.75" customHeight="1">
      <c r="A451" s="391"/>
      <c r="B451" s="386" t="s">
        <v>44</v>
      </c>
      <c r="C451" s="387" t="s">
        <v>44</v>
      </c>
      <c r="D451" s="388" t="s">
        <v>44</v>
      </c>
      <c r="E451" s="388" t="s">
        <v>44</v>
      </c>
      <c r="F451" s="387" t="s">
        <v>44</v>
      </c>
      <c r="G451" s="389" t="s">
        <v>44</v>
      </c>
      <c r="H451" s="386" t="s">
        <v>44</v>
      </c>
    </row>
    <row r="452" ht="15.75" customHeight="1">
      <c r="A452" s="391"/>
      <c r="B452" s="386" t="s">
        <v>44</v>
      </c>
      <c r="C452" s="387" t="s">
        <v>44</v>
      </c>
      <c r="D452" s="388" t="s">
        <v>44</v>
      </c>
      <c r="E452" s="388" t="s">
        <v>44</v>
      </c>
      <c r="F452" s="387" t="s">
        <v>44</v>
      </c>
      <c r="G452" s="389" t="s">
        <v>44</v>
      </c>
      <c r="H452" s="386" t="s">
        <v>44</v>
      </c>
    </row>
    <row r="453" ht="15.75" customHeight="1">
      <c r="A453" s="391"/>
      <c r="B453" s="386" t="s">
        <v>44</v>
      </c>
      <c r="C453" s="387" t="s">
        <v>44</v>
      </c>
      <c r="D453" s="388" t="s">
        <v>44</v>
      </c>
      <c r="E453" s="388" t="s">
        <v>44</v>
      </c>
      <c r="F453" s="387" t="s">
        <v>44</v>
      </c>
      <c r="G453" s="389" t="s">
        <v>44</v>
      </c>
      <c r="H453" s="386" t="s">
        <v>44</v>
      </c>
    </row>
    <row r="454" ht="15.75" customHeight="1">
      <c r="A454" s="391"/>
      <c r="B454" s="386" t="s">
        <v>44</v>
      </c>
      <c r="C454" s="387" t="s">
        <v>44</v>
      </c>
      <c r="D454" s="388" t="s">
        <v>44</v>
      </c>
      <c r="E454" s="388" t="s">
        <v>44</v>
      </c>
      <c r="F454" s="387" t="s">
        <v>44</v>
      </c>
      <c r="G454" s="389" t="s">
        <v>44</v>
      </c>
      <c r="H454" s="386" t="s">
        <v>44</v>
      </c>
    </row>
    <row r="455" ht="15.75" customHeight="1">
      <c r="A455" s="391"/>
      <c r="B455" s="386" t="s">
        <v>44</v>
      </c>
      <c r="C455" s="387" t="s">
        <v>44</v>
      </c>
      <c r="D455" s="388" t="s">
        <v>44</v>
      </c>
      <c r="E455" s="388" t="s">
        <v>44</v>
      </c>
      <c r="F455" s="387" t="s">
        <v>44</v>
      </c>
      <c r="G455" s="389" t="s">
        <v>44</v>
      </c>
      <c r="H455" s="386" t="s">
        <v>44</v>
      </c>
    </row>
    <row r="456" ht="15.75" customHeight="1">
      <c r="A456" s="391"/>
      <c r="B456" s="386" t="s">
        <v>44</v>
      </c>
      <c r="C456" s="387" t="s">
        <v>44</v>
      </c>
      <c r="D456" s="388" t="s">
        <v>44</v>
      </c>
      <c r="E456" s="388" t="s">
        <v>44</v>
      </c>
      <c r="F456" s="387" t="s">
        <v>44</v>
      </c>
      <c r="G456" s="389" t="s">
        <v>44</v>
      </c>
      <c r="H456" s="386" t="s">
        <v>44</v>
      </c>
    </row>
    <row r="457" ht="15.75" customHeight="1">
      <c r="A457" s="391"/>
      <c r="B457" s="386" t="s">
        <v>44</v>
      </c>
      <c r="C457" s="387" t="s">
        <v>44</v>
      </c>
      <c r="D457" s="388" t="s">
        <v>44</v>
      </c>
      <c r="E457" s="388" t="s">
        <v>44</v>
      </c>
      <c r="F457" s="387" t="s">
        <v>44</v>
      </c>
      <c r="G457" s="389" t="s">
        <v>44</v>
      </c>
      <c r="H457" s="386" t="s">
        <v>44</v>
      </c>
    </row>
    <row r="458" ht="15.75" customHeight="1">
      <c r="A458" s="391"/>
      <c r="B458" s="386" t="s">
        <v>44</v>
      </c>
      <c r="C458" s="387" t="s">
        <v>44</v>
      </c>
      <c r="D458" s="388" t="s">
        <v>44</v>
      </c>
      <c r="E458" s="388" t="s">
        <v>44</v>
      </c>
      <c r="F458" s="387" t="s">
        <v>44</v>
      </c>
      <c r="G458" s="389" t="s">
        <v>44</v>
      </c>
      <c r="H458" s="386" t="s">
        <v>44</v>
      </c>
    </row>
    <row r="459" ht="15.75" customHeight="1">
      <c r="A459" s="391"/>
      <c r="B459" s="386" t="s">
        <v>44</v>
      </c>
      <c r="C459" s="387" t="s">
        <v>44</v>
      </c>
      <c r="D459" s="388" t="s">
        <v>44</v>
      </c>
      <c r="E459" s="388" t="s">
        <v>44</v>
      </c>
      <c r="F459" s="387" t="s">
        <v>44</v>
      </c>
      <c r="G459" s="389" t="s">
        <v>44</v>
      </c>
      <c r="H459" s="386" t="s">
        <v>44</v>
      </c>
    </row>
    <row r="460" ht="15.75" customHeight="1">
      <c r="A460" s="391"/>
      <c r="B460" s="386" t="s">
        <v>44</v>
      </c>
      <c r="C460" s="387" t="s">
        <v>44</v>
      </c>
      <c r="D460" s="388" t="s">
        <v>44</v>
      </c>
      <c r="E460" s="388" t="s">
        <v>44</v>
      </c>
      <c r="F460" s="387" t="s">
        <v>44</v>
      </c>
      <c r="G460" s="389" t="s">
        <v>44</v>
      </c>
      <c r="H460" s="386" t="s">
        <v>44</v>
      </c>
    </row>
    <row r="461" ht="15.75" customHeight="1">
      <c r="A461" s="391"/>
      <c r="B461" s="386" t="s">
        <v>44</v>
      </c>
      <c r="C461" s="387" t="s">
        <v>44</v>
      </c>
      <c r="D461" s="388" t="s">
        <v>44</v>
      </c>
      <c r="E461" s="388" t="s">
        <v>44</v>
      </c>
      <c r="F461" s="387" t="s">
        <v>44</v>
      </c>
      <c r="G461" s="389" t="s">
        <v>44</v>
      </c>
      <c r="H461" s="386" t="s">
        <v>44</v>
      </c>
    </row>
    <row r="462" ht="15.75" customHeight="1">
      <c r="A462" s="391"/>
      <c r="B462" s="386" t="s">
        <v>44</v>
      </c>
      <c r="C462" s="387" t="s">
        <v>44</v>
      </c>
      <c r="D462" s="388" t="s">
        <v>44</v>
      </c>
      <c r="E462" s="388" t="s">
        <v>44</v>
      </c>
      <c r="F462" s="387" t="s">
        <v>44</v>
      </c>
      <c r="G462" s="389" t="s">
        <v>44</v>
      </c>
      <c r="H462" s="386" t="s">
        <v>44</v>
      </c>
    </row>
    <row r="463" ht="15.75" customHeight="1">
      <c r="A463" s="391"/>
      <c r="B463" s="386" t="s">
        <v>44</v>
      </c>
      <c r="C463" s="387" t="s">
        <v>44</v>
      </c>
      <c r="D463" s="388" t="s">
        <v>44</v>
      </c>
      <c r="E463" s="388" t="s">
        <v>44</v>
      </c>
      <c r="F463" s="387" t="s">
        <v>44</v>
      </c>
      <c r="G463" s="389" t="s">
        <v>44</v>
      </c>
      <c r="H463" s="386" t="s">
        <v>44</v>
      </c>
    </row>
    <row r="464" ht="15.75" customHeight="1">
      <c r="A464" s="391"/>
      <c r="B464" s="386" t="s">
        <v>44</v>
      </c>
      <c r="C464" s="387" t="s">
        <v>44</v>
      </c>
      <c r="D464" s="388" t="s">
        <v>44</v>
      </c>
      <c r="E464" s="388" t="s">
        <v>44</v>
      </c>
      <c r="F464" s="387" t="s">
        <v>44</v>
      </c>
      <c r="G464" s="389" t="s">
        <v>44</v>
      </c>
      <c r="H464" s="386" t="s">
        <v>44</v>
      </c>
    </row>
    <row r="465" ht="15.75" customHeight="1">
      <c r="A465" s="391"/>
      <c r="B465" s="386" t="s">
        <v>44</v>
      </c>
      <c r="C465" s="387" t="s">
        <v>44</v>
      </c>
      <c r="D465" s="388" t="s">
        <v>44</v>
      </c>
      <c r="E465" s="388" t="s">
        <v>44</v>
      </c>
      <c r="F465" s="387" t="s">
        <v>44</v>
      </c>
      <c r="G465" s="389" t="s">
        <v>44</v>
      </c>
      <c r="H465" s="386" t="s">
        <v>44</v>
      </c>
    </row>
    <row r="466" ht="15.75" customHeight="1">
      <c r="A466" s="391"/>
      <c r="B466" s="386" t="s">
        <v>44</v>
      </c>
      <c r="C466" s="387" t="s">
        <v>44</v>
      </c>
      <c r="D466" s="388" t="s">
        <v>44</v>
      </c>
      <c r="E466" s="388" t="s">
        <v>44</v>
      </c>
      <c r="F466" s="387" t="s">
        <v>44</v>
      </c>
      <c r="G466" s="389" t="s">
        <v>44</v>
      </c>
      <c r="H466" s="386" t="s">
        <v>44</v>
      </c>
    </row>
    <row r="467" ht="15.75" customHeight="1">
      <c r="A467" s="391"/>
      <c r="B467" s="386" t="s">
        <v>44</v>
      </c>
      <c r="C467" s="387" t="s">
        <v>44</v>
      </c>
      <c r="D467" s="388" t="s">
        <v>44</v>
      </c>
      <c r="E467" s="388" t="s">
        <v>44</v>
      </c>
      <c r="F467" s="387" t="s">
        <v>44</v>
      </c>
      <c r="G467" s="389" t="s">
        <v>44</v>
      </c>
      <c r="H467" s="386" t="s">
        <v>44</v>
      </c>
    </row>
    <row r="468" ht="15.75" customHeight="1">
      <c r="A468" s="391"/>
      <c r="B468" s="386" t="s">
        <v>44</v>
      </c>
      <c r="C468" s="387" t="s">
        <v>44</v>
      </c>
      <c r="D468" s="388" t="s">
        <v>44</v>
      </c>
      <c r="E468" s="388" t="s">
        <v>44</v>
      </c>
      <c r="F468" s="387" t="s">
        <v>44</v>
      </c>
      <c r="G468" s="389" t="s">
        <v>44</v>
      </c>
      <c r="H468" s="386" t="s">
        <v>44</v>
      </c>
    </row>
    <row r="469" ht="15.75" customHeight="1">
      <c r="A469" s="391"/>
      <c r="B469" s="386" t="s">
        <v>44</v>
      </c>
      <c r="C469" s="387" t="s">
        <v>44</v>
      </c>
      <c r="D469" s="388" t="s">
        <v>44</v>
      </c>
      <c r="E469" s="388" t="s">
        <v>44</v>
      </c>
      <c r="F469" s="387" t="s">
        <v>44</v>
      </c>
      <c r="G469" s="389" t="s">
        <v>44</v>
      </c>
      <c r="H469" s="386" t="s">
        <v>44</v>
      </c>
    </row>
    <row r="470" ht="15.75" customHeight="1">
      <c r="A470" s="391"/>
      <c r="B470" s="386" t="s">
        <v>44</v>
      </c>
      <c r="C470" s="387" t="s">
        <v>44</v>
      </c>
      <c r="D470" s="388" t="s">
        <v>44</v>
      </c>
      <c r="E470" s="388" t="s">
        <v>44</v>
      </c>
      <c r="F470" s="387" t="s">
        <v>44</v>
      </c>
      <c r="G470" s="389" t="s">
        <v>44</v>
      </c>
      <c r="H470" s="386" t="s">
        <v>44</v>
      </c>
    </row>
    <row r="471" ht="15.75" customHeight="1">
      <c r="A471" s="391"/>
      <c r="B471" s="386" t="s">
        <v>44</v>
      </c>
      <c r="C471" s="387" t="s">
        <v>44</v>
      </c>
      <c r="D471" s="388" t="s">
        <v>44</v>
      </c>
      <c r="E471" s="388" t="s">
        <v>44</v>
      </c>
      <c r="F471" s="387" t="s">
        <v>44</v>
      </c>
      <c r="G471" s="389" t="s">
        <v>44</v>
      </c>
      <c r="H471" s="386" t="s">
        <v>44</v>
      </c>
    </row>
    <row r="472" ht="15.75" customHeight="1">
      <c r="A472" s="391"/>
      <c r="B472" s="386" t="s">
        <v>44</v>
      </c>
      <c r="C472" s="387" t="s">
        <v>44</v>
      </c>
      <c r="D472" s="388" t="s">
        <v>44</v>
      </c>
      <c r="E472" s="388" t="s">
        <v>44</v>
      </c>
      <c r="F472" s="387" t="s">
        <v>44</v>
      </c>
      <c r="G472" s="389" t="s">
        <v>44</v>
      </c>
      <c r="H472" s="386" t="s">
        <v>44</v>
      </c>
    </row>
    <row r="473" ht="15.75" customHeight="1">
      <c r="A473" s="391"/>
      <c r="B473" s="386" t="s">
        <v>44</v>
      </c>
      <c r="C473" s="387" t="s">
        <v>44</v>
      </c>
      <c r="D473" s="388" t="s">
        <v>44</v>
      </c>
      <c r="E473" s="388" t="s">
        <v>44</v>
      </c>
      <c r="F473" s="387" t="s">
        <v>44</v>
      </c>
      <c r="G473" s="389" t="s">
        <v>44</v>
      </c>
      <c r="H473" s="386" t="s">
        <v>44</v>
      </c>
    </row>
    <row r="474" ht="15.75" customHeight="1">
      <c r="A474" s="391"/>
      <c r="B474" s="386" t="s">
        <v>44</v>
      </c>
      <c r="C474" s="387" t="s">
        <v>44</v>
      </c>
      <c r="D474" s="388" t="s">
        <v>44</v>
      </c>
      <c r="E474" s="388" t="s">
        <v>44</v>
      </c>
      <c r="F474" s="387" t="s">
        <v>44</v>
      </c>
      <c r="G474" s="389" t="s">
        <v>44</v>
      </c>
      <c r="H474" s="386" t="s">
        <v>44</v>
      </c>
    </row>
    <row r="475" ht="15.75" customHeight="1">
      <c r="A475" s="391"/>
      <c r="B475" s="386" t="s">
        <v>44</v>
      </c>
      <c r="C475" s="387" t="s">
        <v>44</v>
      </c>
      <c r="D475" s="388" t="s">
        <v>44</v>
      </c>
      <c r="E475" s="388" t="s">
        <v>44</v>
      </c>
      <c r="F475" s="387" t="s">
        <v>44</v>
      </c>
      <c r="G475" s="389" t="s">
        <v>44</v>
      </c>
      <c r="H475" s="386" t="s">
        <v>44</v>
      </c>
    </row>
    <row r="476" ht="15.75" customHeight="1">
      <c r="A476" s="391"/>
      <c r="B476" s="386" t="s">
        <v>44</v>
      </c>
      <c r="C476" s="387" t="s">
        <v>44</v>
      </c>
      <c r="D476" s="388" t="s">
        <v>44</v>
      </c>
      <c r="E476" s="388" t="s">
        <v>44</v>
      </c>
      <c r="F476" s="387" t="s">
        <v>44</v>
      </c>
      <c r="G476" s="389" t="s">
        <v>44</v>
      </c>
      <c r="H476" s="386" t="s">
        <v>44</v>
      </c>
    </row>
    <row r="477" ht="15.75" customHeight="1">
      <c r="A477" s="391"/>
      <c r="B477" s="386" t="s">
        <v>44</v>
      </c>
      <c r="C477" s="387" t="s">
        <v>44</v>
      </c>
      <c r="D477" s="388" t="s">
        <v>44</v>
      </c>
      <c r="E477" s="388" t="s">
        <v>44</v>
      </c>
      <c r="F477" s="387" t="s">
        <v>44</v>
      </c>
      <c r="G477" s="389" t="s">
        <v>44</v>
      </c>
      <c r="H477" s="386" t="s">
        <v>44</v>
      </c>
    </row>
    <row r="478" ht="15.75" customHeight="1">
      <c r="A478" s="391"/>
      <c r="B478" s="386" t="s">
        <v>44</v>
      </c>
      <c r="C478" s="387" t="s">
        <v>44</v>
      </c>
      <c r="D478" s="388" t="s">
        <v>44</v>
      </c>
      <c r="E478" s="388" t="s">
        <v>44</v>
      </c>
      <c r="F478" s="387" t="s">
        <v>44</v>
      </c>
      <c r="G478" s="389" t="s">
        <v>44</v>
      </c>
      <c r="H478" s="386" t="s">
        <v>44</v>
      </c>
    </row>
    <row r="479" ht="15.75" customHeight="1">
      <c r="A479" s="391"/>
      <c r="B479" s="386" t="s">
        <v>44</v>
      </c>
      <c r="C479" s="387" t="s">
        <v>44</v>
      </c>
      <c r="D479" s="388" t="s">
        <v>44</v>
      </c>
      <c r="E479" s="388" t="s">
        <v>44</v>
      </c>
      <c r="F479" s="387" t="s">
        <v>44</v>
      </c>
      <c r="G479" s="389" t="s">
        <v>44</v>
      </c>
      <c r="H479" s="386" t="s">
        <v>44</v>
      </c>
    </row>
    <row r="480" ht="15.75" customHeight="1">
      <c r="A480" s="391"/>
      <c r="B480" s="386" t="s">
        <v>44</v>
      </c>
      <c r="C480" s="387" t="s">
        <v>44</v>
      </c>
      <c r="D480" s="388" t="s">
        <v>44</v>
      </c>
      <c r="E480" s="388" t="s">
        <v>44</v>
      </c>
      <c r="F480" s="387" t="s">
        <v>44</v>
      </c>
      <c r="G480" s="389" t="s">
        <v>44</v>
      </c>
      <c r="H480" s="386" t="s">
        <v>44</v>
      </c>
    </row>
    <row r="481" ht="15.75" customHeight="1">
      <c r="A481" s="391"/>
      <c r="B481" s="386" t="s">
        <v>44</v>
      </c>
      <c r="C481" s="387" t="s">
        <v>44</v>
      </c>
      <c r="D481" s="388" t="s">
        <v>44</v>
      </c>
      <c r="E481" s="388" t="s">
        <v>44</v>
      </c>
      <c r="F481" s="387" t="s">
        <v>44</v>
      </c>
      <c r="G481" s="389" t="s">
        <v>44</v>
      </c>
      <c r="H481" s="386" t="s">
        <v>44</v>
      </c>
    </row>
    <row r="482" ht="15.75" customHeight="1">
      <c r="A482" s="391"/>
      <c r="B482" s="386" t="s">
        <v>44</v>
      </c>
      <c r="C482" s="387" t="s">
        <v>44</v>
      </c>
      <c r="D482" s="388" t="s">
        <v>44</v>
      </c>
      <c r="E482" s="388" t="s">
        <v>44</v>
      </c>
      <c r="F482" s="387" t="s">
        <v>44</v>
      </c>
      <c r="G482" s="389" t="s">
        <v>44</v>
      </c>
      <c r="H482" s="386" t="s">
        <v>44</v>
      </c>
    </row>
    <row r="483" ht="15.75" customHeight="1">
      <c r="A483" s="391"/>
      <c r="B483" s="386" t="s">
        <v>44</v>
      </c>
      <c r="C483" s="387" t="s">
        <v>44</v>
      </c>
      <c r="D483" s="388" t="s">
        <v>44</v>
      </c>
      <c r="E483" s="388" t="s">
        <v>44</v>
      </c>
      <c r="F483" s="387" t="s">
        <v>44</v>
      </c>
      <c r="G483" s="389" t="s">
        <v>44</v>
      </c>
      <c r="H483" s="386" t="s">
        <v>44</v>
      </c>
    </row>
    <row r="484" ht="15.75" customHeight="1">
      <c r="A484" s="391"/>
      <c r="B484" s="386" t="s">
        <v>44</v>
      </c>
      <c r="C484" s="387" t="s">
        <v>44</v>
      </c>
      <c r="D484" s="388" t="s">
        <v>44</v>
      </c>
      <c r="E484" s="388" t="s">
        <v>44</v>
      </c>
      <c r="F484" s="387" t="s">
        <v>44</v>
      </c>
      <c r="G484" s="389" t="s">
        <v>44</v>
      </c>
      <c r="H484" s="386" t="s">
        <v>44</v>
      </c>
    </row>
    <row r="485" ht="15.75" customHeight="1">
      <c r="A485" s="391"/>
      <c r="B485" s="386" t="s">
        <v>44</v>
      </c>
      <c r="C485" s="387" t="s">
        <v>44</v>
      </c>
      <c r="D485" s="388" t="s">
        <v>44</v>
      </c>
      <c r="E485" s="388" t="s">
        <v>44</v>
      </c>
      <c r="F485" s="387" t="s">
        <v>44</v>
      </c>
      <c r="G485" s="389" t="s">
        <v>44</v>
      </c>
      <c r="H485" s="386" t="s">
        <v>44</v>
      </c>
    </row>
    <row r="486" ht="15.75" customHeight="1">
      <c r="A486" s="391"/>
      <c r="B486" s="386" t="s">
        <v>44</v>
      </c>
      <c r="C486" s="387" t="s">
        <v>44</v>
      </c>
      <c r="D486" s="388" t="s">
        <v>44</v>
      </c>
      <c r="E486" s="388" t="s">
        <v>44</v>
      </c>
      <c r="F486" s="387" t="s">
        <v>44</v>
      </c>
      <c r="G486" s="389" t="s">
        <v>44</v>
      </c>
      <c r="H486" s="386" t="s">
        <v>44</v>
      </c>
    </row>
    <row r="487" ht="15.75" customHeight="1">
      <c r="A487" s="391"/>
      <c r="B487" s="386" t="s">
        <v>44</v>
      </c>
      <c r="C487" s="387" t="s">
        <v>44</v>
      </c>
      <c r="D487" s="388" t="s">
        <v>44</v>
      </c>
      <c r="E487" s="388" t="s">
        <v>44</v>
      </c>
      <c r="F487" s="387" t="s">
        <v>44</v>
      </c>
      <c r="G487" s="389" t="s">
        <v>44</v>
      </c>
      <c r="H487" s="386" t="s">
        <v>44</v>
      </c>
    </row>
    <row r="488" ht="15.75" customHeight="1">
      <c r="A488" s="391"/>
      <c r="B488" s="386" t="s">
        <v>44</v>
      </c>
      <c r="C488" s="387" t="s">
        <v>44</v>
      </c>
      <c r="D488" s="388" t="s">
        <v>44</v>
      </c>
      <c r="E488" s="388" t="s">
        <v>44</v>
      </c>
      <c r="F488" s="387" t="s">
        <v>44</v>
      </c>
      <c r="G488" s="389" t="s">
        <v>44</v>
      </c>
      <c r="H488" s="386" t="s">
        <v>44</v>
      </c>
    </row>
    <row r="489" ht="15.75" customHeight="1">
      <c r="A489" s="391"/>
      <c r="B489" s="386" t="s">
        <v>44</v>
      </c>
      <c r="C489" s="387" t="s">
        <v>44</v>
      </c>
      <c r="D489" s="388" t="s">
        <v>44</v>
      </c>
      <c r="E489" s="388" t="s">
        <v>44</v>
      </c>
      <c r="F489" s="387" t="s">
        <v>44</v>
      </c>
      <c r="G489" s="389" t="s">
        <v>44</v>
      </c>
      <c r="H489" s="386" t="s">
        <v>44</v>
      </c>
    </row>
    <row r="490" ht="15.75" customHeight="1">
      <c r="A490" s="391"/>
      <c r="B490" s="386" t="s">
        <v>44</v>
      </c>
      <c r="C490" s="387" t="s">
        <v>44</v>
      </c>
      <c r="D490" s="388" t="s">
        <v>44</v>
      </c>
      <c r="E490" s="388" t="s">
        <v>44</v>
      </c>
      <c r="F490" s="387" t="s">
        <v>44</v>
      </c>
      <c r="G490" s="389" t="s">
        <v>44</v>
      </c>
      <c r="H490" s="386" t="s">
        <v>44</v>
      </c>
    </row>
    <row r="491" ht="15.75" customHeight="1">
      <c r="A491" s="391"/>
      <c r="B491" s="386" t="s">
        <v>44</v>
      </c>
      <c r="C491" s="387" t="s">
        <v>44</v>
      </c>
      <c r="D491" s="388" t="s">
        <v>44</v>
      </c>
      <c r="E491" s="388" t="s">
        <v>44</v>
      </c>
      <c r="F491" s="387" t="s">
        <v>44</v>
      </c>
      <c r="G491" s="389" t="s">
        <v>44</v>
      </c>
      <c r="H491" s="386" t="s">
        <v>44</v>
      </c>
    </row>
    <row r="492" ht="15.75" customHeight="1">
      <c r="A492" s="391"/>
      <c r="B492" s="386" t="s">
        <v>44</v>
      </c>
      <c r="C492" s="387" t="s">
        <v>44</v>
      </c>
      <c r="D492" s="388" t="s">
        <v>44</v>
      </c>
      <c r="E492" s="388" t="s">
        <v>44</v>
      </c>
      <c r="F492" s="387" t="s">
        <v>44</v>
      </c>
      <c r="G492" s="389" t="s">
        <v>44</v>
      </c>
      <c r="H492" s="386" t="s">
        <v>44</v>
      </c>
    </row>
    <row r="493" ht="15.75" customHeight="1">
      <c r="A493" s="391"/>
      <c r="B493" s="386" t="s">
        <v>44</v>
      </c>
      <c r="C493" s="387" t="s">
        <v>44</v>
      </c>
      <c r="D493" s="388" t="s">
        <v>44</v>
      </c>
      <c r="E493" s="388" t="s">
        <v>44</v>
      </c>
      <c r="F493" s="387" t="s">
        <v>44</v>
      </c>
      <c r="G493" s="389" t="s">
        <v>44</v>
      </c>
      <c r="H493" s="386" t="s">
        <v>44</v>
      </c>
    </row>
    <row r="494" ht="15.75" customHeight="1">
      <c r="A494" s="391"/>
      <c r="B494" s="386" t="s">
        <v>44</v>
      </c>
      <c r="C494" s="387" t="s">
        <v>44</v>
      </c>
      <c r="D494" s="388" t="s">
        <v>44</v>
      </c>
      <c r="E494" s="388" t="s">
        <v>44</v>
      </c>
      <c r="F494" s="387" t="s">
        <v>44</v>
      </c>
      <c r="G494" s="389" t="s">
        <v>44</v>
      </c>
      <c r="H494" s="386" t="s">
        <v>44</v>
      </c>
    </row>
    <row r="495" ht="15.75" customHeight="1">
      <c r="A495" s="391"/>
      <c r="B495" s="386" t="s">
        <v>44</v>
      </c>
      <c r="C495" s="387" t="s">
        <v>44</v>
      </c>
      <c r="D495" s="388" t="s">
        <v>44</v>
      </c>
      <c r="E495" s="388" t="s">
        <v>44</v>
      </c>
      <c r="F495" s="387" t="s">
        <v>44</v>
      </c>
      <c r="G495" s="389" t="s">
        <v>44</v>
      </c>
      <c r="H495" s="386" t="s">
        <v>44</v>
      </c>
    </row>
    <row r="496" ht="15.75" customHeight="1">
      <c r="A496" s="391"/>
      <c r="B496" s="386" t="s">
        <v>44</v>
      </c>
      <c r="C496" s="387" t="s">
        <v>44</v>
      </c>
      <c r="D496" s="388" t="s">
        <v>44</v>
      </c>
      <c r="E496" s="388" t="s">
        <v>44</v>
      </c>
      <c r="F496" s="387" t="s">
        <v>44</v>
      </c>
      <c r="G496" s="389" t="s">
        <v>44</v>
      </c>
      <c r="H496" s="386" t="s">
        <v>44</v>
      </c>
    </row>
    <row r="497" ht="15.75" customHeight="1">
      <c r="A497" s="391"/>
      <c r="B497" s="386" t="s">
        <v>44</v>
      </c>
      <c r="C497" s="387" t="s">
        <v>44</v>
      </c>
      <c r="D497" s="388" t="s">
        <v>44</v>
      </c>
      <c r="E497" s="388" t="s">
        <v>44</v>
      </c>
      <c r="F497" s="387" t="s">
        <v>44</v>
      </c>
      <c r="G497" s="389" t="s">
        <v>44</v>
      </c>
      <c r="H497" s="386" t="s">
        <v>44</v>
      </c>
    </row>
    <row r="498" ht="15.75" customHeight="1">
      <c r="A498" s="391"/>
      <c r="B498" s="386" t="s">
        <v>44</v>
      </c>
      <c r="C498" s="387" t="s">
        <v>44</v>
      </c>
      <c r="D498" s="388" t="s">
        <v>44</v>
      </c>
      <c r="E498" s="388" t="s">
        <v>44</v>
      </c>
      <c r="F498" s="387" t="s">
        <v>44</v>
      </c>
      <c r="G498" s="389" t="s">
        <v>44</v>
      </c>
      <c r="H498" s="386" t="s">
        <v>44</v>
      </c>
    </row>
    <row r="499" ht="15.75" customHeight="1">
      <c r="A499" s="391"/>
      <c r="B499" s="386" t="s">
        <v>44</v>
      </c>
      <c r="C499" s="387" t="s">
        <v>44</v>
      </c>
      <c r="D499" s="388" t="s">
        <v>44</v>
      </c>
      <c r="E499" s="388" t="s">
        <v>44</v>
      </c>
      <c r="F499" s="387" t="s">
        <v>44</v>
      </c>
      <c r="G499" s="389" t="s">
        <v>44</v>
      </c>
      <c r="H499" s="386" t="s">
        <v>44</v>
      </c>
    </row>
    <row r="500" ht="15.75" customHeight="1">
      <c r="A500" s="391"/>
      <c r="B500" s="386" t="s">
        <v>44</v>
      </c>
      <c r="C500" s="387" t="s">
        <v>44</v>
      </c>
      <c r="D500" s="388" t="s">
        <v>44</v>
      </c>
      <c r="E500" s="388" t="s">
        <v>44</v>
      </c>
      <c r="F500" s="387" t="s">
        <v>44</v>
      </c>
      <c r="G500" s="389" t="s">
        <v>44</v>
      </c>
      <c r="H500" s="386" t="s">
        <v>44</v>
      </c>
    </row>
    <row r="501" ht="15.75" customHeight="1">
      <c r="A501" s="391"/>
      <c r="B501" s="386" t="s">
        <v>44</v>
      </c>
      <c r="C501" s="387" t="s">
        <v>44</v>
      </c>
      <c r="D501" s="388" t="s">
        <v>44</v>
      </c>
      <c r="E501" s="388" t="s">
        <v>44</v>
      </c>
      <c r="F501" s="387" t="s">
        <v>44</v>
      </c>
      <c r="G501" s="389" t="s">
        <v>44</v>
      </c>
      <c r="H501" s="386" t="s">
        <v>44</v>
      </c>
    </row>
    <row r="502" ht="15.75" customHeight="1">
      <c r="A502" s="391"/>
      <c r="B502" s="386" t="s">
        <v>44</v>
      </c>
      <c r="C502" s="387" t="s">
        <v>44</v>
      </c>
      <c r="D502" s="388" t="s">
        <v>44</v>
      </c>
      <c r="E502" s="388" t="s">
        <v>44</v>
      </c>
      <c r="F502" s="387" t="s">
        <v>44</v>
      </c>
      <c r="G502" s="389" t="s">
        <v>44</v>
      </c>
      <c r="H502" s="386" t="s">
        <v>44</v>
      </c>
    </row>
    <row r="503" ht="15.75" customHeight="1">
      <c r="A503" s="391"/>
      <c r="B503" s="386" t="s">
        <v>44</v>
      </c>
      <c r="C503" s="387" t="s">
        <v>44</v>
      </c>
      <c r="D503" s="388" t="s">
        <v>44</v>
      </c>
      <c r="E503" s="388" t="s">
        <v>44</v>
      </c>
      <c r="F503" s="387" t="s">
        <v>44</v>
      </c>
      <c r="G503" s="389" t="s">
        <v>44</v>
      </c>
      <c r="H503" s="386" t="s">
        <v>44</v>
      </c>
    </row>
    <row r="504" ht="15.75" customHeight="1">
      <c r="A504" s="391"/>
      <c r="B504" s="386" t="s">
        <v>44</v>
      </c>
      <c r="C504" s="387" t="s">
        <v>44</v>
      </c>
      <c r="D504" s="388" t="s">
        <v>44</v>
      </c>
      <c r="E504" s="388" t="s">
        <v>44</v>
      </c>
      <c r="F504" s="387" t="s">
        <v>44</v>
      </c>
      <c r="G504" s="389" t="s">
        <v>44</v>
      </c>
      <c r="H504" s="386" t="s">
        <v>44</v>
      </c>
    </row>
    <row r="505" ht="15.75" customHeight="1">
      <c r="A505" s="391"/>
      <c r="B505" s="386" t="s">
        <v>44</v>
      </c>
      <c r="C505" s="387" t="s">
        <v>44</v>
      </c>
      <c r="D505" s="388" t="s">
        <v>44</v>
      </c>
      <c r="E505" s="388" t="s">
        <v>44</v>
      </c>
      <c r="F505" s="387" t="s">
        <v>44</v>
      </c>
      <c r="G505" s="389" t="s">
        <v>44</v>
      </c>
      <c r="H505" s="386" t="s">
        <v>44</v>
      </c>
    </row>
    <row r="506" ht="15.75" customHeight="1">
      <c r="A506" s="391"/>
      <c r="B506" s="386" t="s">
        <v>44</v>
      </c>
      <c r="C506" s="387" t="s">
        <v>44</v>
      </c>
      <c r="D506" s="388" t="s">
        <v>44</v>
      </c>
      <c r="E506" s="388" t="s">
        <v>44</v>
      </c>
      <c r="F506" s="387" t="s">
        <v>44</v>
      </c>
      <c r="G506" s="389" t="s">
        <v>44</v>
      </c>
      <c r="H506" s="386" t="s">
        <v>44</v>
      </c>
    </row>
    <row r="507" ht="15.75" customHeight="1">
      <c r="A507" s="391"/>
      <c r="B507" s="386" t="s">
        <v>44</v>
      </c>
      <c r="C507" s="387" t="s">
        <v>44</v>
      </c>
      <c r="D507" s="388" t="s">
        <v>44</v>
      </c>
      <c r="E507" s="388" t="s">
        <v>44</v>
      </c>
      <c r="F507" s="387" t="s">
        <v>44</v>
      </c>
      <c r="G507" s="389" t="s">
        <v>44</v>
      </c>
      <c r="H507" s="386" t="s">
        <v>44</v>
      </c>
    </row>
    <row r="508" ht="15.75" customHeight="1">
      <c r="A508" s="391"/>
      <c r="B508" s="386" t="s">
        <v>44</v>
      </c>
      <c r="C508" s="387" t="s">
        <v>44</v>
      </c>
      <c r="D508" s="388" t="s">
        <v>44</v>
      </c>
      <c r="E508" s="388" t="s">
        <v>44</v>
      </c>
      <c r="F508" s="387" t="s">
        <v>44</v>
      </c>
      <c r="G508" s="389" t="s">
        <v>44</v>
      </c>
      <c r="H508" s="386" t="s">
        <v>44</v>
      </c>
    </row>
    <row r="509" ht="15.75" customHeight="1">
      <c r="A509" s="391"/>
      <c r="B509" s="386" t="s">
        <v>44</v>
      </c>
      <c r="C509" s="387" t="s">
        <v>44</v>
      </c>
      <c r="D509" s="388" t="s">
        <v>44</v>
      </c>
      <c r="E509" s="388" t="s">
        <v>44</v>
      </c>
      <c r="F509" s="387" t="s">
        <v>44</v>
      </c>
      <c r="G509" s="389" t="s">
        <v>44</v>
      </c>
      <c r="H509" s="386" t="s">
        <v>44</v>
      </c>
    </row>
    <row r="510" ht="15.75" customHeight="1">
      <c r="A510" s="391"/>
      <c r="B510" s="386" t="s">
        <v>44</v>
      </c>
      <c r="C510" s="387" t="s">
        <v>44</v>
      </c>
      <c r="D510" s="388" t="s">
        <v>44</v>
      </c>
      <c r="E510" s="388" t="s">
        <v>44</v>
      </c>
      <c r="F510" s="387" t="s">
        <v>44</v>
      </c>
      <c r="G510" s="389" t="s">
        <v>44</v>
      </c>
      <c r="H510" s="386" t="s">
        <v>44</v>
      </c>
    </row>
    <row r="511" ht="15.75" customHeight="1">
      <c r="A511" s="391"/>
      <c r="B511" s="386" t="s">
        <v>44</v>
      </c>
      <c r="C511" s="387" t="s">
        <v>44</v>
      </c>
      <c r="D511" s="388" t="s">
        <v>44</v>
      </c>
      <c r="E511" s="388" t="s">
        <v>44</v>
      </c>
      <c r="F511" s="387" t="s">
        <v>44</v>
      </c>
      <c r="G511" s="389" t="s">
        <v>44</v>
      </c>
      <c r="H511" s="386" t="s">
        <v>44</v>
      </c>
    </row>
    <row r="512" ht="15.75" customHeight="1">
      <c r="A512" s="391"/>
      <c r="B512" s="386" t="s">
        <v>44</v>
      </c>
      <c r="C512" s="387" t="s">
        <v>44</v>
      </c>
      <c r="D512" s="388" t="s">
        <v>44</v>
      </c>
      <c r="E512" s="388" t="s">
        <v>44</v>
      </c>
      <c r="F512" s="387" t="s">
        <v>44</v>
      </c>
      <c r="G512" s="389" t="s">
        <v>44</v>
      </c>
      <c r="H512" s="386" t="s">
        <v>44</v>
      </c>
    </row>
    <row r="513" ht="15.75" customHeight="1">
      <c r="A513" s="391"/>
      <c r="B513" s="386" t="s">
        <v>44</v>
      </c>
      <c r="C513" s="387" t="s">
        <v>44</v>
      </c>
      <c r="D513" s="388" t="s">
        <v>44</v>
      </c>
      <c r="E513" s="388" t="s">
        <v>44</v>
      </c>
      <c r="F513" s="387" t="s">
        <v>44</v>
      </c>
      <c r="G513" s="389" t="s">
        <v>44</v>
      </c>
      <c r="H513" s="386" t="s">
        <v>44</v>
      </c>
    </row>
    <row r="514" ht="15.75" customHeight="1">
      <c r="A514" s="391"/>
      <c r="B514" s="386" t="s">
        <v>44</v>
      </c>
      <c r="C514" s="387" t="s">
        <v>44</v>
      </c>
      <c r="D514" s="388" t="s">
        <v>44</v>
      </c>
      <c r="E514" s="388" t="s">
        <v>44</v>
      </c>
      <c r="F514" s="387" t="s">
        <v>44</v>
      </c>
      <c r="G514" s="389" t="s">
        <v>44</v>
      </c>
      <c r="H514" s="386" t="s">
        <v>44</v>
      </c>
    </row>
    <row r="515" ht="15.75" customHeight="1">
      <c r="A515" s="391"/>
      <c r="B515" s="386" t="s">
        <v>44</v>
      </c>
      <c r="C515" s="387" t="s">
        <v>44</v>
      </c>
      <c r="D515" s="388" t="s">
        <v>44</v>
      </c>
      <c r="E515" s="388" t="s">
        <v>44</v>
      </c>
      <c r="F515" s="387" t="s">
        <v>44</v>
      </c>
      <c r="G515" s="389" t="s">
        <v>44</v>
      </c>
      <c r="H515" s="386" t="s">
        <v>44</v>
      </c>
    </row>
    <row r="516" ht="15.75" customHeight="1">
      <c r="A516" s="391"/>
      <c r="B516" s="386" t="s">
        <v>44</v>
      </c>
      <c r="C516" s="387" t="s">
        <v>44</v>
      </c>
      <c r="D516" s="388" t="s">
        <v>44</v>
      </c>
      <c r="E516" s="388" t="s">
        <v>44</v>
      </c>
      <c r="F516" s="387" t="s">
        <v>44</v>
      </c>
      <c r="G516" s="389" t="s">
        <v>44</v>
      </c>
      <c r="H516" s="386" t="s">
        <v>44</v>
      </c>
    </row>
    <row r="517" ht="15.75" customHeight="1">
      <c r="A517" s="391"/>
      <c r="B517" s="386" t="s">
        <v>44</v>
      </c>
      <c r="C517" s="387" t="s">
        <v>44</v>
      </c>
      <c r="D517" s="388" t="s">
        <v>44</v>
      </c>
      <c r="E517" s="388" t="s">
        <v>44</v>
      </c>
      <c r="F517" s="387" t="s">
        <v>44</v>
      </c>
      <c r="G517" s="389" t="s">
        <v>44</v>
      </c>
      <c r="H517" s="386" t="s">
        <v>44</v>
      </c>
    </row>
    <row r="518" ht="15.75" customHeight="1">
      <c r="A518" s="391"/>
      <c r="B518" s="386" t="s">
        <v>44</v>
      </c>
      <c r="C518" s="387" t="s">
        <v>44</v>
      </c>
      <c r="D518" s="388" t="s">
        <v>44</v>
      </c>
      <c r="E518" s="388" t="s">
        <v>44</v>
      </c>
      <c r="F518" s="387" t="s">
        <v>44</v>
      </c>
      <c r="G518" s="389" t="s">
        <v>44</v>
      </c>
      <c r="H518" s="386" t="s">
        <v>44</v>
      </c>
    </row>
    <row r="519" ht="15.75" customHeight="1">
      <c r="A519" s="391"/>
      <c r="B519" s="386" t="s">
        <v>44</v>
      </c>
      <c r="C519" s="387" t="s">
        <v>44</v>
      </c>
      <c r="D519" s="388" t="s">
        <v>44</v>
      </c>
      <c r="E519" s="388" t="s">
        <v>44</v>
      </c>
      <c r="F519" s="387" t="s">
        <v>44</v>
      </c>
      <c r="G519" s="389" t="s">
        <v>44</v>
      </c>
      <c r="H519" s="386" t="s">
        <v>44</v>
      </c>
    </row>
    <row r="520" ht="15.75" customHeight="1">
      <c r="A520" s="391"/>
      <c r="B520" s="386" t="s">
        <v>44</v>
      </c>
      <c r="C520" s="387" t="s">
        <v>44</v>
      </c>
      <c r="D520" s="388" t="s">
        <v>44</v>
      </c>
      <c r="E520" s="388" t="s">
        <v>44</v>
      </c>
      <c r="F520" s="387" t="s">
        <v>44</v>
      </c>
      <c r="G520" s="389" t="s">
        <v>44</v>
      </c>
      <c r="H520" s="386" t="s">
        <v>44</v>
      </c>
    </row>
    <row r="521" ht="15.75" customHeight="1">
      <c r="A521" s="391"/>
      <c r="B521" s="386" t="s">
        <v>44</v>
      </c>
      <c r="C521" s="387" t="s">
        <v>44</v>
      </c>
      <c r="D521" s="388" t="s">
        <v>44</v>
      </c>
      <c r="E521" s="388" t="s">
        <v>44</v>
      </c>
      <c r="F521" s="387" t="s">
        <v>44</v>
      </c>
      <c r="G521" s="389" t="s">
        <v>44</v>
      </c>
      <c r="H521" s="386" t="s">
        <v>44</v>
      </c>
    </row>
    <row r="522" ht="15.75" customHeight="1">
      <c r="A522" s="391"/>
      <c r="B522" s="386" t="s">
        <v>44</v>
      </c>
      <c r="C522" s="387" t="s">
        <v>44</v>
      </c>
      <c r="D522" s="388" t="s">
        <v>44</v>
      </c>
      <c r="E522" s="388" t="s">
        <v>44</v>
      </c>
      <c r="F522" s="387" t="s">
        <v>44</v>
      </c>
      <c r="G522" s="389" t="s">
        <v>44</v>
      </c>
      <c r="H522" s="386" t="s">
        <v>44</v>
      </c>
    </row>
    <row r="523" ht="15.75" customHeight="1">
      <c r="A523" s="391"/>
      <c r="B523" s="386" t="s">
        <v>44</v>
      </c>
      <c r="C523" s="387" t="s">
        <v>44</v>
      </c>
      <c r="D523" s="388" t="s">
        <v>44</v>
      </c>
      <c r="E523" s="388" t="s">
        <v>44</v>
      </c>
      <c r="F523" s="387" t="s">
        <v>44</v>
      </c>
      <c r="G523" s="389" t="s">
        <v>44</v>
      </c>
      <c r="H523" s="386" t="s">
        <v>44</v>
      </c>
    </row>
    <row r="524" ht="15.75" customHeight="1">
      <c r="A524" s="391"/>
      <c r="B524" s="386" t="s">
        <v>44</v>
      </c>
      <c r="C524" s="387" t="s">
        <v>44</v>
      </c>
      <c r="D524" s="388" t="s">
        <v>44</v>
      </c>
      <c r="E524" s="388" t="s">
        <v>44</v>
      </c>
      <c r="F524" s="387" t="s">
        <v>44</v>
      </c>
      <c r="G524" s="389" t="s">
        <v>44</v>
      </c>
      <c r="H524" s="386" t="s">
        <v>44</v>
      </c>
    </row>
    <row r="525" ht="15.75" customHeight="1">
      <c r="A525" s="391"/>
      <c r="B525" s="386" t="s">
        <v>44</v>
      </c>
      <c r="C525" s="387" t="s">
        <v>44</v>
      </c>
      <c r="D525" s="388" t="s">
        <v>44</v>
      </c>
      <c r="E525" s="388" t="s">
        <v>44</v>
      </c>
      <c r="F525" s="387" t="s">
        <v>44</v>
      </c>
      <c r="G525" s="389" t="s">
        <v>44</v>
      </c>
      <c r="H525" s="386" t="s">
        <v>44</v>
      </c>
    </row>
    <row r="526" ht="15.75" customHeight="1">
      <c r="A526" s="391"/>
      <c r="B526" s="386" t="s">
        <v>44</v>
      </c>
      <c r="C526" s="387" t="s">
        <v>44</v>
      </c>
      <c r="D526" s="388" t="s">
        <v>44</v>
      </c>
      <c r="E526" s="388" t="s">
        <v>44</v>
      </c>
      <c r="F526" s="387" t="s">
        <v>44</v>
      </c>
      <c r="G526" s="389" t="s">
        <v>44</v>
      </c>
      <c r="H526" s="386" t="s">
        <v>44</v>
      </c>
    </row>
    <row r="527" ht="15.75" customHeight="1">
      <c r="A527" s="391"/>
      <c r="B527" s="386" t="s">
        <v>44</v>
      </c>
      <c r="C527" s="387" t="s">
        <v>44</v>
      </c>
      <c r="D527" s="388" t="s">
        <v>44</v>
      </c>
      <c r="E527" s="388" t="s">
        <v>44</v>
      </c>
      <c r="F527" s="387" t="s">
        <v>44</v>
      </c>
      <c r="G527" s="389" t="s">
        <v>44</v>
      </c>
      <c r="H527" s="386" t="s">
        <v>44</v>
      </c>
    </row>
    <row r="528" ht="15.75" customHeight="1">
      <c r="A528" s="391"/>
      <c r="B528" s="386" t="s">
        <v>44</v>
      </c>
      <c r="C528" s="387" t="s">
        <v>44</v>
      </c>
      <c r="D528" s="388" t="s">
        <v>44</v>
      </c>
      <c r="E528" s="388" t="s">
        <v>44</v>
      </c>
      <c r="F528" s="387" t="s">
        <v>44</v>
      </c>
      <c r="G528" s="389" t="s">
        <v>44</v>
      </c>
      <c r="H528" s="386" t="s">
        <v>44</v>
      </c>
    </row>
    <row r="529" ht="15.75" customHeight="1">
      <c r="A529" s="391"/>
      <c r="B529" s="386" t="s">
        <v>44</v>
      </c>
      <c r="C529" s="387" t="s">
        <v>44</v>
      </c>
      <c r="D529" s="388" t="s">
        <v>44</v>
      </c>
      <c r="E529" s="388" t="s">
        <v>44</v>
      </c>
      <c r="F529" s="387" t="s">
        <v>44</v>
      </c>
      <c r="G529" s="389" t="s">
        <v>44</v>
      </c>
      <c r="H529" s="386" t="s">
        <v>44</v>
      </c>
    </row>
    <row r="530" ht="15.75" customHeight="1">
      <c r="A530" s="391"/>
      <c r="B530" s="386" t="s">
        <v>44</v>
      </c>
      <c r="C530" s="387" t="s">
        <v>44</v>
      </c>
      <c r="D530" s="388" t="s">
        <v>44</v>
      </c>
      <c r="E530" s="388" t="s">
        <v>44</v>
      </c>
      <c r="F530" s="387" t="s">
        <v>44</v>
      </c>
      <c r="G530" s="389" t="s">
        <v>44</v>
      </c>
      <c r="H530" s="386" t="s">
        <v>44</v>
      </c>
    </row>
    <row r="531" ht="15.75" customHeight="1">
      <c r="A531" s="391"/>
      <c r="B531" s="386" t="s">
        <v>44</v>
      </c>
      <c r="C531" s="387" t="s">
        <v>44</v>
      </c>
      <c r="D531" s="388" t="s">
        <v>44</v>
      </c>
      <c r="E531" s="388" t="s">
        <v>44</v>
      </c>
      <c r="F531" s="387" t="s">
        <v>44</v>
      </c>
      <c r="G531" s="389" t="s">
        <v>44</v>
      </c>
      <c r="H531" s="386" t="s">
        <v>44</v>
      </c>
    </row>
    <row r="532" ht="15.75" customHeight="1">
      <c r="A532" s="391"/>
      <c r="B532" s="386" t="s">
        <v>44</v>
      </c>
      <c r="C532" s="387" t="s">
        <v>44</v>
      </c>
      <c r="D532" s="388" t="s">
        <v>44</v>
      </c>
      <c r="E532" s="388" t="s">
        <v>44</v>
      </c>
      <c r="F532" s="387" t="s">
        <v>44</v>
      </c>
      <c r="G532" s="389" t="s">
        <v>44</v>
      </c>
      <c r="H532" s="386" t="s">
        <v>44</v>
      </c>
    </row>
    <row r="533" ht="15.75" customHeight="1">
      <c r="A533" s="391"/>
      <c r="B533" s="386" t="s">
        <v>44</v>
      </c>
      <c r="C533" s="387" t="s">
        <v>44</v>
      </c>
      <c r="D533" s="388" t="s">
        <v>44</v>
      </c>
      <c r="E533" s="388" t="s">
        <v>44</v>
      </c>
      <c r="F533" s="387" t="s">
        <v>44</v>
      </c>
      <c r="G533" s="389" t="s">
        <v>44</v>
      </c>
      <c r="H533" s="386" t="s">
        <v>44</v>
      </c>
    </row>
    <row r="534" ht="15.75" customHeight="1">
      <c r="A534" s="391"/>
      <c r="B534" s="386" t="s">
        <v>44</v>
      </c>
      <c r="C534" s="387" t="s">
        <v>44</v>
      </c>
      <c r="D534" s="388" t="s">
        <v>44</v>
      </c>
      <c r="E534" s="388" t="s">
        <v>44</v>
      </c>
      <c r="F534" s="387" t="s">
        <v>44</v>
      </c>
      <c r="G534" s="389" t="s">
        <v>44</v>
      </c>
      <c r="H534" s="386" t="s">
        <v>44</v>
      </c>
    </row>
    <row r="535" ht="15.75" customHeight="1">
      <c r="A535" s="391"/>
      <c r="B535" s="386" t="s">
        <v>44</v>
      </c>
      <c r="C535" s="387" t="s">
        <v>44</v>
      </c>
      <c r="D535" s="388" t="s">
        <v>44</v>
      </c>
      <c r="E535" s="388" t="s">
        <v>44</v>
      </c>
      <c r="F535" s="387" t="s">
        <v>44</v>
      </c>
      <c r="G535" s="389" t="s">
        <v>44</v>
      </c>
      <c r="H535" s="386" t="s">
        <v>44</v>
      </c>
    </row>
    <row r="536" ht="15.75" customHeight="1">
      <c r="A536" s="391"/>
      <c r="B536" s="386" t="s">
        <v>44</v>
      </c>
      <c r="C536" s="387" t="s">
        <v>44</v>
      </c>
      <c r="D536" s="388" t="s">
        <v>44</v>
      </c>
      <c r="E536" s="388" t="s">
        <v>44</v>
      </c>
      <c r="F536" s="387" t="s">
        <v>44</v>
      </c>
      <c r="G536" s="389" t="s">
        <v>44</v>
      </c>
      <c r="H536" s="386" t="s">
        <v>44</v>
      </c>
    </row>
    <row r="537" ht="15.75" customHeight="1">
      <c r="A537" s="391"/>
      <c r="B537" s="386" t="s">
        <v>44</v>
      </c>
      <c r="C537" s="387" t="s">
        <v>44</v>
      </c>
      <c r="D537" s="388" t="s">
        <v>44</v>
      </c>
      <c r="E537" s="388" t="s">
        <v>44</v>
      </c>
      <c r="F537" s="387" t="s">
        <v>44</v>
      </c>
      <c r="G537" s="389" t="s">
        <v>44</v>
      </c>
      <c r="H537" s="386" t="s">
        <v>44</v>
      </c>
    </row>
    <row r="538" ht="15.75" customHeight="1">
      <c r="A538" s="391"/>
      <c r="B538" s="386" t="s">
        <v>44</v>
      </c>
      <c r="C538" s="387" t="s">
        <v>44</v>
      </c>
      <c r="D538" s="388" t="s">
        <v>44</v>
      </c>
      <c r="E538" s="388" t="s">
        <v>44</v>
      </c>
      <c r="F538" s="387" t="s">
        <v>44</v>
      </c>
      <c r="G538" s="389" t="s">
        <v>44</v>
      </c>
      <c r="H538" s="386" t="s">
        <v>44</v>
      </c>
    </row>
    <row r="539" ht="15.75" customHeight="1">
      <c r="A539" s="391"/>
      <c r="B539" s="386" t="s">
        <v>44</v>
      </c>
      <c r="C539" s="387" t="s">
        <v>44</v>
      </c>
      <c r="D539" s="388" t="s">
        <v>44</v>
      </c>
      <c r="E539" s="388" t="s">
        <v>44</v>
      </c>
      <c r="F539" s="387" t="s">
        <v>44</v>
      </c>
      <c r="G539" s="389" t="s">
        <v>44</v>
      </c>
      <c r="H539" s="386" t="s">
        <v>44</v>
      </c>
    </row>
    <row r="540" ht="15.75" customHeight="1">
      <c r="A540" s="391"/>
      <c r="B540" s="386" t="s">
        <v>44</v>
      </c>
      <c r="C540" s="387" t="s">
        <v>44</v>
      </c>
      <c r="D540" s="388" t="s">
        <v>44</v>
      </c>
      <c r="E540" s="388" t="s">
        <v>44</v>
      </c>
      <c r="F540" s="387" t="s">
        <v>44</v>
      </c>
      <c r="G540" s="389" t="s">
        <v>44</v>
      </c>
      <c r="H540" s="386" t="s">
        <v>44</v>
      </c>
    </row>
    <row r="541" ht="15.75" customHeight="1">
      <c r="A541" s="391"/>
      <c r="B541" s="386" t="s">
        <v>44</v>
      </c>
      <c r="C541" s="387" t="s">
        <v>44</v>
      </c>
      <c r="D541" s="388" t="s">
        <v>44</v>
      </c>
      <c r="E541" s="388" t="s">
        <v>44</v>
      </c>
      <c r="F541" s="387" t="s">
        <v>44</v>
      </c>
      <c r="G541" s="389" t="s">
        <v>44</v>
      </c>
      <c r="H541" s="386" t="s">
        <v>44</v>
      </c>
    </row>
    <row r="542" ht="15.75" customHeight="1">
      <c r="A542" s="391"/>
      <c r="B542" s="386" t="s">
        <v>44</v>
      </c>
      <c r="C542" s="387" t="s">
        <v>44</v>
      </c>
      <c r="D542" s="388" t="s">
        <v>44</v>
      </c>
      <c r="E542" s="388" t="s">
        <v>44</v>
      </c>
      <c r="F542" s="387" t="s">
        <v>44</v>
      </c>
      <c r="G542" s="389" t="s">
        <v>44</v>
      </c>
      <c r="H542" s="386" t="s">
        <v>44</v>
      </c>
    </row>
    <row r="543" ht="15.75" customHeight="1">
      <c r="A543" s="391"/>
      <c r="B543" s="386" t="s">
        <v>44</v>
      </c>
      <c r="C543" s="387" t="s">
        <v>44</v>
      </c>
      <c r="D543" s="388" t="s">
        <v>44</v>
      </c>
      <c r="E543" s="388" t="s">
        <v>44</v>
      </c>
      <c r="F543" s="387" t="s">
        <v>44</v>
      </c>
      <c r="G543" s="389" t="s">
        <v>44</v>
      </c>
      <c r="H543" s="386" t="s">
        <v>44</v>
      </c>
    </row>
    <row r="544" ht="15.75" customHeight="1">
      <c r="A544" s="391"/>
      <c r="B544" s="386" t="s">
        <v>44</v>
      </c>
      <c r="C544" s="387" t="s">
        <v>44</v>
      </c>
      <c r="D544" s="388" t="s">
        <v>44</v>
      </c>
      <c r="E544" s="388" t="s">
        <v>44</v>
      </c>
      <c r="F544" s="387" t="s">
        <v>44</v>
      </c>
      <c r="G544" s="389" t="s">
        <v>44</v>
      </c>
      <c r="H544" s="386" t="s">
        <v>44</v>
      </c>
    </row>
    <row r="545" ht="15.75" customHeight="1">
      <c r="A545" s="391"/>
      <c r="B545" s="386" t="s">
        <v>44</v>
      </c>
      <c r="C545" s="387" t="s">
        <v>44</v>
      </c>
      <c r="D545" s="388" t="s">
        <v>44</v>
      </c>
      <c r="E545" s="388" t="s">
        <v>44</v>
      </c>
      <c r="F545" s="387" t="s">
        <v>44</v>
      </c>
      <c r="G545" s="389" t="s">
        <v>44</v>
      </c>
      <c r="H545" s="386" t="s">
        <v>44</v>
      </c>
    </row>
    <row r="546" ht="15.75" customHeight="1">
      <c r="A546" s="391"/>
      <c r="B546" s="386" t="s">
        <v>44</v>
      </c>
      <c r="C546" s="387" t="s">
        <v>44</v>
      </c>
      <c r="D546" s="388" t="s">
        <v>44</v>
      </c>
      <c r="E546" s="388" t="s">
        <v>44</v>
      </c>
      <c r="F546" s="387" t="s">
        <v>44</v>
      </c>
      <c r="G546" s="389" t="s">
        <v>44</v>
      </c>
      <c r="H546" s="386" t="s">
        <v>44</v>
      </c>
    </row>
    <row r="547" ht="15.75" customHeight="1">
      <c r="A547" s="391"/>
      <c r="B547" s="386" t="s">
        <v>44</v>
      </c>
      <c r="C547" s="387" t="s">
        <v>44</v>
      </c>
      <c r="D547" s="388" t="s">
        <v>44</v>
      </c>
      <c r="E547" s="388" t="s">
        <v>44</v>
      </c>
      <c r="F547" s="387" t="s">
        <v>44</v>
      </c>
      <c r="G547" s="389" t="s">
        <v>44</v>
      </c>
      <c r="H547" s="386" t="s">
        <v>44</v>
      </c>
    </row>
    <row r="548" ht="15.75" customHeight="1">
      <c r="A548" s="391"/>
      <c r="B548" s="386" t="s">
        <v>44</v>
      </c>
      <c r="C548" s="387" t="s">
        <v>44</v>
      </c>
      <c r="D548" s="388" t="s">
        <v>44</v>
      </c>
      <c r="E548" s="388" t="s">
        <v>44</v>
      </c>
      <c r="F548" s="387" t="s">
        <v>44</v>
      </c>
      <c r="G548" s="389" t="s">
        <v>44</v>
      </c>
      <c r="H548" s="386" t="s">
        <v>44</v>
      </c>
    </row>
    <row r="549" ht="15.75" customHeight="1">
      <c r="A549" s="391"/>
      <c r="B549" s="386" t="s">
        <v>44</v>
      </c>
      <c r="C549" s="387" t="s">
        <v>44</v>
      </c>
      <c r="D549" s="388" t="s">
        <v>44</v>
      </c>
      <c r="E549" s="388" t="s">
        <v>44</v>
      </c>
      <c r="F549" s="387" t="s">
        <v>44</v>
      </c>
      <c r="G549" s="389" t="s">
        <v>44</v>
      </c>
      <c r="H549" s="386" t="s">
        <v>44</v>
      </c>
    </row>
    <row r="550" ht="15.75" customHeight="1">
      <c r="A550" s="391"/>
      <c r="B550" s="386" t="s">
        <v>44</v>
      </c>
      <c r="C550" s="387" t="s">
        <v>44</v>
      </c>
      <c r="D550" s="388" t="s">
        <v>44</v>
      </c>
      <c r="E550" s="388" t="s">
        <v>44</v>
      </c>
      <c r="F550" s="387" t="s">
        <v>44</v>
      </c>
      <c r="G550" s="389" t="s">
        <v>44</v>
      </c>
      <c r="H550" s="386" t="s">
        <v>44</v>
      </c>
    </row>
    <row r="551" ht="15.75" customHeight="1">
      <c r="A551" s="391"/>
      <c r="B551" s="386" t="s">
        <v>44</v>
      </c>
      <c r="C551" s="387" t="s">
        <v>44</v>
      </c>
      <c r="D551" s="388" t="s">
        <v>44</v>
      </c>
      <c r="E551" s="388" t="s">
        <v>44</v>
      </c>
      <c r="F551" s="387" t="s">
        <v>44</v>
      </c>
      <c r="G551" s="389" t="s">
        <v>44</v>
      </c>
      <c r="H551" s="386" t="s">
        <v>44</v>
      </c>
    </row>
    <row r="552" ht="15.75" customHeight="1">
      <c r="A552" s="391"/>
      <c r="B552" s="386" t="s">
        <v>44</v>
      </c>
      <c r="C552" s="387" t="s">
        <v>44</v>
      </c>
      <c r="D552" s="388" t="s">
        <v>44</v>
      </c>
      <c r="E552" s="388" t="s">
        <v>44</v>
      </c>
      <c r="F552" s="387" t="s">
        <v>44</v>
      </c>
      <c r="G552" s="389" t="s">
        <v>44</v>
      </c>
      <c r="H552" s="386" t="s">
        <v>44</v>
      </c>
    </row>
    <row r="553" ht="15.75" customHeight="1">
      <c r="A553" s="391"/>
      <c r="B553" s="386" t="s">
        <v>44</v>
      </c>
      <c r="C553" s="387" t="s">
        <v>44</v>
      </c>
      <c r="D553" s="388" t="s">
        <v>44</v>
      </c>
      <c r="E553" s="388" t="s">
        <v>44</v>
      </c>
      <c r="F553" s="387" t="s">
        <v>44</v>
      </c>
      <c r="G553" s="389" t="s">
        <v>44</v>
      </c>
      <c r="H553" s="386" t="s">
        <v>44</v>
      </c>
    </row>
    <row r="554" ht="15.75" customHeight="1">
      <c r="A554" s="391"/>
      <c r="B554" s="386" t="s">
        <v>44</v>
      </c>
      <c r="C554" s="387" t="s">
        <v>44</v>
      </c>
      <c r="D554" s="388" t="s">
        <v>44</v>
      </c>
      <c r="E554" s="388" t="s">
        <v>44</v>
      </c>
      <c r="F554" s="387" t="s">
        <v>44</v>
      </c>
      <c r="G554" s="389" t="s">
        <v>44</v>
      </c>
      <c r="H554" s="386" t="s">
        <v>44</v>
      </c>
    </row>
    <row r="555" ht="15.75" customHeight="1">
      <c r="A555" s="391"/>
      <c r="B555" s="386" t="s">
        <v>44</v>
      </c>
      <c r="C555" s="387" t="s">
        <v>44</v>
      </c>
      <c r="D555" s="388" t="s">
        <v>44</v>
      </c>
      <c r="E555" s="388" t="s">
        <v>44</v>
      </c>
      <c r="F555" s="387" t="s">
        <v>44</v>
      </c>
      <c r="G555" s="389" t="s">
        <v>44</v>
      </c>
      <c r="H555" s="386" t="s">
        <v>44</v>
      </c>
    </row>
    <row r="556" ht="15.75" customHeight="1">
      <c r="A556" s="391"/>
      <c r="B556" s="386" t="s">
        <v>44</v>
      </c>
      <c r="C556" s="387" t="s">
        <v>44</v>
      </c>
      <c r="D556" s="388" t="s">
        <v>44</v>
      </c>
      <c r="E556" s="388" t="s">
        <v>44</v>
      </c>
      <c r="F556" s="387" t="s">
        <v>44</v>
      </c>
      <c r="G556" s="389" t="s">
        <v>44</v>
      </c>
      <c r="H556" s="386" t="s">
        <v>44</v>
      </c>
    </row>
    <row r="557" ht="15.75" customHeight="1">
      <c r="A557" s="391"/>
      <c r="B557" s="386" t="s">
        <v>44</v>
      </c>
      <c r="C557" s="387" t="s">
        <v>44</v>
      </c>
      <c r="D557" s="388" t="s">
        <v>44</v>
      </c>
      <c r="E557" s="388" t="s">
        <v>44</v>
      </c>
      <c r="F557" s="387" t="s">
        <v>44</v>
      </c>
      <c r="G557" s="389" t="s">
        <v>44</v>
      </c>
      <c r="H557" s="386" t="s">
        <v>44</v>
      </c>
    </row>
    <row r="558" ht="15.75" customHeight="1">
      <c r="A558" s="391"/>
      <c r="B558" s="386" t="s">
        <v>44</v>
      </c>
      <c r="C558" s="387" t="s">
        <v>44</v>
      </c>
      <c r="D558" s="388" t="s">
        <v>44</v>
      </c>
      <c r="E558" s="388" t="s">
        <v>44</v>
      </c>
      <c r="F558" s="387" t="s">
        <v>44</v>
      </c>
      <c r="G558" s="389" t="s">
        <v>44</v>
      </c>
      <c r="H558" s="386" t="s">
        <v>44</v>
      </c>
    </row>
    <row r="559" ht="15.75" customHeight="1">
      <c r="A559" s="391"/>
      <c r="B559" s="386" t="s">
        <v>44</v>
      </c>
      <c r="C559" s="387" t="s">
        <v>44</v>
      </c>
      <c r="D559" s="388" t="s">
        <v>44</v>
      </c>
      <c r="E559" s="388" t="s">
        <v>44</v>
      </c>
      <c r="F559" s="387" t="s">
        <v>44</v>
      </c>
      <c r="G559" s="389" t="s">
        <v>44</v>
      </c>
      <c r="H559" s="386" t="s">
        <v>44</v>
      </c>
    </row>
    <row r="560" ht="15.75" customHeight="1">
      <c r="A560" s="391"/>
      <c r="B560" s="386" t="s">
        <v>44</v>
      </c>
      <c r="C560" s="387" t="s">
        <v>44</v>
      </c>
      <c r="D560" s="388" t="s">
        <v>44</v>
      </c>
      <c r="E560" s="388" t="s">
        <v>44</v>
      </c>
      <c r="F560" s="387" t="s">
        <v>44</v>
      </c>
      <c r="G560" s="389" t="s">
        <v>44</v>
      </c>
      <c r="H560" s="386" t="s">
        <v>44</v>
      </c>
    </row>
    <row r="561" ht="15.75" customHeight="1">
      <c r="A561" s="391"/>
      <c r="B561" s="386" t="s">
        <v>44</v>
      </c>
      <c r="C561" s="387" t="s">
        <v>44</v>
      </c>
      <c r="D561" s="388" t="s">
        <v>44</v>
      </c>
      <c r="E561" s="388" t="s">
        <v>44</v>
      </c>
      <c r="F561" s="387" t="s">
        <v>44</v>
      </c>
      <c r="G561" s="389" t="s">
        <v>44</v>
      </c>
      <c r="H561" s="386" t="s">
        <v>44</v>
      </c>
    </row>
    <row r="562" ht="15.75" customHeight="1">
      <c r="A562" s="391"/>
      <c r="B562" s="386" t="s">
        <v>44</v>
      </c>
      <c r="C562" s="387" t="s">
        <v>44</v>
      </c>
      <c r="D562" s="388" t="s">
        <v>44</v>
      </c>
      <c r="E562" s="388" t="s">
        <v>44</v>
      </c>
      <c r="F562" s="387" t="s">
        <v>44</v>
      </c>
      <c r="G562" s="389" t="s">
        <v>44</v>
      </c>
      <c r="H562" s="386" t="s">
        <v>44</v>
      </c>
    </row>
    <row r="563" ht="15.75" customHeight="1">
      <c r="A563" s="391"/>
      <c r="B563" s="386" t="s">
        <v>44</v>
      </c>
      <c r="C563" s="387" t="s">
        <v>44</v>
      </c>
      <c r="D563" s="388" t="s">
        <v>44</v>
      </c>
      <c r="E563" s="388" t="s">
        <v>44</v>
      </c>
      <c r="F563" s="387" t="s">
        <v>44</v>
      </c>
      <c r="G563" s="389" t="s">
        <v>44</v>
      </c>
      <c r="H563" s="386" t="s">
        <v>44</v>
      </c>
    </row>
    <row r="564" ht="15.75" customHeight="1">
      <c r="A564" s="391"/>
      <c r="B564" s="386" t="s">
        <v>44</v>
      </c>
      <c r="C564" s="387" t="s">
        <v>44</v>
      </c>
      <c r="D564" s="388" t="s">
        <v>44</v>
      </c>
      <c r="E564" s="388" t="s">
        <v>44</v>
      </c>
      <c r="F564" s="387" t="s">
        <v>44</v>
      </c>
      <c r="G564" s="389" t="s">
        <v>44</v>
      </c>
      <c r="H564" s="386" t="s">
        <v>44</v>
      </c>
    </row>
    <row r="565" ht="15.75" customHeight="1">
      <c r="A565" s="391"/>
      <c r="B565" s="386" t="s">
        <v>44</v>
      </c>
      <c r="C565" s="387" t="s">
        <v>44</v>
      </c>
      <c r="D565" s="388" t="s">
        <v>44</v>
      </c>
      <c r="E565" s="388" t="s">
        <v>44</v>
      </c>
      <c r="F565" s="387" t="s">
        <v>44</v>
      </c>
      <c r="G565" s="389" t="s">
        <v>44</v>
      </c>
      <c r="H565" s="386" t="s">
        <v>44</v>
      </c>
    </row>
    <row r="566" ht="15.75" customHeight="1">
      <c r="A566" s="391"/>
      <c r="B566" s="386" t="s">
        <v>44</v>
      </c>
      <c r="C566" s="387" t="s">
        <v>44</v>
      </c>
      <c r="D566" s="388" t="s">
        <v>44</v>
      </c>
      <c r="E566" s="388" t="s">
        <v>44</v>
      </c>
      <c r="F566" s="387" t="s">
        <v>44</v>
      </c>
      <c r="G566" s="389" t="s">
        <v>44</v>
      </c>
      <c r="H566" s="386" t="s">
        <v>44</v>
      </c>
    </row>
    <row r="567" ht="15.75" customHeight="1">
      <c r="A567" s="391"/>
      <c r="B567" s="386" t="s">
        <v>44</v>
      </c>
      <c r="C567" s="387" t="s">
        <v>44</v>
      </c>
      <c r="D567" s="388" t="s">
        <v>44</v>
      </c>
      <c r="E567" s="388" t="s">
        <v>44</v>
      </c>
      <c r="F567" s="387" t="s">
        <v>44</v>
      </c>
      <c r="G567" s="389" t="s">
        <v>44</v>
      </c>
      <c r="H567" s="386" t="s">
        <v>44</v>
      </c>
    </row>
    <row r="568" ht="15.75" customHeight="1">
      <c r="A568" s="391"/>
      <c r="B568" s="386" t="s">
        <v>44</v>
      </c>
      <c r="C568" s="387" t="s">
        <v>44</v>
      </c>
      <c r="D568" s="388" t="s">
        <v>44</v>
      </c>
      <c r="E568" s="388" t="s">
        <v>44</v>
      </c>
      <c r="F568" s="387" t="s">
        <v>44</v>
      </c>
      <c r="G568" s="389" t="s">
        <v>44</v>
      </c>
      <c r="H568" s="386" t="s">
        <v>44</v>
      </c>
    </row>
    <row r="569" ht="15.75" customHeight="1">
      <c r="A569" s="391"/>
      <c r="B569" s="386" t="s">
        <v>44</v>
      </c>
      <c r="C569" s="387" t="s">
        <v>44</v>
      </c>
      <c r="D569" s="388" t="s">
        <v>44</v>
      </c>
      <c r="E569" s="388" t="s">
        <v>44</v>
      </c>
      <c r="F569" s="387" t="s">
        <v>44</v>
      </c>
      <c r="G569" s="389" t="s">
        <v>44</v>
      </c>
      <c r="H569" s="386" t="s">
        <v>44</v>
      </c>
    </row>
    <row r="570" ht="15.75" customHeight="1">
      <c r="A570" s="391"/>
      <c r="B570" s="386" t="s">
        <v>44</v>
      </c>
      <c r="C570" s="387" t="s">
        <v>44</v>
      </c>
      <c r="D570" s="388" t="s">
        <v>44</v>
      </c>
      <c r="E570" s="388" t="s">
        <v>44</v>
      </c>
      <c r="F570" s="387" t="s">
        <v>44</v>
      </c>
      <c r="G570" s="389" t="s">
        <v>44</v>
      </c>
      <c r="H570" s="386" t="s">
        <v>44</v>
      </c>
    </row>
    <row r="571" ht="15.75" customHeight="1">
      <c r="A571" s="391"/>
      <c r="B571" s="386" t="s">
        <v>44</v>
      </c>
      <c r="C571" s="387" t="s">
        <v>44</v>
      </c>
      <c r="D571" s="388" t="s">
        <v>44</v>
      </c>
      <c r="E571" s="388" t="s">
        <v>44</v>
      </c>
      <c r="F571" s="387" t="s">
        <v>44</v>
      </c>
      <c r="G571" s="389" t="s">
        <v>44</v>
      </c>
      <c r="H571" s="386" t="s">
        <v>44</v>
      </c>
    </row>
    <row r="572" ht="15.75" customHeight="1">
      <c r="A572" s="391"/>
      <c r="B572" s="386" t="s">
        <v>44</v>
      </c>
      <c r="C572" s="387" t="s">
        <v>44</v>
      </c>
      <c r="D572" s="388" t="s">
        <v>44</v>
      </c>
      <c r="E572" s="388" t="s">
        <v>44</v>
      </c>
      <c r="F572" s="387" t="s">
        <v>44</v>
      </c>
      <c r="G572" s="389" t="s">
        <v>44</v>
      </c>
      <c r="H572" s="386" t="s">
        <v>44</v>
      </c>
    </row>
    <row r="573" ht="15.75" customHeight="1">
      <c r="A573" s="391"/>
      <c r="B573" s="386" t="s">
        <v>44</v>
      </c>
      <c r="C573" s="387" t="s">
        <v>44</v>
      </c>
      <c r="D573" s="388" t="s">
        <v>44</v>
      </c>
      <c r="E573" s="388" t="s">
        <v>44</v>
      </c>
      <c r="F573" s="387" t="s">
        <v>44</v>
      </c>
      <c r="G573" s="389" t="s">
        <v>44</v>
      </c>
      <c r="H573" s="386" t="s">
        <v>44</v>
      </c>
    </row>
    <row r="574" ht="15.75" customHeight="1">
      <c r="A574" s="391"/>
      <c r="B574" s="386" t="s">
        <v>44</v>
      </c>
      <c r="C574" s="387" t="s">
        <v>44</v>
      </c>
      <c r="D574" s="388" t="s">
        <v>44</v>
      </c>
      <c r="E574" s="388" t="s">
        <v>44</v>
      </c>
      <c r="F574" s="387" t="s">
        <v>44</v>
      </c>
      <c r="G574" s="389" t="s">
        <v>44</v>
      </c>
      <c r="H574" s="386" t="s">
        <v>44</v>
      </c>
    </row>
    <row r="575" ht="15.75" customHeight="1">
      <c r="A575" s="391"/>
      <c r="B575" s="386" t="s">
        <v>44</v>
      </c>
      <c r="C575" s="387" t="s">
        <v>44</v>
      </c>
      <c r="D575" s="388" t="s">
        <v>44</v>
      </c>
      <c r="E575" s="388" t="s">
        <v>44</v>
      </c>
      <c r="F575" s="387" t="s">
        <v>44</v>
      </c>
      <c r="G575" s="389" t="s">
        <v>44</v>
      </c>
      <c r="H575" s="386" t="s">
        <v>44</v>
      </c>
    </row>
    <row r="576" ht="15.75" customHeight="1">
      <c r="A576" s="391"/>
      <c r="B576" s="386" t="s">
        <v>44</v>
      </c>
      <c r="C576" s="387" t="s">
        <v>44</v>
      </c>
      <c r="D576" s="388" t="s">
        <v>44</v>
      </c>
      <c r="E576" s="388" t="s">
        <v>44</v>
      </c>
      <c r="F576" s="387" t="s">
        <v>44</v>
      </c>
      <c r="G576" s="389" t="s">
        <v>44</v>
      </c>
      <c r="H576" s="386" t="s">
        <v>44</v>
      </c>
    </row>
    <row r="577" ht="15.75" customHeight="1">
      <c r="A577" s="391"/>
      <c r="B577" s="386" t="s">
        <v>44</v>
      </c>
      <c r="C577" s="387" t="s">
        <v>44</v>
      </c>
      <c r="D577" s="388" t="s">
        <v>44</v>
      </c>
      <c r="E577" s="388" t="s">
        <v>44</v>
      </c>
      <c r="F577" s="387" t="s">
        <v>44</v>
      </c>
      <c r="G577" s="389" t="s">
        <v>44</v>
      </c>
      <c r="H577" s="386" t="s">
        <v>44</v>
      </c>
    </row>
    <row r="578" ht="15.75" customHeight="1">
      <c r="A578" s="391"/>
      <c r="B578" s="386" t="s">
        <v>44</v>
      </c>
      <c r="C578" s="387" t="s">
        <v>44</v>
      </c>
      <c r="D578" s="388" t="s">
        <v>44</v>
      </c>
      <c r="E578" s="388" t="s">
        <v>44</v>
      </c>
      <c r="F578" s="387" t="s">
        <v>44</v>
      </c>
      <c r="G578" s="389" t="s">
        <v>44</v>
      </c>
      <c r="H578" s="386" t="s">
        <v>44</v>
      </c>
    </row>
    <row r="579" ht="15.75" customHeight="1">
      <c r="A579" s="391"/>
      <c r="B579" s="386" t="s">
        <v>44</v>
      </c>
      <c r="C579" s="387" t="s">
        <v>44</v>
      </c>
      <c r="D579" s="388" t="s">
        <v>44</v>
      </c>
      <c r="E579" s="388" t="s">
        <v>44</v>
      </c>
      <c r="F579" s="387" t="s">
        <v>44</v>
      </c>
      <c r="G579" s="389" t="s">
        <v>44</v>
      </c>
      <c r="H579" s="386" t="s">
        <v>44</v>
      </c>
    </row>
    <row r="580" ht="15.75" customHeight="1">
      <c r="A580" s="391"/>
      <c r="B580" s="386" t="s">
        <v>44</v>
      </c>
      <c r="C580" s="387" t="s">
        <v>44</v>
      </c>
      <c r="D580" s="388" t="s">
        <v>44</v>
      </c>
      <c r="E580" s="388" t="s">
        <v>44</v>
      </c>
      <c r="F580" s="387" t="s">
        <v>44</v>
      </c>
      <c r="G580" s="389" t="s">
        <v>44</v>
      </c>
      <c r="H580" s="386" t="s">
        <v>44</v>
      </c>
    </row>
    <row r="581" ht="15.75" customHeight="1">
      <c r="A581" s="391"/>
      <c r="B581" s="386" t="s">
        <v>44</v>
      </c>
      <c r="C581" s="387" t="s">
        <v>44</v>
      </c>
      <c r="D581" s="388" t="s">
        <v>44</v>
      </c>
      <c r="E581" s="388" t="s">
        <v>44</v>
      </c>
      <c r="F581" s="387" t="s">
        <v>44</v>
      </c>
      <c r="G581" s="389" t="s">
        <v>44</v>
      </c>
      <c r="H581" s="386" t="s">
        <v>44</v>
      </c>
    </row>
    <row r="582" ht="15.75" customHeight="1">
      <c r="A582" s="391"/>
      <c r="B582" s="386" t="s">
        <v>44</v>
      </c>
      <c r="C582" s="387" t="s">
        <v>44</v>
      </c>
      <c r="D582" s="388" t="s">
        <v>44</v>
      </c>
      <c r="E582" s="388" t="s">
        <v>44</v>
      </c>
      <c r="F582" s="387" t="s">
        <v>44</v>
      </c>
      <c r="G582" s="389" t="s">
        <v>44</v>
      </c>
      <c r="H582" s="386" t="s">
        <v>44</v>
      </c>
    </row>
    <row r="583" ht="15.75" customHeight="1">
      <c r="A583" s="391"/>
      <c r="B583" s="386" t="s">
        <v>44</v>
      </c>
      <c r="C583" s="387" t="s">
        <v>44</v>
      </c>
      <c r="D583" s="388" t="s">
        <v>44</v>
      </c>
      <c r="E583" s="388" t="s">
        <v>44</v>
      </c>
      <c r="F583" s="387" t="s">
        <v>44</v>
      </c>
      <c r="G583" s="389" t="s">
        <v>44</v>
      </c>
      <c r="H583" s="386" t="s">
        <v>44</v>
      </c>
    </row>
    <row r="584" ht="15.75" customHeight="1">
      <c r="A584" s="391"/>
      <c r="B584" s="386" t="s">
        <v>44</v>
      </c>
      <c r="C584" s="387" t="s">
        <v>44</v>
      </c>
      <c r="D584" s="388" t="s">
        <v>44</v>
      </c>
      <c r="E584" s="388" t="s">
        <v>44</v>
      </c>
      <c r="F584" s="387" t="s">
        <v>44</v>
      </c>
      <c r="G584" s="389" t="s">
        <v>44</v>
      </c>
      <c r="H584" s="386" t="s">
        <v>44</v>
      </c>
    </row>
    <row r="585" ht="15.75" customHeight="1">
      <c r="A585" s="391"/>
      <c r="B585" s="386" t="s">
        <v>44</v>
      </c>
      <c r="C585" s="387" t="s">
        <v>44</v>
      </c>
      <c r="D585" s="388" t="s">
        <v>44</v>
      </c>
      <c r="E585" s="388" t="s">
        <v>44</v>
      </c>
      <c r="F585" s="387" t="s">
        <v>44</v>
      </c>
      <c r="G585" s="389" t="s">
        <v>44</v>
      </c>
      <c r="H585" s="386" t="s">
        <v>44</v>
      </c>
    </row>
    <row r="586" ht="15.75" customHeight="1">
      <c r="A586" s="391"/>
      <c r="B586" s="386" t="s">
        <v>44</v>
      </c>
      <c r="C586" s="387" t="s">
        <v>44</v>
      </c>
      <c r="D586" s="388" t="s">
        <v>44</v>
      </c>
      <c r="E586" s="388" t="s">
        <v>44</v>
      </c>
      <c r="F586" s="387" t="s">
        <v>44</v>
      </c>
      <c r="G586" s="389" t="s">
        <v>44</v>
      </c>
      <c r="H586" s="386" t="s">
        <v>44</v>
      </c>
    </row>
    <row r="587" ht="15.75" customHeight="1">
      <c r="A587" s="391"/>
      <c r="B587" s="386" t="s">
        <v>44</v>
      </c>
      <c r="C587" s="387" t="s">
        <v>44</v>
      </c>
      <c r="D587" s="388" t="s">
        <v>44</v>
      </c>
      <c r="E587" s="388" t="s">
        <v>44</v>
      </c>
      <c r="F587" s="387" t="s">
        <v>44</v>
      </c>
      <c r="G587" s="389" t="s">
        <v>44</v>
      </c>
      <c r="H587" s="386" t="s">
        <v>44</v>
      </c>
    </row>
    <row r="588" ht="15.75" customHeight="1">
      <c r="A588" s="391"/>
      <c r="B588" s="386" t="s">
        <v>44</v>
      </c>
      <c r="C588" s="387" t="s">
        <v>44</v>
      </c>
      <c r="D588" s="388" t="s">
        <v>44</v>
      </c>
      <c r="E588" s="388" t="s">
        <v>44</v>
      </c>
      <c r="F588" s="387" t="s">
        <v>44</v>
      </c>
      <c r="G588" s="389" t="s">
        <v>44</v>
      </c>
      <c r="H588" s="386" t="s">
        <v>44</v>
      </c>
    </row>
    <row r="589" ht="15.75" customHeight="1">
      <c r="A589" s="391"/>
      <c r="B589" s="386" t="s">
        <v>44</v>
      </c>
      <c r="C589" s="387" t="s">
        <v>44</v>
      </c>
      <c r="D589" s="388" t="s">
        <v>44</v>
      </c>
      <c r="E589" s="388" t="s">
        <v>44</v>
      </c>
      <c r="F589" s="387" t="s">
        <v>44</v>
      </c>
      <c r="G589" s="389" t="s">
        <v>44</v>
      </c>
      <c r="H589" s="386" t="s">
        <v>44</v>
      </c>
    </row>
    <row r="590" ht="15.75" customHeight="1">
      <c r="A590" s="391"/>
      <c r="B590" s="386" t="s">
        <v>44</v>
      </c>
      <c r="C590" s="387" t="s">
        <v>44</v>
      </c>
      <c r="D590" s="388" t="s">
        <v>44</v>
      </c>
      <c r="E590" s="388" t="s">
        <v>44</v>
      </c>
      <c r="F590" s="387" t="s">
        <v>44</v>
      </c>
      <c r="G590" s="389" t="s">
        <v>44</v>
      </c>
      <c r="H590" s="386" t="s">
        <v>44</v>
      </c>
    </row>
    <row r="591" ht="15.75" customHeight="1">
      <c r="A591" s="391"/>
      <c r="B591" s="386" t="s">
        <v>44</v>
      </c>
      <c r="C591" s="387" t="s">
        <v>44</v>
      </c>
      <c r="D591" s="388" t="s">
        <v>44</v>
      </c>
      <c r="E591" s="388" t="s">
        <v>44</v>
      </c>
      <c r="F591" s="387" t="s">
        <v>44</v>
      </c>
      <c r="G591" s="389" t="s">
        <v>44</v>
      </c>
      <c r="H591" s="386" t="s">
        <v>44</v>
      </c>
    </row>
    <row r="592" ht="15.75" customHeight="1">
      <c r="A592" s="391"/>
      <c r="B592" s="386" t="s">
        <v>44</v>
      </c>
      <c r="C592" s="387" t="s">
        <v>44</v>
      </c>
      <c r="D592" s="388" t="s">
        <v>44</v>
      </c>
      <c r="E592" s="388" t="s">
        <v>44</v>
      </c>
      <c r="F592" s="387" t="s">
        <v>44</v>
      </c>
      <c r="G592" s="389" t="s">
        <v>44</v>
      </c>
      <c r="H592" s="386" t="s">
        <v>44</v>
      </c>
    </row>
    <row r="593" ht="15.75" customHeight="1">
      <c r="A593" s="391"/>
      <c r="B593" s="386" t="s">
        <v>44</v>
      </c>
      <c r="C593" s="387" t="s">
        <v>44</v>
      </c>
      <c r="D593" s="388" t="s">
        <v>44</v>
      </c>
      <c r="E593" s="388" t="s">
        <v>44</v>
      </c>
      <c r="F593" s="387" t="s">
        <v>44</v>
      </c>
      <c r="G593" s="389" t="s">
        <v>44</v>
      </c>
      <c r="H593" s="386" t="s">
        <v>44</v>
      </c>
    </row>
    <row r="594" ht="15.75" customHeight="1">
      <c r="A594" s="391"/>
      <c r="B594" s="386" t="s">
        <v>44</v>
      </c>
      <c r="C594" s="387" t="s">
        <v>44</v>
      </c>
      <c r="D594" s="388" t="s">
        <v>44</v>
      </c>
      <c r="E594" s="388" t="s">
        <v>44</v>
      </c>
      <c r="F594" s="387" t="s">
        <v>44</v>
      </c>
      <c r="G594" s="389" t="s">
        <v>44</v>
      </c>
      <c r="H594" s="386" t="s">
        <v>44</v>
      </c>
    </row>
    <row r="595" ht="15.75" customHeight="1">
      <c r="A595" s="391"/>
      <c r="B595" s="386" t="s">
        <v>44</v>
      </c>
      <c r="C595" s="387" t="s">
        <v>44</v>
      </c>
      <c r="D595" s="388" t="s">
        <v>44</v>
      </c>
      <c r="E595" s="388" t="s">
        <v>44</v>
      </c>
      <c r="F595" s="387" t="s">
        <v>44</v>
      </c>
      <c r="G595" s="389" t="s">
        <v>44</v>
      </c>
      <c r="H595" s="386" t="s">
        <v>44</v>
      </c>
    </row>
    <row r="596" ht="15.75" customHeight="1">
      <c r="A596" s="391"/>
      <c r="B596" s="386" t="s">
        <v>44</v>
      </c>
      <c r="C596" s="387" t="s">
        <v>44</v>
      </c>
      <c r="D596" s="388" t="s">
        <v>44</v>
      </c>
      <c r="E596" s="388" t="s">
        <v>44</v>
      </c>
      <c r="F596" s="387" t="s">
        <v>44</v>
      </c>
      <c r="G596" s="389" t="s">
        <v>44</v>
      </c>
      <c r="H596" s="386" t="s">
        <v>44</v>
      </c>
    </row>
    <row r="597" ht="15.75" customHeight="1">
      <c r="A597" s="391"/>
      <c r="B597" s="386" t="s">
        <v>44</v>
      </c>
      <c r="C597" s="387" t="s">
        <v>44</v>
      </c>
      <c r="D597" s="388" t="s">
        <v>44</v>
      </c>
      <c r="E597" s="388" t="s">
        <v>44</v>
      </c>
      <c r="F597" s="387" t="s">
        <v>44</v>
      </c>
      <c r="G597" s="389" t="s">
        <v>44</v>
      </c>
      <c r="H597" s="386" t="s">
        <v>44</v>
      </c>
    </row>
    <row r="598" ht="15.75" customHeight="1">
      <c r="A598" s="391"/>
      <c r="B598" s="386" t="s">
        <v>44</v>
      </c>
      <c r="C598" s="387" t="s">
        <v>44</v>
      </c>
      <c r="D598" s="388" t="s">
        <v>44</v>
      </c>
      <c r="E598" s="388" t="s">
        <v>44</v>
      </c>
      <c r="F598" s="387" t="s">
        <v>44</v>
      </c>
      <c r="G598" s="389" t="s">
        <v>44</v>
      </c>
      <c r="H598" s="386" t="s">
        <v>44</v>
      </c>
    </row>
    <row r="599" ht="15.75" customHeight="1">
      <c r="A599" s="391"/>
      <c r="B599" s="386" t="s">
        <v>44</v>
      </c>
      <c r="C599" s="387" t="s">
        <v>44</v>
      </c>
      <c r="D599" s="388" t="s">
        <v>44</v>
      </c>
      <c r="E599" s="388" t="s">
        <v>44</v>
      </c>
      <c r="F599" s="387" t="s">
        <v>44</v>
      </c>
      <c r="G599" s="389" t="s">
        <v>44</v>
      </c>
      <c r="H599" s="386" t="s">
        <v>44</v>
      </c>
    </row>
    <row r="600" ht="15.75" customHeight="1">
      <c r="A600" s="391"/>
      <c r="B600" s="386" t="s">
        <v>44</v>
      </c>
      <c r="C600" s="387" t="s">
        <v>44</v>
      </c>
      <c r="D600" s="388" t="s">
        <v>44</v>
      </c>
      <c r="E600" s="388" t="s">
        <v>44</v>
      </c>
      <c r="F600" s="387" t="s">
        <v>44</v>
      </c>
      <c r="G600" s="389" t="s">
        <v>44</v>
      </c>
      <c r="H600" s="386" t="s">
        <v>44</v>
      </c>
    </row>
    <row r="601" ht="15.75" customHeight="1">
      <c r="B601" s="44" t="s">
        <v>44</v>
      </c>
      <c r="C601" s="44" t="s">
        <v>44</v>
      </c>
      <c r="D601" s="44" t="s">
        <v>44</v>
      </c>
      <c r="E601" s="44" t="s">
        <v>44</v>
      </c>
      <c r="F601" s="44" t="s">
        <v>44</v>
      </c>
      <c r="G601" s="44" t="s">
        <v>44</v>
      </c>
      <c r="H601" s="44" t="s">
        <v>44</v>
      </c>
    </row>
    <row r="602" ht="15.75" customHeight="1">
      <c r="B602" s="44" t="s">
        <v>44</v>
      </c>
      <c r="C602" s="44" t="s">
        <v>44</v>
      </c>
      <c r="D602" s="44" t="s">
        <v>44</v>
      </c>
      <c r="E602" s="44" t="s">
        <v>44</v>
      </c>
      <c r="F602" s="44" t="s">
        <v>44</v>
      </c>
      <c r="G602" s="44" t="s">
        <v>44</v>
      </c>
      <c r="H602" s="44" t="s">
        <v>44</v>
      </c>
    </row>
    <row r="603" ht="15.75" customHeight="1">
      <c r="B603" s="44" t="s">
        <v>44</v>
      </c>
      <c r="C603" s="44" t="s">
        <v>44</v>
      </c>
      <c r="D603" s="44" t="s">
        <v>44</v>
      </c>
      <c r="E603" s="44" t="s">
        <v>44</v>
      </c>
      <c r="F603" s="44" t="s">
        <v>44</v>
      </c>
      <c r="G603" s="44" t="s">
        <v>44</v>
      </c>
      <c r="H603" s="44" t="s">
        <v>44</v>
      </c>
    </row>
    <row r="604" ht="15.75" customHeight="1">
      <c r="B604" s="44" t="s">
        <v>44</v>
      </c>
      <c r="C604" s="44" t="s">
        <v>44</v>
      </c>
      <c r="D604" s="44" t="s">
        <v>44</v>
      </c>
      <c r="E604" s="44" t="s">
        <v>44</v>
      </c>
      <c r="F604" s="44" t="s">
        <v>44</v>
      </c>
      <c r="G604" s="44" t="s">
        <v>44</v>
      </c>
      <c r="H604" s="44" t="s">
        <v>44</v>
      </c>
    </row>
    <row r="605" ht="15.75" customHeight="1">
      <c r="B605" s="44" t="s">
        <v>44</v>
      </c>
      <c r="C605" s="44" t="s">
        <v>44</v>
      </c>
      <c r="D605" s="44" t="s">
        <v>44</v>
      </c>
      <c r="E605" s="44" t="s">
        <v>44</v>
      </c>
      <c r="F605" s="44" t="s">
        <v>44</v>
      </c>
      <c r="G605" s="44" t="s">
        <v>44</v>
      </c>
      <c r="H605" s="44" t="s">
        <v>44</v>
      </c>
    </row>
    <row r="606" ht="15.75" customHeight="1">
      <c r="B606" s="44" t="s">
        <v>44</v>
      </c>
      <c r="C606" s="44" t="s">
        <v>44</v>
      </c>
      <c r="D606" s="44" t="s">
        <v>44</v>
      </c>
      <c r="E606" s="44" t="s">
        <v>44</v>
      </c>
      <c r="F606" s="44" t="s">
        <v>44</v>
      </c>
      <c r="G606" s="44" t="s">
        <v>44</v>
      </c>
      <c r="H606" s="44" t="s">
        <v>44</v>
      </c>
    </row>
    <row r="607" ht="15.75" customHeight="1">
      <c r="B607" s="44" t="s">
        <v>44</v>
      </c>
      <c r="C607" s="44" t="s">
        <v>44</v>
      </c>
      <c r="D607" s="44" t="s">
        <v>44</v>
      </c>
      <c r="E607" s="44" t="s">
        <v>44</v>
      </c>
      <c r="F607" s="44" t="s">
        <v>44</v>
      </c>
      <c r="G607" s="44" t="s">
        <v>44</v>
      </c>
      <c r="H607" s="44" t="s">
        <v>44</v>
      </c>
    </row>
    <row r="608" ht="15.75" customHeight="1">
      <c r="B608" s="44" t="s">
        <v>44</v>
      </c>
      <c r="C608" s="44" t="s">
        <v>44</v>
      </c>
      <c r="D608" s="44" t="s">
        <v>44</v>
      </c>
      <c r="E608" s="44" t="s">
        <v>44</v>
      </c>
      <c r="F608" s="44" t="s">
        <v>44</v>
      </c>
      <c r="G608" s="44" t="s">
        <v>44</v>
      </c>
      <c r="H608" s="44" t="s">
        <v>44</v>
      </c>
    </row>
    <row r="609" ht="15.75" customHeight="1">
      <c r="B609" s="44" t="s">
        <v>44</v>
      </c>
      <c r="C609" s="44" t="s">
        <v>44</v>
      </c>
      <c r="D609" s="44" t="s">
        <v>44</v>
      </c>
      <c r="E609" s="44" t="s">
        <v>44</v>
      </c>
      <c r="F609" s="44" t="s">
        <v>44</v>
      </c>
      <c r="G609" s="44" t="s">
        <v>44</v>
      </c>
      <c r="H609" s="44" t="s">
        <v>44</v>
      </c>
    </row>
    <row r="610" ht="15.75" customHeight="1">
      <c r="B610" s="44" t="s">
        <v>44</v>
      </c>
      <c r="C610" s="44" t="s">
        <v>44</v>
      </c>
      <c r="D610" s="44" t="s">
        <v>44</v>
      </c>
      <c r="E610" s="44" t="s">
        <v>44</v>
      </c>
      <c r="F610" s="44" t="s">
        <v>44</v>
      </c>
      <c r="G610" s="44" t="s">
        <v>44</v>
      </c>
      <c r="H610" s="44" t="s">
        <v>44</v>
      </c>
    </row>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H$605"/>
  <mergeCells count="3">
    <mergeCell ref="A1:C2"/>
    <mergeCell ref="D1:H1"/>
    <mergeCell ref="D2:H2"/>
  </mergeCells>
  <conditionalFormatting sqref="B6:B600">
    <cfRule type="cellIs" dxfId="14" priority="1" operator="equal">
      <formula>"Material"</formula>
    </cfRule>
  </conditionalFormatting>
  <conditionalFormatting sqref="B6:B600">
    <cfRule type="cellIs" dxfId="15" priority="2" operator="equal">
      <formula>"Ferramenta"</formula>
    </cfRule>
  </conditionalFormatting>
  <conditionalFormatting sqref="B6:B600">
    <cfRule type="cellIs" dxfId="16" priority="3" operator="equal">
      <formula>"Equipamento"</formula>
    </cfRule>
  </conditionalFormatting>
  <conditionalFormatting sqref="B6:B600">
    <cfRule type="cellIs" dxfId="17" priority="4" operator="equal">
      <formula>"EPI"</formula>
    </cfRule>
  </conditionalFormatting>
  <conditionalFormatting sqref="B6:B600">
    <cfRule type="cellIs" dxfId="18" priority="5" operator="equal">
      <formula>"EPC"</formula>
    </cfRule>
  </conditionalFormatting>
  <conditionalFormatting sqref="F6:F600">
    <cfRule type="expression" dxfId="19" priority="6">
      <formula>AND($C6&gt;0,$F6/$C6&lt;=0.1)</formula>
    </cfRule>
  </conditionalFormatting>
  <conditionalFormatting sqref="F6:F600">
    <cfRule type="expression" dxfId="20" priority="7">
      <formula>AND($C6&gt;0,$F6/$C6&lt;=0.3)</formula>
    </cfRule>
  </conditionalFormatting>
  <conditionalFormatting sqref="F6:F600">
    <cfRule type="expression" dxfId="21" priority="8">
      <formula>AND($C6&gt;0,$F6/$C6&gt;0.3)</formula>
    </cfRule>
  </conditionalFormatting>
  <conditionalFormatting sqref="H6:H600">
    <cfRule type="expression" dxfId="19" priority="9">
      <formula>LEFT($H6,7)="COMPRAR"</formula>
    </cfRule>
  </conditionalFormatting>
  <conditionalFormatting sqref="H6:H600">
    <cfRule type="expression" dxfId="20" priority="10">
      <formula>LEFT($H6,7)="Comprar"</formula>
    </cfRule>
  </conditionalFormatting>
  <conditionalFormatting sqref="H6:H600">
    <cfRule type="expression" dxfId="21" priority="11">
      <formula>LEFT($H6,2)="OK"</formula>
    </cfRule>
  </conditionalFormatting>
  <conditionalFormatting sqref="A8:H600">
    <cfRule type="expression" dxfId="22" priority="12">
      <formula>ISEVEN(ROW())</formula>
    </cfRule>
  </conditionalFormatting>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15.86"/>
    <col customWidth="1" min="2" max="2" width="9.0"/>
    <col customWidth="1" min="3" max="3" width="16.0"/>
    <col customWidth="1" min="4" max="4" width="31.71"/>
    <col customWidth="1" min="5" max="5" width="21.29"/>
    <col customWidth="1" min="6" max="6" width="17.43"/>
    <col customWidth="1" min="7" max="7" width="27.0"/>
    <col customWidth="1" min="8" max="8" width="18.57"/>
    <col customWidth="1" min="9" max="9" width="20.0"/>
    <col customWidth="1" min="10" max="10" width="13.29"/>
    <col customWidth="1" min="11" max="11" width="14.0"/>
    <col customWidth="1" min="12" max="12" width="22.0"/>
    <col customWidth="1" min="13" max="13" width="26.0"/>
    <col customWidth="1" min="14" max="23" width="8.71"/>
  </cols>
  <sheetData>
    <row r="1" ht="27.75" customHeight="1">
      <c r="A1" s="392"/>
      <c r="B1" s="89" t="s">
        <v>211</v>
      </c>
      <c r="C1" s="90"/>
      <c r="D1" s="90"/>
      <c r="E1" s="91" t="s">
        <v>212</v>
      </c>
      <c r="F1" s="92"/>
      <c r="G1" s="92"/>
      <c r="H1" s="92"/>
      <c r="I1" s="92"/>
      <c r="J1" s="92"/>
      <c r="K1" s="92"/>
      <c r="L1" s="92"/>
      <c r="M1" s="92"/>
    </row>
    <row r="2" ht="21.75" customHeight="1">
      <c r="A2" s="392"/>
      <c r="B2" s="93"/>
      <c r="E2" s="94" t="s">
        <v>1723</v>
      </c>
      <c r="F2" s="92"/>
      <c r="G2" s="92"/>
      <c r="H2" s="92"/>
      <c r="I2" s="92"/>
      <c r="J2" s="92"/>
      <c r="K2" s="92"/>
      <c r="L2" s="92"/>
      <c r="M2" s="92"/>
    </row>
    <row r="3" ht="3.75" customHeight="1">
      <c r="A3" s="393"/>
      <c r="B3" s="95"/>
      <c r="C3" s="95"/>
      <c r="D3" s="95"/>
      <c r="E3" s="95"/>
      <c r="F3" s="95"/>
      <c r="G3" s="394"/>
      <c r="H3" s="95"/>
      <c r="I3" s="95"/>
      <c r="J3" s="95"/>
      <c r="K3" s="95"/>
      <c r="L3" s="95"/>
      <c r="M3" s="95"/>
    </row>
    <row r="4">
      <c r="G4" s="395"/>
    </row>
    <row r="5" ht="27.0" customHeight="1">
      <c r="A5" s="396" t="s">
        <v>17</v>
      </c>
      <c r="B5" s="109" t="s">
        <v>36</v>
      </c>
      <c r="C5" s="109" t="s">
        <v>1724</v>
      </c>
      <c r="D5" s="109" t="s">
        <v>1725</v>
      </c>
      <c r="E5" s="109" t="s">
        <v>1726</v>
      </c>
      <c r="F5" s="109" t="s">
        <v>1727</v>
      </c>
      <c r="G5" s="397" t="s">
        <v>1728</v>
      </c>
      <c r="H5" s="109" t="s">
        <v>1729</v>
      </c>
      <c r="I5" s="109" t="s">
        <v>1730</v>
      </c>
      <c r="J5" s="109" t="s">
        <v>1731</v>
      </c>
      <c r="K5" s="109" t="s">
        <v>1732</v>
      </c>
      <c r="L5" s="109" t="s">
        <v>1733</v>
      </c>
      <c r="M5" s="109" t="s">
        <v>227</v>
      </c>
    </row>
    <row r="6" ht="24.0" customHeight="1">
      <c r="A6" s="398" t="s">
        <v>1734</v>
      </c>
      <c r="B6" s="399"/>
      <c r="C6" s="400" t="s">
        <v>1735</v>
      </c>
      <c r="D6" s="400" t="s">
        <v>1736</v>
      </c>
      <c r="E6" s="401" t="s">
        <v>1737</v>
      </c>
      <c r="F6" s="401" t="s">
        <v>1738</v>
      </c>
      <c r="G6" s="112"/>
      <c r="H6" s="113"/>
      <c r="I6" s="113"/>
      <c r="J6" s="401" t="s">
        <v>1739</v>
      </c>
      <c r="K6" s="115" t="str">
        <f t="shared" ref="K6:K106" si="1">IF(COUNTIF($J6,"Pendente")&gt;0,"Pendente",IF(COUNTIF($J6,"OK")&gt;0,"Liberado",""))</f>
        <v>Liberado</v>
      </c>
      <c r="L6" s="113"/>
      <c r="M6" s="112"/>
    </row>
    <row r="7" ht="24.0" customHeight="1">
      <c r="A7" s="398" t="s">
        <v>1734</v>
      </c>
      <c r="B7" s="399"/>
      <c r="C7" s="400" t="s">
        <v>1735</v>
      </c>
      <c r="D7" s="400" t="s">
        <v>1740</v>
      </c>
      <c r="E7" s="401" t="s">
        <v>1741</v>
      </c>
      <c r="F7" s="401" t="s">
        <v>1742</v>
      </c>
      <c r="G7" s="112"/>
      <c r="H7" s="113"/>
      <c r="I7" s="113"/>
      <c r="J7" s="401" t="s">
        <v>1739</v>
      </c>
      <c r="K7" s="115" t="str">
        <f t="shared" si="1"/>
        <v>Liberado</v>
      </c>
      <c r="L7" s="113"/>
      <c r="M7" s="112"/>
    </row>
    <row r="8" ht="24.0" customHeight="1">
      <c r="A8" s="398" t="s">
        <v>1734</v>
      </c>
      <c r="B8" s="122"/>
      <c r="C8" s="400" t="s">
        <v>1743</v>
      </c>
      <c r="D8" s="400" t="s">
        <v>1744</v>
      </c>
      <c r="E8" s="401" t="s">
        <v>1745</v>
      </c>
      <c r="F8" s="401" t="s">
        <v>1746</v>
      </c>
      <c r="G8" s="112"/>
      <c r="H8" s="113"/>
      <c r="I8" s="113"/>
      <c r="J8" s="401" t="s">
        <v>1739</v>
      </c>
      <c r="K8" s="115" t="str">
        <f t="shared" si="1"/>
        <v>Liberado</v>
      </c>
      <c r="L8" s="113"/>
      <c r="M8" s="112"/>
    </row>
    <row r="9" ht="24.0" customHeight="1">
      <c r="A9" s="398" t="s">
        <v>1747</v>
      </c>
      <c r="B9" s="122"/>
      <c r="C9" s="400" t="s">
        <v>1748</v>
      </c>
      <c r="D9" s="400" t="s">
        <v>1749</v>
      </c>
      <c r="E9" s="401" t="s">
        <v>1750</v>
      </c>
      <c r="F9" s="401" t="s">
        <v>1751</v>
      </c>
      <c r="G9" s="400" t="s">
        <v>1752</v>
      </c>
      <c r="H9" s="401" t="s">
        <v>1753</v>
      </c>
      <c r="I9" s="401" t="s">
        <v>1751</v>
      </c>
      <c r="J9" s="401" t="s">
        <v>1739</v>
      </c>
      <c r="K9" s="115" t="str">
        <f t="shared" si="1"/>
        <v>Liberado</v>
      </c>
      <c r="L9" s="113"/>
      <c r="M9" s="112"/>
    </row>
    <row r="10" ht="24.0" customHeight="1">
      <c r="A10" s="398" t="s">
        <v>1747</v>
      </c>
      <c r="B10" s="122"/>
      <c r="C10" s="400" t="s">
        <v>1748</v>
      </c>
      <c r="D10" s="400" t="s">
        <v>1754</v>
      </c>
      <c r="E10" s="401" t="s">
        <v>1755</v>
      </c>
      <c r="F10" s="401" t="s">
        <v>1756</v>
      </c>
      <c r="G10" s="400" t="s">
        <v>1752</v>
      </c>
      <c r="H10" s="401" t="s">
        <v>1753</v>
      </c>
      <c r="I10" s="401" t="s">
        <v>1751</v>
      </c>
      <c r="J10" s="401" t="s">
        <v>1739</v>
      </c>
      <c r="K10" s="115" t="str">
        <f t="shared" si="1"/>
        <v>Liberado</v>
      </c>
      <c r="L10" s="113"/>
      <c r="M10" s="112"/>
    </row>
    <row r="11" ht="24.0" customHeight="1">
      <c r="A11" s="398" t="s">
        <v>1747</v>
      </c>
      <c r="B11" s="122"/>
      <c r="C11" s="400" t="s">
        <v>1748</v>
      </c>
      <c r="D11" s="400" t="s">
        <v>1757</v>
      </c>
      <c r="E11" s="401" t="s">
        <v>1758</v>
      </c>
      <c r="F11" s="401" t="s">
        <v>1759</v>
      </c>
      <c r="G11" s="400" t="s">
        <v>1752</v>
      </c>
      <c r="H11" s="401" t="s">
        <v>1753</v>
      </c>
      <c r="I11" s="401" t="s">
        <v>1751</v>
      </c>
      <c r="J11" s="401" t="s">
        <v>1739</v>
      </c>
      <c r="K11" s="115" t="str">
        <f t="shared" si="1"/>
        <v>Liberado</v>
      </c>
      <c r="L11" s="113"/>
      <c r="M11" s="112"/>
    </row>
    <row r="12" ht="24.0" customHeight="1">
      <c r="A12" s="398" t="s">
        <v>1747</v>
      </c>
      <c r="B12" s="122"/>
      <c r="C12" s="400" t="s">
        <v>1760</v>
      </c>
      <c r="D12" s="400" t="s">
        <v>1761</v>
      </c>
      <c r="E12" s="401" t="s">
        <v>1762</v>
      </c>
      <c r="F12" s="401" t="s">
        <v>1763</v>
      </c>
      <c r="G12" s="400" t="s">
        <v>1761</v>
      </c>
      <c r="H12" s="401" t="s">
        <v>1764</v>
      </c>
      <c r="I12" s="401" t="s">
        <v>1765</v>
      </c>
      <c r="J12" s="401" t="s">
        <v>1739</v>
      </c>
      <c r="K12" s="115" t="str">
        <f t="shared" si="1"/>
        <v>Liberado</v>
      </c>
      <c r="L12" s="113"/>
      <c r="M12" s="112"/>
    </row>
    <row r="13" ht="24.0" customHeight="1">
      <c r="A13" s="398" t="s">
        <v>1747</v>
      </c>
      <c r="B13" s="122"/>
      <c r="C13" s="400" t="s">
        <v>1766</v>
      </c>
      <c r="D13" s="400" t="s">
        <v>1767</v>
      </c>
      <c r="E13" s="401" t="s">
        <v>1768</v>
      </c>
      <c r="F13" s="401" t="s">
        <v>1769</v>
      </c>
      <c r="G13" s="400" t="s">
        <v>1767</v>
      </c>
      <c r="H13" s="401" t="s">
        <v>1770</v>
      </c>
      <c r="I13" s="401" t="s">
        <v>1769</v>
      </c>
      <c r="J13" s="401" t="s">
        <v>1739</v>
      </c>
      <c r="K13" s="115" t="str">
        <f t="shared" si="1"/>
        <v>Liberado</v>
      </c>
      <c r="L13" s="113"/>
      <c r="M13" s="112"/>
    </row>
    <row r="14" ht="24.0" customHeight="1">
      <c r="A14" s="398" t="s">
        <v>1734</v>
      </c>
      <c r="B14" s="122"/>
      <c r="C14" s="400" t="s">
        <v>1766</v>
      </c>
      <c r="D14" s="400" t="s">
        <v>1771</v>
      </c>
      <c r="E14" s="401" t="s">
        <v>1772</v>
      </c>
      <c r="F14" s="401" t="s">
        <v>1773</v>
      </c>
      <c r="G14" s="112"/>
      <c r="H14" s="113"/>
      <c r="I14" s="113"/>
      <c r="J14" s="401" t="s">
        <v>1739</v>
      </c>
      <c r="K14" s="115" t="str">
        <f t="shared" si="1"/>
        <v>Liberado</v>
      </c>
      <c r="L14" s="113"/>
      <c r="M14" s="112"/>
    </row>
    <row r="15" ht="24.0" customHeight="1">
      <c r="A15" s="398" t="s">
        <v>1734</v>
      </c>
      <c r="B15" s="122"/>
      <c r="C15" s="400" t="s">
        <v>1774</v>
      </c>
      <c r="D15" s="400" t="s">
        <v>1775</v>
      </c>
      <c r="E15" s="401" t="s">
        <v>1776</v>
      </c>
      <c r="F15" s="401" t="s">
        <v>1777</v>
      </c>
      <c r="G15" s="112"/>
      <c r="H15" s="113"/>
      <c r="I15" s="113"/>
      <c r="J15" s="401" t="s">
        <v>1739</v>
      </c>
      <c r="K15" s="115" t="str">
        <f t="shared" si="1"/>
        <v>Liberado</v>
      </c>
      <c r="L15" s="113"/>
      <c r="M15" s="112"/>
    </row>
    <row r="16" ht="24.0" customHeight="1">
      <c r="A16" s="398" t="s">
        <v>1747</v>
      </c>
      <c r="B16" s="122"/>
      <c r="C16" s="400" t="s">
        <v>1766</v>
      </c>
      <c r="D16" s="400" t="s">
        <v>1778</v>
      </c>
      <c r="E16" s="401" t="s">
        <v>1779</v>
      </c>
      <c r="F16" s="401" t="s">
        <v>1780</v>
      </c>
      <c r="G16" s="112"/>
      <c r="H16" s="113"/>
      <c r="I16" s="113"/>
      <c r="J16" s="401" t="s">
        <v>1739</v>
      </c>
      <c r="K16" s="115" t="str">
        <f t="shared" si="1"/>
        <v>Liberado</v>
      </c>
      <c r="L16" s="113"/>
      <c r="M16" s="112"/>
    </row>
    <row r="17" ht="24.0" customHeight="1">
      <c r="A17" s="398" t="s">
        <v>1734</v>
      </c>
      <c r="B17" s="122"/>
      <c r="C17" s="400" t="s">
        <v>1743</v>
      </c>
      <c r="D17" s="400" t="s">
        <v>1781</v>
      </c>
      <c r="E17" s="401" t="s">
        <v>1782</v>
      </c>
      <c r="F17" s="401" t="s">
        <v>1783</v>
      </c>
      <c r="G17" s="112"/>
      <c r="H17" s="113"/>
      <c r="I17" s="113"/>
      <c r="J17" s="401" t="s">
        <v>1739</v>
      </c>
      <c r="K17" s="115" t="str">
        <f t="shared" si="1"/>
        <v>Liberado</v>
      </c>
      <c r="L17" s="113"/>
      <c r="M17" s="112"/>
    </row>
    <row r="18" ht="24.0" customHeight="1">
      <c r="A18" s="398" t="s">
        <v>1784</v>
      </c>
      <c r="B18" s="122"/>
      <c r="C18" s="400" t="s">
        <v>1785</v>
      </c>
      <c r="D18" s="400" t="s">
        <v>1786</v>
      </c>
      <c r="E18" s="401" t="s">
        <v>1787</v>
      </c>
      <c r="F18" s="401" t="s">
        <v>1788</v>
      </c>
      <c r="G18" s="112"/>
      <c r="H18" s="113"/>
      <c r="I18" s="113"/>
      <c r="J18" s="401" t="s">
        <v>1739</v>
      </c>
      <c r="K18" s="115" t="str">
        <f t="shared" si="1"/>
        <v>Liberado</v>
      </c>
      <c r="L18" s="113"/>
      <c r="M18" s="112"/>
    </row>
    <row r="19" ht="24.0" customHeight="1">
      <c r="A19" s="398" t="s">
        <v>1747</v>
      </c>
      <c r="B19" s="122"/>
      <c r="C19" s="112"/>
      <c r="D19" s="113"/>
      <c r="E19" s="113"/>
      <c r="F19" s="113"/>
      <c r="G19" s="112"/>
      <c r="H19" s="113"/>
      <c r="I19" s="113"/>
      <c r="J19" s="113"/>
      <c r="K19" s="115" t="str">
        <f t="shared" si="1"/>
        <v/>
      </c>
      <c r="L19" s="113"/>
      <c r="M19" s="112"/>
    </row>
    <row r="20" ht="24.0" customHeight="1">
      <c r="A20" s="402"/>
      <c r="B20" s="122"/>
      <c r="C20" s="112"/>
      <c r="D20" s="113"/>
      <c r="E20" s="113"/>
      <c r="F20" s="113"/>
      <c r="G20" s="112"/>
      <c r="H20" s="113"/>
      <c r="I20" s="113"/>
      <c r="J20" s="113"/>
      <c r="K20" s="115" t="str">
        <f t="shared" si="1"/>
        <v/>
      </c>
      <c r="L20" s="113"/>
      <c r="M20" s="112"/>
    </row>
    <row r="21" ht="24.0" customHeight="1">
      <c r="A21" s="402"/>
      <c r="B21" s="122"/>
      <c r="C21" s="112"/>
      <c r="D21" s="113"/>
      <c r="E21" s="113"/>
      <c r="F21" s="113"/>
      <c r="G21" s="112"/>
      <c r="H21" s="113"/>
      <c r="I21" s="113"/>
      <c r="J21" s="113"/>
      <c r="K21" s="115" t="str">
        <f t="shared" si="1"/>
        <v/>
      </c>
      <c r="L21" s="113"/>
      <c r="M21" s="112"/>
    </row>
    <row r="22" ht="24.0" customHeight="1">
      <c r="A22" s="402"/>
      <c r="B22" s="122"/>
      <c r="C22" s="112"/>
      <c r="D22" s="113"/>
      <c r="E22" s="113"/>
      <c r="F22" s="113"/>
      <c r="G22" s="112"/>
      <c r="H22" s="113"/>
      <c r="I22" s="113"/>
      <c r="J22" s="113"/>
      <c r="K22" s="115" t="str">
        <f t="shared" si="1"/>
        <v/>
      </c>
      <c r="L22" s="113"/>
      <c r="M22" s="112"/>
    </row>
    <row r="23" ht="24.0" customHeight="1">
      <c r="A23" s="402"/>
      <c r="B23" s="122"/>
      <c r="C23" s="112"/>
      <c r="D23" s="113"/>
      <c r="E23" s="113"/>
      <c r="F23" s="113"/>
      <c r="G23" s="112"/>
      <c r="H23" s="113"/>
      <c r="I23" s="113"/>
      <c r="J23" s="113"/>
      <c r="K23" s="115" t="str">
        <f t="shared" si="1"/>
        <v/>
      </c>
      <c r="L23" s="113"/>
      <c r="M23" s="112"/>
    </row>
    <row r="24" ht="24.0" customHeight="1">
      <c r="A24" s="402"/>
      <c r="B24" s="122"/>
      <c r="C24" s="112"/>
      <c r="D24" s="113"/>
      <c r="E24" s="113"/>
      <c r="F24" s="113"/>
      <c r="G24" s="112"/>
      <c r="H24" s="113"/>
      <c r="I24" s="113"/>
      <c r="J24" s="113"/>
      <c r="K24" s="115" t="str">
        <f t="shared" si="1"/>
        <v/>
      </c>
      <c r="L24" s="113"/>
      <c r="M24" s="112"/>
    </row>
    <row r="25" ht="24.0" customHeight="1">
      <c r="A25" s="402"/>
      <c r="B25" s="122"/>
      <c r="C25" s="112"/>
      <c r="D25" s="113"/>
      <c r="E25" s="113"/>
      <c r="F25" s="113"/>
      <c r="G25" s="112"/>
      <c r="H25" s="113"/>
      <c r="I25" s="113"/>
      <c r="J25" s="113"/>
      <c r="K25" s="115" t="str">
        <f t="shared" si="1"/>
        <v/>
      </c>
      <c r="L25" s="113"/>
      <c r="M25" s="112"/>
    </row>
    <row r="26" ht="24.0" customHeight="1">
      <c r="A26" s="402"/>
      <c r="B26" s="122"/>
      <c r="C26" s="112"/>
      <c r="D26" s="113"/>
      <c r="E26" s="113"/>
      <c r="F26" s="113"/>
      <c r="G26" s="112"/>
      <c r="H26" s="113"/>
      <c r="I26" s="113"/>
      <c r="J26" s="113"/>
      <c r="K26" s="115" t="str">
        <f t="shared" si="1"/>
        <v/>
      </c>
      <c r="L26" s="113"/>
      <c r="M26" s="112"/>
    </row>
    <row r="27" ht="24.0" customHeight="1">
      <c r="A27" s="402"/>
      <c r="B27" s="122"/>
      <c r="C27" s="112"/>
      <c r="D27" s="113"/>
      <c r="E27" s="113"/>
      <c r="F27" s="113"/>
      <c r="G27" s="112"/>
      <c r="H27" s="113"/>
      <c r="I27" s="113"/>
      <c r="J27" s="113"/>
      <c r="K27" s="115" t="str">
        <f t="shared" si="1"/>
        <v/>
      </c>
      <c r="L27" s="113"/>
      <c r="M27" s="112"/>
    </row>
    <row r="28" ht="24.0" customHeight="1">
      <c r="A28" s="402"/>
      <c r="B28" s="122"/>
      <c r="C28" s="112"/>
      <c r="D28" s="113"/>
      <c r="E28" s="113"/>
      <c r="F28" s="113"/>
      <c r="G28" s="112"/>
      <c r="H28" s="113"/>
      <c r="I28" s="113"/>
      <c r="J28" s="113"/>
      <c r="K28" s="115" t="str">
        <f t="shared" si="1"/>
        <v/>
      </c>
      <c r="L28" s="113"/>
      <c r="M28" s="112"/>
    </row>
    <row r="29" ht="24.0" customHeight="1">
      <c r="A29" s="402"/>
      <c r="B29" s="122"/>
      <c r="C29" s="112"/>
      <c r="D29" s="113"/>
      <c r="E29" s="113"/>
      <c r="F29" s="113"/>
      <c r="G29" s="112"/>
      <c r="H29" s="113"/>
      <c r="I29" s="113"/>
      <c r="J29" s="113"/>
      <c r="K29" s="115" t="str">
        <f t="shared" si="1"/>
        <v/>
      </c>
      <c r="L29" s="113"/>
      <c r="M29" s="112"/>
    </row>
    <row r="30" ht="24.0" customHeight="1">
      <c r="A30" s="402"/>
      <c r="B30" s="122"/>
      <c r="C30" s="112"/>
      <c r="D30" s="113"/>
      <c r="E30" s="113"/>
      <c r="F30" s="113"/>
      <c r="G30" s="112"/>
      <c r="H30" s="113"/>
      <c r="I30" s="113"/>
      <c r="J30" s="113"/>
      <c r="K30" s="115" t="str">
        <f t="shared" si="1"/>
        <v/>
      </c>
      <c r="L30" s="113"/>
      <c r="M30" s="112"/>
    </row>
    <row r="31" ht="24.0" customHeight="1">
      <c r="A31" s="402"/>
      <c r="B31" s="122"/>
      <c r="C31" s="112"/>
      <c r="D31" s="113"/>
      <c r="E31" s="113"/>
      <c r="F31" s="113"/>
      <c r="G31" s="112"/>
      <c r="H31" s="113"/>
      <c r="I31" s="113"/>
      <c r="J31" s="113"/>
      <c r="K31" s="115" t="str">
        <f t="shared" si="1"/>
        <v/>
      </c>
      <c r="L31" s="113"/>
      <c r="M31" s="112"/>
    </row>
    <row r="32" ht="24.0" customHeight="1">
      <c r="A32" s="402"/>
      <c r="B32" s="122"/>
      <c r="C32" s="112"/>
      <c r="D32" s="113"/>
      <c r="E32" s="113"/>
      <c r="F32" s="113"/>
      <c r="G32" s="112"/>
      <c r="H32" s="113"/>
      <c r="I32" s="113"/>
      <c r="J32" s="113"/>
      <c r="K32" s="115" t="str">
        <f t="shared" si="1"/>
        <v/>
      </c>
      <c r="L32" s="113"/>
      <c r="M32" s="112"/>
    </row>
    <row r="33" ht="24.0" customHeight="1">
      <c r="A33" s="402"/>
      <c r="B33" s="122"/>
      <c r="C33" s="112"/>
      <c r="D33" s="113"/>
      <c r="E33" s="113"/>
      <c r="F33" s="113"/>
      <c r="G33" s="112"/>
      <c r="H33" s="113"/>
      <c r="I33" s="113"/>
      <c r="J33" s="113"/>
      <c r="K33" s="115" t="str">
        <f t="shared" si="1"/>
        <v/>
      </c>
      <c r="L33" s="113"/>
      <c r="M33" s="112"/>
    </row>
    <row r="34" ht="24.0" customHeight="1">
      <c r="A34" s="402"/>
      <c r="B34" s="122"/>
      <c r="C34" s="112"/>
      <c r="D34" s="113"/>
      <c r="E34" s="113"/>
      <c r="F34" s="113"/>
      <c r="G34" s="112"/>
      <c r="H34" s="113"/>
      <c r="I34" s="113"/>
      <c r="J34" s="113"/>
      <c r="K34" s="115" t="str">
        <f t="shared" si="1"/>
        <v/>
      </c>
      <c r="L34" s="113"/>
      <c r="M34" s="112"/>
    </row>
    <row r="35" ht="24.0" customHeight="1">
      <c r="A35" s="402"/>
      <c r="B35" s="122"/>
      <c r="C35" s="112"/>
      <c r="D35" s="113"/>
      <c r="E35" s="113"/>
      <c r="F35" s="113"/>
      <c r="G35" s="112"/>
      <c r="H35" s="113"/>
      <c r="I35" s="113"/>
      <c r="J35" s="113"/>
      <c r="K35" s="115" t="str">
        <f t="shared" si="1"/>
        <v/>
      </c>
      <c r="L35" s="113"/>
      <c r="M35" s="112"/>
    </row>
    <row r="36" ht="24.0" customHeight="1">
      <c r="A36" s="402"/>
      <c r="B36" s="122"/>
      <c r="C36" s="112"/>
      <c r="D36" s="113"/>
      <c r="E36" s="113"/>
      <c r="F36" s="113"/>
      <c r="G36" s="112"/>
      <c r="H36" s="113"/>
      <c r="I36" s="113"/>
      <c r="J36" s="113"/>
      <c r="K36" s="115" t="str">
        <f t="shared" si="1"/>
        <v/>
      </c>
      <c r="L36" s="113"/>
      <c r="M36" s="112"/>
    </row>
    <row r="37" ht="24.0" customHeight="1">
      <c r="A37" s="402"/>
      <c r="B37" s="122"/>
      <c r="C37" s="112"/>
      <c r="D37" s="113"/>
      <c r="E37" s="113"/>
      <c r="F37" s="113"/>
      <c r="G37" s="112"/>
      <c r="H37" s="113"/>
      <c r="I37" s="113"/>
      <c r="J37" s="113"/>
      <c r="K37" s="115" t="str">
        <f t="shared" si="1"/>
        <v/>
      </c>
      <c r="L37" s="113"/>
      <c r="M37" s="112"/>
    </row>
    <row r="38" ht="24.0" customHeight="1">
      <c r="A38" s="402"/>
      <c r="B38" s="122"/>
      <c r="C38" s="112"/>
      <c r="D38" s="113"/>
      <c r="E38" s="113"/>
      <c r="F38" s="113"/>
      <c r="G38" s="112"/>
      <c r="H38" s="113"/>
      <c r="I38" s="113"/>
      <c r="J38" s="113"/>
      <c r="K38" s="115" t="str">
        <f t="shared" si="1"/>
        <v/>
      </c>
      <c r="L38" s="113"/>
      <c r="M38" s="112"/>
    </row>
    <row r="39" ht="24.0" customHeight="1">
      <c r="A39" s="402"/>
      <c r="B39" s="122"/>
      <c r="C39" s="112"/>
      <c r="D39" s="113"/>
      <c r="E39" s="113"/>
      <c r="F39" s="113"/>
      <c r="G39" s="112"/>
      <c r="H39" s="113"/>
      <c r="I39" s="113"/>
      <c r="J39" s="113"/>
      <c r="K39" s="115" t="str">
        <f t="shared" si="1"/>
        <v/>
      </c>
      <c r="L39" s="113"/>
      <c r="M39" s="112"/>
    </row>
    <row r="40" ht="24.0" customHeight="1">
      <c r="A40" s="402"/>
      <c r="B40" s="122"/>
      <c r="C40" s="112"/>
      <c r="D40" s="113"/>
      <c r="E40" s="113"/>
      <c r="F40" s="113"/>
      <c r="G40" s="112"/>
      <c r="H40" s="113"/>
      <c r="I40" s="113"/>
      <c r="J40" s="113"/>
      <c r="K40" s="115" t="str">
        <f t="shared" si="1"/>
        <v/>
      </c>
      <c r="L40" s="113"/>
      <c r="M40" s="112"/>
    </row>
    <row r="41" ht="24.0" customHeight="1">
      <c r="A41" s="402"/>
      <c r="B41" s="122"/>
      <c r="C41" s="112"/>
      <c r="D41" s="113"/>
      <c r="E41" s="113"/>
      <c r="F41" s="113"/>
      <c r="G41" s="112"/>
      <c r="H41" s="113"/>
      <c r="I41" s="113"/>
      <c r="J41" s="113"/>
      <c r="K41" s="115" t="str">
        <f t="shared" si="1"/>
        <v/>
      </c>
      <c r="L41" s="113"/>
      <c r="M41" s="112"/>
    </row>
    <row r="42" ht="24.0" customHeight="1">
      <c r="A42" s="402"/>
      <c r="B42" s="122"/>
      <c r="C42" s="112"/>
      <c r="D42" s="113"/>
      <c r="E42" s="113"/>
      <c r="F42" s="113"/>
      <c r="G42" s="112"/>
      <c r="H42" s="113"/>
      <c r="I42" s="113"/>
      <c r="J42" s="113"/>
      <c r="K42" s="115" t="str">
        <f t="shared" si="1"/>
        <v/>
      </c>
      <c r="L42" s="113"/>
      <c r="M42" s="112"/>
    </row>
    <row r="43" ht="24.0" customHeight="1">
      <c r="A43" s="402"/>
      <c r="B43" s="122"/>
      <c r="C43" s="112"/>
      <c r="D43" s="113"/>
      <c r="E43" s="113"/>
      <c r="F43" s="113"/>
      <c r="G43" s="112"/>
      <c r="H43" s="113"/>
      <c r="I43" s="113"/>
      <c r="J43" s="113"/>
      <c r="K43" s="115" t="str">
        <f t="shared" si="1"/>
        <v/>
      </c>
      <c r="L43" s="113"/>
      <c r="M43" s="112"/>
    </row>
    <row r="44" ht="24.0" customHeight="1">
      <c r="A44" s="402"/>
      <c r="B44" s="122"/>
      <c r="C44" s="112"/>
      <c r="D44" s="113"/>
      <c r="E44" s="113"/>
      <c r="F44" s="113"/>
      <c r="G44" s="112"/>
      <c r="H44" s="113"/>
      <c r="I44" s="113"/>
      <c r="J44" s="113"/>
      <c r="K44" s="115" t="str">
        <f t="shared" si="1"/>
        <v/>
      </c>
      <c r="L44" s="113"/>
      <c r="M44" s="112"/>
    </row>
    <row r="45" ht="24.0" customHeight="1">
      <c r="A45" s="402"/>
      <c r="B45" s="122"/>
      <c r="C45" s="112"/>
      <c r="D45" s="113"/>
      <c r="E45" s="113"/>
      <c r="F45" s="113"/>
      <c r="G45" s="112"/>
      <c r="H45" s="113"/>
      <c r="I45" s="113"/>
      <c r="J45" s="113"/>
      <c r="K45" s="115" t="str">
        <f t="shared" si="1"/>
        <v/>
      </c>
      <c r="L45" s="113"/>
      <c r="M45" s="112"/>
    </row>
    <row r="46" ht="24.0" customHeight="1">
      <c r="A46" s="402"/>
      <c r="B46" s="122"/>
      <c r="C46" s="112"/>
      <c r="D46" s="113"/>
      <c r="E46" s="113"/>
      <c r="F46" s="113"/>
      <c r="G46" s="112"/>
      <c r="H46" s="113"/>
      <c r="I46" s="113"/>
      <c r="J46" s="113"/>
      <c r="K46" s="115" t="str">
        <f t="shared" si="1"/>
        <v/>
      </c>
      <c r="L46" s="113"/>
      <c r="M46" s="112"/>
    </row>
    <row r="47" ht="24.0" customHeight="1">
      <c r="A47" s="402"/>
      <c r="B47" s="122"/>
      <c r="C47" s="112"/>
      <c r="D47" s="113"/>
      <c r="E47" s="113"/>
      <c r="F47" s="113"/>
      <c r="G47" s="112"/>
      <c r="H47" s="113"/>
      <c r="I47" s="113"/>
      <c r="J47" s="113"/>
      <c r="K47" s="115" t="str">
        <f t="shared" si="1"/>
        <v/>
      </c>
      <c r="L47" s="113"/>
      <c r="M47" s="112"/>
    </row>
    <row r="48" ht="24.0" customHeight="1">
      <c r="A48" s="402"/>
      <c r="B48" s="122"/>
      <c r="C48" s="112"/>
      <c r="D48" s="113"/>
      <c r="E48" s="113"/>
      <c r="F48" s="113"/>
      <c r="G48" s="112"/>
      <c r="H48" s="113"/>
      <c r="I48" s="113"/>
      <c r="J48" s="113"/>
      <c r="K48" s="115" t="str">
        <f t="shared" si="1"/>
        <v/>
      </c>
      <c r="L48" s="113"/>
      <c r="M48" s="112"/>
    </row>
    <row r="49" ht="24.0" customHeight="1">
      <c r="A49" s="402"/>
      <c r="B49" s="122"/>
      <c r="C49" s="112"/>
      <c r="D49" s="113"/>
      <c r="E49" s="113"/>
      <c r="F49" s="113"/>
      <c r="G49" s="112"/>
      <c r="H49" s="113"/>
      <c r="I49" s="113"/>
      <c r="J49" s="113"/>
      <c r="K49" s="115" t="str">
        <f t="shared" si="1"/>
        <v/>
      </c>
      <c r="L49" s="113"/>
      <c r="M49" s="112"/>
    </row>
    <row r="50" ht="24.0" customHeight="1">
      <c r="A50" s="402"/>
      <c r="B50" s="122"/>
      <c r="C50" s="112"/>
      <c r="D50" s="113"/>
      <c r="E50" s="113"/>
      <c r="F50" s="113"/>
      <c r="G50" s="112"/>
      <c r="H50" s="113"/>
      <c r="I50" s="113"/>
      <c r="J50" s="113"/>
      <c r="K50" s="115" t="str">
        <f t="shared" si="1"/>
        <v/>
      </c>
      <c r="L50" s="113"/>
      <c r="M50" s="112"/>
    </row>
    <row r="51" ht="24.0" customHeight="1">
      <c r="A51" s="402"/>
      <c r="B51" s="122"/>
      <c r="C51" s="112"/>
      <c r="D51" s="113"/>
      <c r="E51" s="113"/>
      <c r="F51" s="113"/>
      <c r="G51" s="112"/>
      <c r="H51" s="113"/>
      <c r="I51" s="113"/>
      <c r="J51" s="113"/>
      <c r="K51" s="115" t="str">
        <f t="shared" si="1"/>
        <v/>
      </c>
      <c r="L51" s="113"/>
      <c r="M51" s="112"/>
    </row>
    <row r="52" ht="24.0" customHeight="1">
      <c r="A52" s="402"/>
      <c r="B52" s="122"/>
      <c r="C52" s="112"/>
      <c r="D52" s="113"/>
      <c r="E52" s="113"/>
      <c r="F52" s="113"/>
      <c r="G52" s="112"/>
      <c r="H52" s="113"/>
      <c r="I52" s="113"/>
      <c r="J52" s="113"/>
      <c r="K52" s="115" t="str">
        <f t="shared" si="1"/>
        <v/>
      </c>
      <c r="L52" s="113"/>
      <c r="M52" s="112"/>
    </row>
    <row r="53" ht="24.0" customHeight="1">
      <c r="A53" s="402"/>
      <c r="B53" s="122"/>
      <c r="C53" s="112"/>
      <c r="D53" s="113"/>
      <c r="E53" s="113"/>
      <c r="F53" s="113"/>
      <c r="G53" s="112"/>
      <c r="H53" s="113"/>
      <c r="I53" s="113"/>
      <c r="J53" s="113"/>
      <c r="K53" s="115" t="str">
        <f t="shared" si="1"/>
        <v/>
      </c>
      <c r="L53" s="113"/>
      <c r="M53" s="112"/>
    </row>
    <row r="54" ht="24.0" customHeight="1">
      <c r="A54" s="402"/>
      <c r="B54" s="122"/>
      <c r="C54" s="112"/>
      <c r="D54" s="113"/>
      <c r="E54" s="113"/>
      <c r="F54" s="113"/>
      <c r="G54" s="112"/>
      <c r="H54" s="113"/>
      <c r="I54" s="113"/>
      <c r="J54" s="113"/>
      <c r="K54" s="115" t="str">
        <f t="shared" si="1"/>
        <v/>
      </c>
      <c r="L54" s="113"/>
      <c r="M54" s="112"/>
    </row>
    <row r="55" ht="24.0" customHeight="1">
      <c r="A55" s="402"/>
      <c r="B55" s="122"/>
      <c r="C55" s="112"/>
      <c r="D55" s="113"/>
      <c r="E55" s="113"/>
      <c r="F55" s="113"/>
      <c r="G55" s="112"/>
      <c r="H55" s="113"/>
      <c r="I55" s="113"/>
      <c r="J55" s="113"/>
      <c r="K55" s="115" t="str">
        <f t="shared" si="1"/>
        <v/>
      </c>
      <c r="L55" s="113"/>
      <c r="M55" s="112"/>
    </row>
    <row r="56" ht="24.0" customHeight="1">
      <c r="A56" s="402"/>
      <c r="B56" s="122"/>
      <c r="C56" s="112"/>
      <c r="D56" s="113"/>
      <c r="E56" s="113"/>
      <c r="F56" s="113"/>
      <c r="G56" s="112"/>
      <c r="H56" s="113"/>
      <c r="I56" s="113"/>
      <c r="J56" s="113"/>
      <c r="K56" s="115" t="str">
        <f t="shared" si="1"/>
        <v/>
      </c>
      <c r="L56" s="113"/>
      <c r="M56" s="112"/>
    </row>
    <row r="57" ht="24.0" customHeight="1">
      <c r="A57" s="402"/>
      <c r="B57" s="122"/>
      <c r="C57" s="112"/>
      <c r="D57" s="113"/>
      <c r="E57" s="113"/>
      <c r="F57" s="113"/>
      <c r="G57" s="112"/>
      <c r="H57" s="113"/>
      <c r="I57" s="113"/>
      <c r="J57" s="113"/>
      <c r="K57" s="115" t="str">
        <f t="shared" si="1"/>
        <v/>
      </c>
      <c r="L57" s="113"/>
      <c r="M57" s="112"/>
    </row>
    <row r="58" ht="24.0" customHeight="1">
      <c r="A58" s="402"/>
      <c r="B58" s="122"/>
      <c r="C58" s="112"/>
      <c r="D58" s="113"/>
      <c r="E58" s="113"/>
      <c r="F58" s="113"/>
      <c r="G58" s="112"/>
      <c r="H58" s="113"/>
      <c r="I58" s="113"/>
      <c r="J58" s="113"/>
      <c r="K58" s="115" t="str">
        <f t="shared" si="1"/>
        <v/>
      </c>
      <c r="L58" s="113"/>
      <c r="M58" s="112"/>
    </row>
    <row r="59" ht="24.0" customHeight="1">
      <c r="A59" s="402"/>
      <c r="B59" s="122"/>
      <c r="C59" s="112"/>
      <c r="D59" s="113"/>
      <c r="E59" s="113"/>
      <c r="F59" s="113"/>
      <c r="G59" s="112"/>
      <c r="H59" s="113"/>
      <c r="I59" s="113"/>
      <c r="J59" s="113"/>
      <c r="K59" s="115" t="str">
        <f t="shared" si="1"/>
        <v/>
      </c>
      <c r="L59" s="113"/>
      <c r="M59" s="112"/>
    </row>
    <row r="60" ht="24.0" customHeight="1">
      <c r="A60" s="402"/>
      <c r="B60" s="122"/>
      <c r="C60" s="112"/>
      <c r="D60" s="113"/>
      <c r="E60" s="113"/>
      <c r="F60" s="113"/>
      <c r="G60" s="112"/>
      <c r="H60" s="113"/>
      <c r="I60" s="113"/>
      <c r="J60" s="113"/>
      <c r="K60" s="115" t="str">
        <f t="shared" si="1"/>
        <v/>
      </c>
      <c r="L60" s="113"/>
      <c r="M60" s="112"/>
    </row>
    <row r="61" ht="24.0" customHeight="1">
      <c r="A61" s="402"/>
      <c r="B61" s="122"/>
      <c r="C61" s="112"/>
      <c r="D61" s="113"/>
      <c r="E61" s="113"/>
      <c r="F61" s="113"/>
      <c r="G61" s="112"/>
      <c r="H61" s="113"/>
      <c r="I61" s="113"/>
      <c r="J61" s="113"/>
      <c r="K61" s="115" t="str">
        <f t="shared" si="1"/>
        <v/>
      </c>
      <c r="L61" s="113"/>
      <c r="M61" s="112"/>
    </row>
    <row r="62" ht="24.0" customHeight="1">
      <c r="A62" s="402"/>
      <c r="B62" s="122"/>
      <c r="C62" s="112"/>
      <c r="D62" s="113"/>
      <c r="E62" s="113"/>
      <c r="F62" s="113"/>
      <c r="G62" s="112"/>
      <c r="H62" s="113"/>
      <c r="I62" s="113"/>
      <c r="J62" s="113"/>
      <c r="K62" s="115" t="str">
        <f t="shared" si="1"/>
        <v/>
      </c>
      <c r="L62" s="113"/>
      <c r="M62" s="112"/>
    </row>
    <row r="63" ht="24.0" customHeight="1">
      <c r="A63" s="402"/>
      <c r="B63" s="122"/>
      <c r="C63" s="112"/>
      <c r="D63" s="113"/>
      <c r="E63" s="113"/>
      <c r="F63" s="113"/>
      <c r="G63" s="112"/>
      <c r="H63" s="113"/>
      <c r="I63" s="113"/>
      <c r="J63" s="113"/>
      <c r="K63" s="115" t="str">
        <f t="shared" si="1"/>
        <v/>
      </c>
      <c r="L63" s="113"/>
      <c r="M63" s="112"/>
    </row>
    <row r="64" ht="24.0" customHeight="1">
      <c r="A64" s="402"/>
      <c r="B64" s="122"/>
      <c r="C64" s="112"/>
      <c r="D64" s="113"/>
      <c r="E64" s="113"/>
      <c r="F64" s="113"/>
      <c r="G64" s="112"/>
      <c r="H64" s="113"/>
      <c r="I64" s="113"/>
      <c r="J64" s="113"/>
      <c r="K64" s="115" t="str">
        <f t="shared" si="1"/>
        <v/>
      </c>
      <c r="L64" s="113"/>
      <c r="M64" s="112"/>
    </row>
    <row r="65" ht="24.0" customHeight="1">
      <c r="A65" s="402"/>
      <c r="B65" s="122"/>
      <c r="C65" s="112"/>
      <c r="D65" s="113"/>
      <c r="E65" s="113"/>
      <c r="F65" s="113"/>
      <c r="G65" s="112"/>
      <c r="H65" s="113"/>
      <c r="I65" s="113"/>
      <c r="J65" s="113"/>
      <c r="K65" s="115" t="str">
        <f t="shared" si="1"/>
        <v/>
      </c>
      <c r="L65" s="113"/>
      <c r="M65" s="112"/>
    </row>
    <row r="66" ht="24.0" customHeight="1">
      <c r="A66" s="402"/>
      <c r="B66" s="122"/>
      <c r="C66" s="112"/>
      <c r="D66" s="113"/>
      <c r="E66" s="113"/>
      <c r="F66" s="113"/>
      <c r="G66" s="112"/>
      <c r="H66" s="113"/>
      <c r="I66" s="113"/>
      <c r="J66" s="113"/>
      <c r="K66" s="115" t="str">
        <f t="shared" si="1"/>
        <v/>
      </c>
      <c r="L66" s="113"/>
      <c r="M66" s="112"/>
    </row>
    <row r="67" ht="24.0" customHeight="1">
      <c r="A67" s="402"/>
      <c r="B67" s="122"/>
      <c r="C67" s="112"/>
      <c r="D67" s="113"/>
      <c r="E67" s="113"/>
      <c r="F67" s="113"/>
      <c r="G67" s="112"/>
      <c r="H67" s="113"/>
      <c r="I67" s="113"/>
      <c r="J67" s="113"/>
      <c r="K67" s="115" t="str">
        <f t="shared" si="1"/>
        <v/>
      </c>
      <c r="L67" s="113"/>
      <c r="M67" s="112"/>
    </row>
    <row r="68" ht="24.0" customHeight="1">
      <c r="A68" s="402"/>
      <c r="B68" s="122"/>
      <c r="C68" s="112"/>
      <c r="D68" s="113"/>
      <c r="E68" s="113"/>
      <c r="F68" s="113"/>
      <c r="G68" s="112"/>
      <c r="H68" s="113"/>
      <c r="I68" s="113"/>
      <c r="J68" s="113"/>
      <c r="K68" s="115" t="str">
        <f t="shared" si="1"/>
        <v/>
      </c>
      <c r="L68" s="113"/>
      <c r="M68" s="112"/>
    </row>
    <row r="69" ht="24.0" customHeight="1">
      <c r="A69" s="402"/>
      <c r="B69" s="122"/>
      <c r="C69" s="112"/>
      <c r="D69" s="113"/>
      <c r="E69" s="113"/>
      <c r="F69" s="113"/>
      <c r="G69" s="112"/>
      <c r="H69" s="113"/>
      <c r="I69" s="113"/>
      <c r="J69" s="113"/>
      <c r="K69" s="115" t="str">
        <f t="shared" si="1"/>
        <v/>
      </c>
      <c r="L69" s="113"/>
      <c r="M69" s="112"/>
    </row>
    <row r="70" ht="24.0" customHeight="1">
      <c r="A70" s="402"/>
      <c r="B70" s="122"/>
      <c r="C70" s="112"/>
      <c r="D70" s="113"/>
      <c r="E70" s="113"/>
      <c r="F70" s="113"/>
      <c r="G70" s="112"/>
      <c r="H70" s="113"/>
      <c r="I70" s="113"/>
      <c r="J70" s="113"/>
      <c r="K70" s="115" t="str">
        <f t="shared" si="1"/>
        <v/>
      </c>
      <c r="L70" s="113"/>
      <c r="M70" s="112"/>
    </row>
    <row r="71" ht="24.0" customHeight="1">
      <c r="A71" s="402"/>
      <c r="B71" s="122"/>
      <c r="C71" s="112"/>
      <c r="D71" s="113"/>
      <c r="E71" s="113"/>
      <c r="F71" s="113"/>
      <c r="G71" s="112"/>
      <c r="H71" s="113"/>
      <c r="I71" s="113"/>
      <c r="J71" s="113"/>
      <c r="K71" s="115" t="str">
        <f t="shared" si="1"/>
        <v/>
      </c>
      <c r="L71" s="113"/>
      <c r="M71" s="112"/>
    </row>
    <row r="72" ht="24.0" customHeight="1">
      <c r="A72" s="402"/>
      <c r="B72" s="122"/>
      <c r="C72" s="112"/>
      <c r="D72" s="113"/>
      <c r="E72" s="113"/>
      <c r="F72" s="113"/>
      <c r="G72" s="112"/>
      <c r="H72" s="113"/>
      <c r="I72" s="113"/>
      <c r="J72" s="113"/>
      <c r="K72" s="115" t="str">
        <f t="shared" si="1"/>
        <v/>
      </c>
      <c r="L72" s="113"/>
      <c r="M72" s="112"/>
    </row>
    <row r="73" ht="24.0" customHeight="1">
      <c r="A73" s="402"/>
      <c r="B73" s="122"/>
      <c r="C73" s="112"/>
      <c r="D73" s="113"/>
      <c r="E73" s="113"/>
      <c r="F73" s="113"/>
      <c r="G73" s="112"/>
      <c r="H73" s="113"/>
      <c r="I73" s="113"/>
      <c r="J73" s="113"/>
      <c r="K73" s="115" t="str">
        <f t="shared" si="1"/>
        <v/>
      </c>
      <c r="L73" s="113"/>
      <c r="M73" s="112"/>
    </row>
    <row r="74" ht="24.0" customHeight="1">
      <c r="A74" s="402"/>
      <c r="B74" s="122"/>
      <c r="C74" s="112"/>
      <c r="D74" s="113"/>
      <c r="E74" s="113"/>
      <c r="F74" s="113"/>
      <c r="G74" s="112"/>
      <c r="H74" s="113"/>
      <c r="I74" s="113"/>
      <c r="J74" s="113"/>
      <c r="K74" s="115" t="str">
        <f t="shared" si="1"/>
        <v/>
      </c>
      <c r="L74" s="113"/>
      <c r="M74" s="112"/>
    </row>
    <row r="75" ht="24.0" customHeight="1">
      <c r="A75" s="402"/>
      <c r="B75" s="122"/>
      <c r="C75" s="112"/>
      <c r="D75" s="113"/>
      <c r="E75" s="113"/>
      <c r="F75" s="113"/>
      <c r="G75" s="112"/>
      <c r="H75" s="113"/>
      <c r="I75" s="113"/>
      <c r="J75" s="113"/>
      <c r="K75" s="115" t="str">
        <f t="shared" si="1"/>
        <v/>
      </c>
      <c r="L75" s="113"/>
      <c r="M75" s="112"/>
    </row>
    <row r="76" ht="24.0" customHeight="1">
      <c r="A76" s="402"/>
      <c r="B76" s="122"/>
      <c r="C76" s="112"/>
      <c r="D76" s="113"/>
      <c r="E76" s="113"/>
      <c r="F76" s="113"/>
      <c r="G76" s="112"/>
      <c r="H76" s="113"/>
      <c r="I76" s="113"/>
      <c r="J76" s="113"/>
      <c r="K76" s="115" t="str">
        <f t="shared" si="1"/>
        <v/>
      </c>
      <c r="L76" s="113"/>
      <c r="M76" s="112"/>
    </row>
    <row r="77" ht="24.0" customHeight="1">
      <c r="A77" s="402"/>
      <c r="B77" s="122"/>
      <c r="C77" s="112"/>
      <c r="D77" s="113"/>
      <c r="E77" s="113"/>
      <c r="F77" s="113"/>
      <c r="G77" s="112"/>
      <c r="H77" s="113"/>
      <c r="I77" s="113"/>
      <c r="J77" s="113"/>
      <c r="K77" s="115" t="str">
        <f t="shared" si="1"/>
        <v/>
      </c>
      <c r="L77" s="113"/>
      <c r="M77" s="112"/>
    </row>
    <row r="78" ht="24.0" customHeight="1">
      <c r="A78" s="402"/>
      <c r="B78" s="122"/>
      <c r="C78" s="112"/>
      <c r="D78" s="113"/>
      <c r="E78" s="113"/>
      <c r="F78" s="113"/>
      <c r="G78" s="112"/>
      <c r="H78" s="113"/>
      <c r="I78" s="113"/>
      <c r="J78" s="113"/>
      <c r="K78" s="115" t="str">
        <f t="shared" si="1"/>
        <v/>
      </c>
      <c r="L78" s="113"/>
      <c r="M78" s="112"/>
    </row>
    <row r="79" ht="24.0" customHeight="1">
      <c r="A79" s="402"/>
      <c r="B79" s="122"/>
      <c r="C79" s="112"/>
      <c r="D79" s="113"/>
      <c r="E79" s="113"/>
      <c r="F79" s="113"/>
      <c r="G79" s="112"/>
      <c r="H79" s="113"/>
      <c r="I79" s="113"/>
      <c r="J79" s="113"/>
      <c r="K79" s="115" t="str">
        <f t="shared" si="1"/>
        <v/>
      </c>
      <c r="L79" s="113"/>
      <c r="M79" s="112"/>
    </row>
    <row r="80" ht="24.0" customHeight="1">
      <c r="A80" s="402"/>
      <c r="B80" s="122"/>
      <c r="C80" s="112"/>
      <c r="D80" s="113"/>
      <c r="E80" s="113"/>
      <c r="F80" s="113"/>
      <c r="G80" s="112"/>
      <c r="H80" s="113"/>
      <c r="I80" s="113"/>
      <c r="J80" s="113"/>
      <c r="K80" s="115" t="str">
        <f t="shared" si="1"/>
        <v/>
      </c>
      <c r="L80" s="113"/>
      <c r="M80" s="112"/>
    </row>
    <row r="81" ht="24.0" customHeight="1">
      <c r="A81" s="402"/>
      <c r="B81" s="122"/>
      <c r="C81" s="112"/>
      <c r="D81" s="113"/>
      <c r="E81" s="113"/>
      <c r="F81" s="113"/>
      <c r="G81" s="112"/>
      <c r="H81" s="113"/>
      <c r="I81" s="113"/>
      <c r="J81" s="113"/>
      <c r="K81" s="115" t="str">
        <f t="shared" si="1"/>
        <v/>
      </c>
      <c r="L81" s="113"/>
      <c r="M81" s="112"/>
    </row>
    <row r="82" ht="24.0" customHeight="1">
      <c r="A82" s="402"/>
      <c r="B82" s="122"/>
      <c r="C82" s="112"/>
      <c r="D82" s="113"/>
      <c r="E82" s="113"/>
      <c r="F82" s="113"/>
      <c r="G82" s="112"/>
      <c r="H82" s="113"/>
      <c r="I82" s="113"/>
      <c r="J82" s="113"/>
      <c r="K82" s="115" t="str">
        <f t="shared" si="1"/>
        <v/>
      </c>
      <c r="L82" s="113"/>
      <c r="M82" s="112"/>
    </row>
    <row r="83" ht="24.0" customHeight="1">
      <c r="A83" s="402"/>
      <c r="B83" s="122"/>
      <c r="C83" s="112"/>
      <c r="D83" s="113"/>
      <c r="E83" s="113"/>
      <c r="F83" s="113"/>
      <c r="G83" s="112"/>
      <c r="H83" s="113"/>
      <c r="I83" s="113"/>
      <c r="J83" s="113"/>
      <c r="K83" s="115" t="str">
        <f t="shared" si="1"/>
        <v/>
      </c>
      <c r="L83" s="113"/>
      <c r="M83" s="112"/>
    </row>
    <row r="84" ht="24.0" customHeight="1">
      <c r="A84" s="402"/>
      <c r="B84" s="122"/>
      <c r="C84" s="112"/>
      <c r="D84" s="113"/>
      <c r="E84" s="113"/>
      <c r="F84" s="113"/>
      <c r="G84" s="112"/>
      <c r="H84" s="113"/>
      <c r="I84" s="113"/>
      <c r="J84" s="113"/>
      <c r="K84" s="115" t="str">
        <f t="shared" si="1"/>
        <v/>
      </c>
      <c r="L84" s="113"/>
      <c r="M84" s="112"/>
    </row>
    <row r="85" ht="24.0" customHeight="1">
      <c r="A85" s="402"/>
      <c r="B85" s="122"/>
      <c r="C85" s="112"/>
      <c r="D85" s="113"/>
      <c r="E85" s="113"/>
      <c r="F85" s="113"/>
      <c r="G85" s="112"/>
      <c r="H85" s="113"/>
      <c r="I85" s="113"/>
      <c r="J85" s="113"/>
      <c r="K85" s="115" t="str">
        <f t="shared" si="1"/>
        <v/>
      </c>
      <c r="L85" s="113"/>
      <c r="M85" s="112"/>
    </row>
    <row r="86" ht="24.0" customHeight="1">
      <c r="A86" s="402"/>
      <c r="B86" s="122"/>
      <c r="C86" s="112"/>
      <c r="D86" s="113"/>
      <c r="E86" s="113"/>
      <c r="F86" s="113"/>
      <c r="G86" s="112"/>
      <c r="H86" s="113"/>
      <c r="I86" s="113"/>
      <c r="J86" s="113"/>
      <c r="K86" s="115" t="str">
        <f t="shared" si="1"/>
        <v/>
      </c>
      <c r="L86" s="113"/>
      <c r="M86" s="112"/>
    </row>
    <row r="87" ht="24.0" customHeight="1">
      <c r="A87" s="402"/>
      <c r="B87" s="122"/>
      <c r="C87" s="112"/>
      <c r="D87" s="113"/>
      <c r="E87" s="113"/>
      <c r="F87" s="113"/>
      <c r="G87" s="112"/>
      <c r="H87" s="113"/>
      <c r="I87" s="113"/>
      <c r="J87" s="113"/>
      <c r="K87" s="115" t="str">
        <f t="shared" si="1"/>
        <v/>
      </c>
      <c r="L87" s="113"/>
      <c r="M87" s="112"/>
    </row>
    <row r="88" ht="24.0" customHeight="1">
      <c r="A88" s="402"/>
      <c r="B88" s="122"/>
      <c r="C88" s="112"/>
      <c r="D88" s="113"/>
      <c r="E88" s="113"/>
      <c r="F88" s="113"/>
      <c r="G88" s="112"/>
      <c r="H88" s="113"/>
      <c r="I88" s="113"/>
      <c r="J88" s="113"/>
      <c r="K88" s="115" t="str">
        <f t="shared" si="1"/>
        <v/>
      </c>
      <c r="L88" s="113"/>
      <c r="M88" s="112"/>
    </row>
    <row r="89" ht="24.0" customHeight="1">
      <c r="A89" s="402"/>
      <c r="B89" s="122"/>
      <c r="C89" s="112"/>
      <c r="D89" s="113"/>
      <c r="E89" s="113"/>
      <c r="F89" s="113"/>
      <c r="G89" s="112"/>
      <c r="H89" s="113"/>
      <c r="I89" s="113"/>
      <c r="J89" s="113"/>
      <c r="K89" s="115" t="str">
        <f t="shared" si="1"/>
        <v/>
      </c>
      <c r="L89" s="113"/>
      <c r="M89" s="112"/>
    </row>
    <row r="90" ht="24.0" customHeight="1">
      <c r="A90" s="402"/>
      <c r="B90" s="122"/>
      <c r="C90" s="112"/>
      <c r="D90" s="113"/>
      <c r="E90" s="113"/>
      <c r="F90" s="113"/>
      <c r="G90" s="112"/>
      <c r="H90" s="113"/>
      <c r="I90" s="113"/>
      <c r="J90" s="113"/>
      <c r="K90" s="115" t="str">
        <f t="shared" si="1"/>
        <v/>
      </c>
      <c r="L90" s="113"/>
      <c r="M90" s="112"/>
    </row>
    <row r="91" ht="24.0" customHeight="1">
      <c r="A91" s="402"/>
      <c r="B91" s="122"/>
      <c r="C91" s="112"/>
      <c r="D91" s="113"/>
      <c r="E91" s="113"/>
      <c r="F91" s="113"/>
      <c r="G91" s="112"/>
      <c r="H91" s="113"/>
      <c r="I91" s="113"/>
      <c r="J91" s="113"/>
      <c r="K91" s="115" t="str">
        <f t="shared" si="1"/>
        <v/>
      </c>
      <c r="L91" s="113"/>
      <c r="M91" s="112"/>
    </row>
    <row r="92" ht="24.0" customHeight="1">
      <c r="A92" s="402"/>
      <c r="B92" s="122"/>
      <c r="C92" s="112"/>
      <c r="D92" s="113"/>
      <c r="E92" s="113"/>
      <c r="F92" s="113"/>
      <c r="G92" s="112"/>
      <c r="H92" s="113"/>
      <c r="I92" s="113"/>
      <c r="J92" s="113"/>
      <c r="K92" s="115" t="str">
        <f t="shared" si="1"/>
        <v/>
      </c>
      <c r="L92" s="113"/>
      <c r="M92" s="112"/>
    </row>
    <row r="93" ht="24.0" customHeight="1">
      <c r="A93" s="402"/>
      <c r="B93" s="122"/>
      <c r="C93" s="112"/>
      <c r="D93" s="113"/>
      <c r="E93" s="113"/>
      <c r="F93" s="113"/>
      <c r="G93" s="112"/>
      <c r="H93" s="113"/>
      <c r="I93" s="113"/>
      <c r="J93" s="113"/>
      <c r="K93" s="115" t="str">
        <f t="shared" si="1"/>
        <v/>
      </c>
      <c r="L93" s="113"/>
      <c r="M93" s="112"/>
    </row>
    <row r="94" ht="24.0" customHeight="1">
      <c r="A94" s="402"/>
      <c r="B94" s="122"/>
      <c r="C94" s="112"/>
      <c r="D94" s="113"/>
      <c r="E94" s="113"/>
      <c r="F94" s="113"/>
      <c r="G94" s="112"/>
      <c r="H94" s="113"/>
      <c r="I94" s="113"/>
      <c r="J94" s="113"/>
      <c r="K94" s="115" t="str">
        <f t="shared" si="1"/>
        <v/>
      </c>
      <c r="L94" s="113"/>
      <c r="M94" s="112"/>
    </row>
    <row r="95" ht="24.0" customHeight="1">
      <c r="A95" s="402"/>
      <c r="B95" s="122"/>
      <c r="C95" s="112"/>
      <c r="D95" s="113"/>
      <c r="E95" s="113"/>
      <c r="F95" s="113"/>
      <c r="G95" s="112"/>
      <c r="H95" s="113"/>
      <c r="I95" s="113"/>
      <c r="J95" s="113"/>
      <c r="K95" s="115" t="str">
        <f t="shared" si="1"/>
        <v/>
      </c>
      <c r="L95" s="113"/>
      <c r="M95" s="112"/>
    </row>
    <row r="96" ht="24.0" customHeight="1">
      <c r="A96" s="402"/>
      <c r="B96" s="122"/>
      <c r="C96" s="112"/>
      <c r="D96" s="113"/>
      <c r="E96" s="113"/>
      <c r="F96" s="113"/>
      <c r="G96" s="112"/>
      <c r="H96" s="113"/>
      <c r="I96" s="113"/>
      <c r="J96" s="113"/>
      <c r="K96" s="115" t="str">
        <f t="shared" si="1"/>
        <v/>
      </c>
      <c r="L96" s="113"/>
      <c r="M96" s="112"/>
    </row>
    <row r="97" ht="24.0" customHeight="1">
      <c r="A97" s="402"/>
      <c r="B97" s="122"/>
      <c r="C97" s="112"/>
      <c r="D97" s="113"/>
      <c r="E97" s="113"/>
      <c r="F97" s="113"/>
      <c r="G97" s="112"/>
      <c r="H97" s="113"/>
      <c r="I97" s="113"/>
      <c r="J97" s="113"/>
      <c r="K97" s="115" t="str">
        <f t="shared" si="1"/>
        <v/>
      </c>
      <c r="L97" s="113"/>
      <c r="M97" s="112"/>
    </row>
    <row r="98" ht="24.0" customHeight="1">
      <c r="A98" s="402"/>
      <c r="B98" s="122"/>
      <c r="C98" s="112"/>
      <c r="D98" s="113"/>
      <c r="E98" s="113"/>
      <c r="F98" s="113"/>
      <c r="G98" s="112"/>
      <c r="H98" s="113"/>
      <c r="I98" s="113"/>
      <c r="J98" s="113"/>
      <c r="K98" s="115" t="str">
        <f t="shared" si="1"/>
        <v/>
      </c>
      <c r="L98" s="113"/>
      <c r="M98" s="112"/>
    </row>
    <row r="99" ht="24.0" customHeight="1">
      <c r="A99" s="402"/>
      <c r="B99" s="122"/>
      <c r="C99" s="112"/>
      <c r="D99" s="113"/>
      <c r="E99" s="113"/>
      <c r="F99" s="113"/>
      <c r="G99" s="112"/>
      <c r="H99" s="113"/>
      <c r="I99" s="113"/>
      <c r="J99" s="113"/>
      <c r="K99" s="115" t="str">
        <f t="shared" si="1"/>
        <v/>
      </c>
      <c r="L99" s="113"/>
      <c r="M99" s="112"/>
    </row>
    <row r="100" ht="24.0" customHeight="1">
      <c r="A100" s="402"/>
      <c r="B100" s="122"/>
      <c r="C100" s="112"/>
      <c r="D100" s="113"/>
      <c r="E100" s="113"/>
      <c r="F100" s="113"/>
      <c r="G100" s="112"/>
      <c r="H100" s="113"/>
      <c r="I100" s="113"/>
      <c r="J100" s="113"/>
      <c r="K100" s="115" t="str">
        <f t="shared" si="1"/>
        <v/>
      </c>
      <c r="L100" s="113"/>
      <c r="M100" s="112"/>
    </row>
    <row r="101" ht="24.0" customHeight="1">
      <c r="A101" s="402"/>
      <c r="B101" s="122"/>
      <c r="C101" s="112"/>
      <c r="D101" s="113"/>
      <c r="E101" s="113"/>
      <c r="F101" s="113"/>
      <c r="G101" s="112"/>
      <c r="H101" s="113"/>
      <c r="I101" s="113"/>
      <c r="J101" s="113"/>
      <c r="K101" s="115" t="str">
        <f t="shared" si="1"/>
        <v/>
      </c>
      <c r="L101" s="113"/>
      <c r="M101" s="112"/>
    </row>
    <row r="102" ht="24.0" customHeight="1">
      <c r="A102" s="402"/>
      <c r="B102" s="122"/>
      <c r="C102" s="112"/>
      <c r="D102" s="113"/>
      <c r="E102" s="113"/>
      <c r="F102" s="113"/>
      <c r="G102" s="112"/>
      <c r="H102" s="113"/>
      <c r="I102" s="113"/>
      <c r="J102" s="113"/>
      <c r="K102" s="115" t="str">
        <f t="shared" si="1"/>
        <v/>
      </c>
      <c r="L102" s="113"/>
      <c r="M102" s="112"/>
    </row>
    <row r="103" ht="24.0" customHeight="1">
      <c r="A103" s="402"/>
      <c r="B103" s="122"/>
      <c r="C103" s="112"/>
      <c r="D103" s="113"/>
      <c r="E103" s="113"/>
      <c r="F103" s="113"/>
      <c r="G103" s="112"/>
      <c r="H103" s="113"/>
      <c r="I103" s="113"/>
      <c r="J103" s="113"/>
      <c r="K103" s="115" t="str">
        <f t="shared" si="1"/>
        <v/>
      </c>
      <c r="L103" s="113"/>
      <c r="M103" s="112"/>
    </row>
    <row r="104" ht="24.0" customHeight="1">
      <c r="A104" s="402"/>
      <c r="B104" s="122"/>
      <c r="C104" s="112"/>
      <c r="D104" s="113"/>
      <c r="E104" s="113"/>
      <c r="F104" s="113"/>
      <c r="G104" s="112"/>
      <c r="H104" s="113"/>
      <c r="I104" s="113"/>
      <c r="J104" s="113"/>
      <c r="K104" s="115" t="str">
        <f t="shared" si="1"/>
        <v/>
      </c>
      <c r="L104" s="113"/>
      <c r="M104" s="112"/>
    </row>
    <row r="105" ht="24.0" customHeight="1">
      <c r="A105" s="402"/>
      <c r="B105" s="122"/>
      <c r="C105" s="112"/>
      <c r="D105" s="113"/>
      <c r="E105" s="113"/>
      <c r="F105" s="113"/>
      <c r="G105" s="112"/>
      <c r="H105" s="113"/>
      <c r="I105" s="113"/>
      <c r="J105" s="113"/>
      <c r="K105" s="115" t="str">
        <f t="shared" si="1"/>
        <v/>
      </c>
      <c r="L105" s="113"/>
      <c r="M105" s="112"/>
    </row>
    <row r="106" ht="24.0" customHeight="1">
      <c r="A106" s="402"/>
      <c r="B106" s="122"/>
      <c r="C106" s="112"/>
      <c r="D106" s="113"/>
      <c r="E106" s="113"/>
      <c r="F106" s="113"/>
      <c r="G106" s="112"/>
      <c r="H106" s="113"/>
      <c r="I106" s="113"/>
      <c r="J106" s="113"/>
      <c r="K106" s="115" t="str">
        <f t="shared" si="1"/>
        <v/>
      </c>
      <c r="L106" s="113"/>
      <c r="M106" s="112"/>
    </row>
    <row r="107" ht="15.75" customHeight="1">
      <c r="G107" s="395"/>
    </row>
    <row r="108" ht="15.75" customHeight="1">
      <c r="G108" s="395"/>
    </row>
    <row r="109" ht="15.75" customHeight="1">
      <c r="G109" s="395"/>
    </row>
    <row r="110" ht="15.75" customHeight="1">
      <c r="G110" s="395"/>
    </row>
    <row r="111" ht="15.75" customHeight="1">
      <c r="G111" s="395"/>
    </row>
    <row r="112" ht="15.75" customHeight="1">
      <c r="G112" s="395"/>
    </row>
    <row r="113" ht="15.75" customHeight="1">
      <c r="G113" s="395"/>
    </row>
    <row r="114" ht="15.75" customHeight="1">
      <c r="G114" s="395"/>
    </row>
    <row r="115" ht="15.75" customHeight="1">
      <c r="G115" s="395"/>
    </row>
    <row r="116" ht="15.75" customHeight="1">
      <c r="G116" s="395"/>
    </row>
    <row r="117" ht="15.75" customHeight="1">
      <c r="G117" s="395"/>
    </row>
    <row r="118" ht="15.75" customHeight="1">
      <c r="G118" s="395"/>
    </row>
    <row r="119" ht="15.75" customHeight="1">
      <c r="G119" s="395"/>
    </row>
    <row r="120" ht="15.75" customHeight="1">
      <c r="G120" s="395"/>
    </row>
    <row r="121" ht="15.75" customHeight="1">
      <c r="G121" s="395"/>
    </row>
    <row r="122" ht="15.75" customHeight="1">
      <c r="G122" s="395"/>
    </row>
    <row r="123" ht="15.75" customHeight="1">
      <c r="G123" s="395"/>
    </row>
    <row r="124" ht="15.75" customHeight="1">
      <c r="G124" s="395"/>
    </row>
    <row r="125" ht="15.75" customHeight="1">
      <c r="G125" s="395"/>
    </row>
    <row r="126" ht="15.75" customHeight="1">
      <c r="G126" s="395"/>
    </row>
    <row r="127" ht="15.75" customHeight="1">
      <c r="G127" s="395"/>
    </row>
    <row r="128" ht="15.75" customHeight="1">
      <c r="G128" s="395"/>
    </row>
    <row r="129" ht="15.75" customHeight="1">
      <c r="G129" s="395"/>
    </row>
    <row r="130" ht="15.75" customHeight="1">
      <c r="G130" s="395"/>
    </row>
    <row r="131" ht="15.75" customHeight="1">
      <c r="G131" s="395"/>
    </row>
    <row r="132" ht="15.75" customHeight="1">
      <c r="G132" s="395"/>
    </row>
    <row r="133" ht="15.75" customHeight="1">
      <c r="G133" s="395"/>
    </row>
    <row r="134" ht="15.75" customHeight="1">
      <c r="G134" s="395"/>
    </row>
    <row r="135" ht="15.75" customHeight="1">
      <c r="G135" s="395"/>
    </row>
    <row r="136" ht="15.75" customHeight="1">
      <c r="G136" s="395"/>
    </row>
    <row r="137" ht="15.75" customHeight="1">
      <c r="G137" s="395"/>
    </row>
    <row r="138" ht="15.75" customHeight="1">
      <c r="G138" s="395"/>
    </row>
    <row r="139" ht="15.75" customHeight="1">
      <c r="G139" s="395"/>
    </row>
    <row r="140" ht="15.75" customHeight="1">
      <c r="G140" s="395"/>
    </row>
    <row r="141" ht="15.75" customHeight="1">
      <c r="G141" s="395"/>
    </row>
    <row r="142" ht="15.75" customHeight="1">
      <c r="G142" s="395"/>
    </row>
    <row r="143" ht="15.75" customHeight="1">
      <c r="G143" s="395"/>
    </row>
    <row r="144" ht="15.75" customHeight="1">
      <c r="G144" s="395"/>
    </row>
    <row r="145" ht="15.75" customHeight="1">
      <c r="G145" s="395"/>
    </row>
    <row r="146" ht="15.75" customHeight="1">
      <c r="G146" s="395"/>
    </row>
    <row r="147" ht="15.75" customHeight="1">
      <c r="G147" s="395"/>
    </row>
    <row r="148" ht="15.75" customHeight="1">
      <c r="G148" s="395"/>
    </row>
    <row r="149" ht="15.75" customHeight="1">
      <c r="G149" s="395"/>
    </row>
    <row r="150" ht="15.75" customHeight="1">
      <c r="G150" s="395"/>
    </row>
    <row r="151" ht="15.75" customHeight="1">
      <c r="G151" s="395"/>
    </row>
    <row r="152" ht="15.75" customHeight="1">
      <c r="G152" s="395"/>
    </row>
    <row r="153" ht="15.75" customHeight="1">
      <c r="G153" s="395"/>
    </row>
    <row r="154" ht="15.75" customHeight="1">
      <c r="G154" s="395"/>
    </row>
    <row r="155" ht="15.75" customHeight="1">
      <c r="G155" s="395"/>
    </row>
    <row r="156" ht="15.75" customHeight="1">
      <c r="G156" s="395"/>
    </row>
    <row r="157" ht="15.75" customHeight="1">
      <c r="G157" s="395"/>
    </row>
    <row r="158" ht="15.75" customHeight="1">
      <c r="G158" s="395"/>
    </row>
    <row r="159" ht="15.75" customHeight="1">
      <c r="G159" s="395"/>
    </row>
    <row r="160" ht="15.75" customHeight="1">
      <c r="G160" s="395"/>
    </row>
    <row r="161" ht="15.75" customHeight="1">
      <c r="G161" s="395"/>
    </row>
    <row r="162" ht="15.75" customHeight="1">
      <c r="G162" s="395"/>
    </row>
    <row r="163" ht="15.75" customHeight="1">
      <c r="G163" s="395"/>
    </row>
    <row r="164" ht="15.75" customHeight="1">
      <c r="G164" s="395"/>
    </row>
    <row r="165" ht="15.75" customHeight="1">
      <c r="G165" s="395"/>
    </row>
    <row r="166" ht="15.75" customHeight="1">
      <c r="G166" s="395"/>
    </row>
    <row r="167" ht="15.75" customHeight="1">
      <c r="G167" s="395"/>
    </row>
    <row r="168" ht="15.75" customHeight="1">
      <c r="G168" s="395"/>
    </row>
    <row r="169" ht="15.75" customHeight="1">
      <c r="G169" s="395"/>
    </row>
    <row r="170" ht="15.75" customHeight="1">
      <c r="G170" s="395"/>
    </row>
    <row r="171" ht="15.75" customHeight="1">
      <c r="G171" s="395"/>
    </row>
    <row r="172" ht="15.75" customHeight="1">
      <c r="G172" s="395"/>
    </row>
    <row r="173" ht="15.75" customHeight="1">
      <c r="G173" s="395"/>
    </row>
    <row r="174" ht="15.75" customHeight="1">
      <c r="G174" s="395"/>
    </row>
    <row r="175" ht="15.75" customHeight="1">
      <c r="G175" s="395"/>
    </row>
    <row r="176" ht="15.75" customHeight="1">
      <c r="G176" s="395"/>
    </row>
    <row r="177" ht="15.75" customHeight="1">
      <c r="G177" s="395"/>
    </row>
    <row r="178" ht="15.75" customHeight="1">
      <c r="G178" s="395"/>
    </row>
    <row r="179" ht="15.75" customHeight="1">
      <c r="G179" s="395"/>
    </row>
    <row r="180" ht="15.75" customHeight="1">
      <c r="G180" s="395"/>
    </row>
    <row r="181" ht="15.75" customHeight="1">
      <c r="G181" s="395"/>
    </row>
    <row r="182" ht="15.75" customHeight="1">
      <c r="G182" s="395"/>
    </row>
    <row r="183" ht="15.75" customHeight="1">
      <c r="G183" s="395"/>
    </row>
    <row r="184" ht="15.75" customHeight="1">
      <c r="G184" s="395"/>
    </row>
    <row r="185" ht="15.75" customHeight="1">
      <c r="G185" s="395"/>
    </row>
    <row r="186" ht="15.75" customHeight="1">
      <c r="G186" s="395"/>
    </row>
    <row r="187" ht="15.75" customHeight="1">
      <c r="G187" s="395"/>
    </row>
    <row r="188" ht="15.75" customHeight="1">
      <c r="G188" s="395"/>
    </row>
    <row r="189" ht="15.75" customHeight="1">
      <c r="G189" s="395"/>
    </row>
    <row r="190" ht="15.75" customHeight="1">
      <c r="G190" s="395"/>
    </row>
    <row r="191" ht="15.75" customHeight="1">
      <c r="G191" s="395"/>
    </row>
    <row r="192" ht="15.75" customHeight="1">
      <c r="G192" s="395"/>
    </row>
    <row r="193" ht="15.75" customHeight="1">
      <c r="G193" s="395"/>
    </row>
    <row r="194" ht="15.75" customHeight="1">
      <c r="G194" s="395"/>
    </row>
    <row r="195" ht="15.75" customHeight="1">
      <c r="G195" s="395"/>
    </row>
    <row r="196" ht="15.75" customHeight="1">
      <c r="G196" s="395"/>
    </row>
    <row r="197" ht="15.75" customHeight="1">
      <c r="G197" s="395"/>
    </row>
    <row r="198" ht="15.75" customHeight="1">
      <c r="G198" s="395"/>
    </row>
    <row r="199" ht="15.75" customHeight="1">
      <c r="G199" s="395"/>
    </row>
    <row r="200" ht="15.75" customHeight="1">
      <c r="G200" s="395"/>
    </row>
    <row r="201" ht="15.75" customHeight="1">
      <c r="G201" s="395"/>
    </row>
    <row r="202" ht="15.75" customHeight="1">
      <c r="G202" s="395"/>
    </row>
    <row r="203" ht="15.75" customHeight="1">
      <c r="G203" s="395"/>
    </row>
    <row r="204" ht="15.75" customHeight="1">
      <c r="G204" s="395"/>
    </row>
    <row r="205" ht="15.75" customHeight="1">
      <c r="G205" s="395"/>
    </row>
    <row r="206" ht="15.75" customHeight="1">
      <c r="G206" s="395"/>
    </row>
    <row r="207" ht="15.75" customHeight="1">
      <c r="G207" s="395"/>
    </row>
    <row r="208" ht="15.75" customHeight="1">
      <c r="G208" s="395"/>
    </row>
    <row r="209" ht="15.75" customHeight="1">
      <c r="G209" s="395"/>
    </row>
    <row r="210" ht="15.75" customHeight="1">
      <c r="G210" s="395"/>
    </row>
    <row r="211" ht="15.75" customHeight="1">
      <c r="G211" s="395"/>
    </row>
    <row r="212" ht="15.75" customHeight="1">
      <c r="G212" s="395"/>
    </row>
    <row r="213" ht="15.75" customHeight="1">
      <c r="G213" s="395"/>
    </row>
    <row r="214" ht="15.75" customHeight="1">
      <c r="G214" s="395"/>
    </row>
    <row r="215" ht="15.75" customHeight="1">
      <c r="G215" s="395"/>
    </row>
    <row r="216" ht="15.75" customHeight="1">
      <c r="G216" s="395"/>
    </row>
    <row r="217" ht="15.75" customHeight="1">
      <c r="G217" s="395"/>
    </row>
    <row r="218" ht="15.75" customHeight="1">
      <c r="G218" s="395"/>
    </row>
    <row r="219" ht="15.75" customHeight="1">
      <c r="G219" s="395"/>
    </row>
    <row r="220" ht="15.75" customHeight="1">
      <c r="G220" s="395"/>
    </row>
    <row r="221" ht="15.75" customHeight="1">
      <c r="G221" s="395"/>
    </row>
    <row r="222" ht="15.75" customHeight="1">
      <c r="G222" s="395"/>
    </row>
    <row r="223" ht="15.75" customHeight="1">
      <c r="G223" s="395"/>
    </row>
    <row r="224" ht="15.75" customHeight="1">
      <c r="G224" s="395"/>
    </row>
    <row r="225" ht="15.75" customHeight="1">
      <c r="G225" s="395"/>
    </row>
    <row r="226" ht="15.75" customHeight="1">
      <c r="G226" s="395"/>
    </row>
    <row r="227" ht="15.75" customHeight="1">
      <c r="G227" s="395"/>
    </row>
    <row r="228" ht="15.75" customHeight="1">
      <c r="G228" s="395"/>
    </row>
    <row r="229" ht="15.75" customHeight="1">
      <c r="G229" s="395"/>
    </row>
    <row r="230" ht="15.75" customHeight="1">
      <c r="G230" s="395"/>
    </row>
    <row r="231" ht="15.75" customHeight="1">
      <c r="G231" s="395"/>
    </row>
    <row r="232" ht="15.75" customHeight="1">
      <c r="G232" s="395"/>
    </row>
    <row r="233" ht="15.75" customHeight="1">
      <c r="G233" s="395"/>
    </row>
    <row r="234" ht="15.75" customHeight="1">
      <c r="G234" s="395"/>
    </row>
    <row r="235" ht="15.75" customHeight="1">
      <c r="G235" s="395"/>
    </row>
    <row r="236" ht="15.75" customHeight="1">
      <c r="G236" s="395"/>
    </row>
    <row r="237" ht="15.75" customHeight="1">
      <c r="G237" s="395"/>
    </row>
    <row r="238" ht="15.75" customHeight="1">
      <c r="G238" s="395"/>
    </row>
    <row r="239" ht="15.75" customHeight="1">
      <c r="G239" s="395"/>
    </row>
    <row r="240" ht="15.75" customHeight="1">
      <c r="G240" s="395"/>
    </row>
    <row r="241" ht="15.75" customHeight="1">
      <c r="G241" s="395"/>
    </row>
    <row r="242" ht="15.75" customHeight="1">
      <c r="G242" s="395"/>
    </row>
    <row r="243" ht="15.75" customHeight="1">
      <c r="G243" s="395"/>
    </row>
    <row r="244" ht="15.75" customHeight="1">
      <c r="G244" s="395"/>
    </row>
    <row r="245" ht="15.75" customHeight="1">
      <c r="G245" s="395"/>
    </row>
    <row r="246" ht="15.75" customHeight="1">
      <c r="G246" s="395"/>
    </row>
    <row r="247" ht="15.75" customHeight="1">
      <c r="G247" s="395"/>
    </row>
    <row r="248" ht="15.75" customHeight="1">
      <c r="G248" s="395"/>
    </row>
    <row r="249" ht="15.75" customHeight="1">
      <c r="G249" s="395"/>
    </row>
    <row r="250" ht="15.75" customHeight="1">
      <c r="G250" s="395"/>
    </row>
    <row r="251" ht="15.75" customHeight="1">
      <c r="G251" s="395"/>
    </row>
    <row r="252" ht="15.75" customHeight="1">
      <c r="G252" s="395"/>
    </row>
    <row r="253" ht="15.75" customHeight="1">
      <c r="G253" s="395"/>
    </row>
    <row r="254" ht="15.75" customHeight="1">
      <c r="G254" s="395"/>
    </row>
    <row r="255" ht="15.75" customHeight="1">
      <c r="G255" s="395"/>
    </row>
    <row r="256" ht="15.75" customHeight="1">
      <c r="G256" s="395"/>
    </row>
    <row r="257" ht="15.75" customHeight="1">
      <c r="G257" s="395"/>
    </row>
    <row r="258" ht="15.75" customHeight="1">
      <c r="G258" s="395"/>
    </row>
    <row r="259" ht="15.75" customHeight="1">
      <c r="G259" s="395"/>
    </row>
    <row r="260" ht="15.75" customHeight="1">
      <c r="G260" s="395"/>
    </row>
    <row r="261" ht="15.75" customHeight="1">
      <c r="G261" s="395"/>
    </row>
    <row r="262" ht="15.75" customHeight="1">
      <c r="G262" s="395"/>
    </row>
    <row r="263" ht="15.75" customHeight="1">
      <c r="G263" s="395"/>
    </row>
    <row r="264" ht="15.75" customHeight="1">
      <c r="G264" s="395"/>
    </row>
    <row r="265" ht="15.75" customHeight="1">
      <c r="G265" s="395"/>
    </row>
    <row r="266" ht="15.75" customHeight="1">
      <c r="G266" s="395"/>
    </row>
    <row r="267" ht="15.75" customHeight="1">
      <c r="G267" s="395"/>
    </row>
    <row r="268" ht="15.75" customHeight="1">
      <c r="G268" s="395"/>
    </row>
    <row r="269" ht="15.75" customHeight="1">
      <c r="G269" s="395"/>
    </row>
    <row r="270" ht="15.75" customHeight="1">
      <c r="G270" s="395"/>
    </row>
    <row r="271" ht="15.75" customHeight="1">
      <c r="G271" s="395"/>
    </row>
    <row r="272" ht="15.75" customHeight="1">
      <c r="G272" s="395"/>
    </row>
    <row r="273" ht="15.75" customHeight="1">
      <c r="G273" s="395"/>
    </row>
    <row r="274" ht="15.75" customHeight="1">
      <c r="G274" s="395"/>
    </row>
    <row r="275" ht="15.75" customHeight="1">
      <c r="G275" s="395"/>
    </row>
    <row r="276" ht="15.75" customHeight="1">
      <c r="G276" s="395"/>
    </row>
    <row r="277" ht="15.75" customHeight="1">
      <c r="G277" s="395"/>
    </row>
    <row r="278" ht="15.75" customHeight="1">
      <c r="G278" s="395"/>
    </row>
    <row r="279" ht="15.75" customHeight="1">
      <c r="G279" s="395"/>
    </row>
    <row r="280" ht="15.75" customHeight="1">
      <c r="G280" s="395"/>
    </row>
    <row r="281" ht="15.75" customHeight="1">
      <c r="G281" s="395"/>
    </row>
    <row r="282" ht="15.75" customHeight="1">
      <c r="G282" s="395"/>
    </row>
    <row r="283" ht="15.75" customHeight="1">
      <c r="G283" s="395"/>
    </row>
    <row r="284" ht="15.75" customHeight="1">
      <c r="G284" s="395"/>
    </row>
    <row r="285" ht="15.75" customHeight="1">
      <c r="G285" s="395"/>
    </row>
    <row r="286" ht="15.75" customHeight="1">
      <c r="G286" s="395"/>
    </row>
    <row r="287" ht="15.75" customHeight="1">
      <c r="G287" s="395"/>
    </row>
    <row r="288" ht="15.75" customHeight="1">
      <c r="G288" s="395"/>
    </row>
    <row r="289" ht="15.75" customHeight="1">
      <c r="G289" s="395"/>
    </row>
    <row r="290" ht="15.75" customHeight="1">
      <c r="G290" s="395"/>
    </row>
    <row r="291" ht="15.75" customHeight="1">
      <c r="G291" s="395"/>
    </row>
    <row r="292" ht="15.75" customHeight="1">
      <c r="G292" s="395"/>
    </row>
    <row r="293" ht="15.75" customHeight="1">
      <c r="G293" s="395"/>
    </row>
    <row r="294" ht="15.75" customHeight="1">
      <c r="G294" s="395"/>
    </row>
    <row r="295" ht="15.75" customHeight="1">
      <c r="G295" s="395"/>
    </row>
    <row r="296" ht="15.75" customHeight="1">
      <c r="G296" s="395"/>
    </row>
    <row r="297" ht="15.75" customHeight="1">
      <c r="G297" s="395"/>
    </row>
    <row r="298" ht="15.75" customHeight="1">
      <c r="G298" s="395"/>
    </row>
    <row r="299" ht="15.75" customHeight="1">
      <c r="G299" s="395"/>
    </row>
    <row r="300" ht="15.75" customHeight="1">
      <c r="G300" s="395"/>
    </row>
    <row r="301" ht="15.75" customHeight="1">
      <c r="G301" s="395"/>
    </row>
    <row r="302" ht="15.75" customHeight="1">
      <c r="G302" s="395"/>
    </row>
    <row r="303" ht="15.75" customHeight="1">
      <c r="G303" s="395"/>
    </row>
    <row r="304" ht="15.75" customHeight="1">
      <c r="G304" s="395"/>
    </row>
    <row r="305" ht="15.75" customHeight="1">
      <c r="G305" s="395"/>
    </row>
    <row r="306" ht="15.75" customHeight="1">
      <c r="G306" s="395"/>
    </row>
    <row r="307" ht="15.75" customHeight="1">
      <c r="G307" s="395"/>
    </row>
    <row r="308" ht="15.75" customHeight="1">
      <c r="G308" s="395"/>
    </row>
    <row r="309" ht="15.75" customHeight="1">
      <c r="G309" s="395"/>
    </row>
    <row r="310" ht="15.75" customHeight="1">
      <c r="G310" s="395"/>
    </row>
    <row r="311" ht="15.75" customHeight="1">
      <c r="G311" s="395"/>
    </row>
    <row r="312" ht="15.75" customHeight="1">
      <c r="G312" s="395"/>
    </row>
    <row r="313" ht="15.75" customHeight="1">
      <c r="G313" s="395"/>
    </row>
    <row r="314" ht="15.75" customHeight="1">
      <c r="G314" s="395"/>
    </row>
    <row r="315" ht="15.75" customHeight="1">
      <c r="G315" s="395"/>
    </row>
    <row r="316" ht="15.75" customHeight="1">
      <c r="G316" s="395"/>
    </row>
    <row r="317" ht="15.75" customHeight="1">
      <c r="G317" s="395"/>
    </row>
    <row r="318" ht="15.75" customHeight="1">
      <c r="G318" s="395"/>
    </row>
    <row r="319" ht="15.75" customHeight="1">
      <c r="G319" s="395"/>
    </row>
    <row r="320" ht="15.75" customHeight="1">
      <c r="G320" s="395"/>
    </row>
    <row r="321" ht="15.75" customHeight="1">
      <c r="G321" s="395"/>
    </row>
    <row r="322" ht="15.75" customHeight="1">
      <c r="G322" s="395"/>
    </row>
    <row r="323" ht="15.75" customHeight="1">
      <c r="G323" s="395"/>
    </row>
    <row r="324" ht="15.75" customHeight="1">
      <c r="G324" s="395"/>
    </row>
    <row r="325" ht="15.75" customHeight="1">
      <c r="G325" s="395"/>
    </row>
    <row r="326" ht="15.75" customHeight="1">
      <c r="G326" s="395"/>
    </row>
    <row r="327" ht="15.75" customHeight="1">
      <c r="G327" s="395"/>
    </row>
    <row r="328" ht="15.75" customHeight="1">
      <c r="G328" s="395"/>
    </row>
    <row r="329" ht="15.75" customHeight="1">
      <c r="G329" s="395"/>
    </row>
    <row r="330" ht="15.75" customHeight="1">
      <c r="G330" s="395"/>
    </row>
    <row r="331" ht="15.75" customHeight="1">
      <c r="G331" s="395"/>
    </row>
    <row r="332" ht="15.75" customHeight="1">
      <c r="G332" s="395"/>
    </row>
    <row r="333" ht="15.75" customHeight="1">
      <c r="G333" s="395"/>
    </row>
    <row r="334" ht="15.75" customHeight="1">
      <c r="G334" s="395"/>
    </row>
    <row r="335" ht="15.75" customHeight="1">
      <c r="G335" s="395"/>
    </row>
    <row r="336" ht="15.75" customHeight="1">
      <c r="G336" s="395"/>
    </row>
    <row r="337" ht="15.75" customHeight="1">
      <c r="G337" s="395"/>
    </row>
    <row r="338" ht="15.75" customHeight="1">
      <c r="G338" s="395"/>
    </row>
    <row r="339" ht="15.75" customHeight="1">
      <c r="G339" s="395"/>
    </row>
    <row r="340" ht="15.75" customHeight="1">
      <c r="G340" s="395"/>
    </row>
    <row r="341" ht="15.75" customHeight="1">
      <c r="G341" s="395"/>
    </row>
    <row r="342" ht="15.75" customHeight="1">
      <c r="G342" s="395"/>
    </row>
    <row r="343" ht="15.75" customHeight="1">
      <c r="G343" s="395"/>
    </row>
    <row r="344" ht="15.75" customHeight="1">
      <c r="G344" s="395"/>
    </row>
    <row r="345" ht="15.75" customHeight="1">
      <c r="G345" s="395"/>
    </row>
    <row r="346" ht="15.75" customHeight="1">
      <c r="G346" s="395"/>
    </row>
    <row r="347" ht="15.75" customHeight="1">
      <c r="G347" s="395"/>
    </row>
    <row r="348" ht="15.75" customHeight="1">
      <c r="G348" s="395"/>
    </row>
    <row r="349" ht="15.75" customHeight="1">
      <c r="G349" s="395"/>
    </row>
    <row r="350" ht="15.75" customHeight="1">
      <c r="G350" s="395"/>
    </row>
    <row r="351" ht="15.75" customHeight="1">
      <c r="G351" s="395"/>
    </row>
    <row r="352" ht="15.75" customHeight="1">
      <c r="G352" s="395"/>
    </row>
    <row r="353" ht="15.75" customHeight="1">
      <c r="G353" s="395"/>
    </row>
    <row r="354" ht="15.75" customHeight="1">
      <c r="G354" s="395"/>
    </row>
    <row r="355" ht="15.75" customHeight="1">
      <c r="G355" s="395"/>
    </row>
    <row r="356" ht="15.75" customHeight="1">
      <c r="G356" s="395"/>
    </row>
    <row r="357" ht="15.75" customHeight="1">
      <c r="G357" s="395"/>
    </row>
    <row r="358" ht="15.75" customHeight="1">
      <c r="G358" s="395"/>
    </row>
    <row r="359" ht="15.75" customHeight="1">
      <c r="G359" s="395"/>
    </row>
    <row r="360" ht="15.75" customHeight="1">
      <c r="G360" s="395"/>
    </row>
    <row r="361" ht="15.75" customHeight="1">
      <c r="G361" s="395"/>
    </row>
    <row r="362" ht="15.75" customHeight="1">
      <c r="G362" s="395"/>
    </row>
    <row r="363" ht="15.75" customHeight="1">
      <c r="G363" s="395"/>
    </row>
    <row r="364" ht="15.75" customHeight="1">
      <c r="G364" s="395"/>
    </row>
    <row r="365" ht="15.75" customHeight="1">
      <c r="G365" s="395"/>
    </row>
    <row r="366" ht="15.75" customHeight="1">
      <c r="G366" s="395"/>
    </row>
    <row r="367" ht="15.75" customHeight="1">
      <c r="G367" s="395"/>
    </row>
    <row r="368" ht="15.75" customHeight="1">
      <c r="G368" s="395"/>
    </row>
    <row r="369" ht="15.75" customHeight="1">
      <c r="G369" s="395"/>
    </row>
    <row r="370" ht="15.75" customHeight="1">
      <c r="G370" s="395"/>
    </row>
    <row r="371" ht="15.75" customHeight="1">
      <c r="G371" s="395"/>
    </row>
    <row r="372" ht="15.75" customHeight="1">
      <c r="G372" s="395"/>
    </row>
    <row r="373" ht="15.75" customHeight="1">
      <c r="G373" s="395"/>
    </row>
    <row r="374" ht="15.75" customHeight="1">
      <c r="G374" s="395"/>
    </row>
    <row r="375" ht="15.75" customHeight="1">
      <c r="G375" s="395"/>
    </row>
    <row r="376" ht="15.75" customHeight="1">
      <c r="G376" s="395"/>
    </row>
    <row r="377" ht="15.75" customHeight="1">
      <c r="G377" s="395"/>
    </row>
    <row r="378" ht="15.75" customHeight="1">
      <c r="G378" s="395"/>
    </row>
    <row r="379" ht="15.75" customHeight="1">
      <c r="G379" s="395"/>
    </row>
    <row r="380" ht="15.75" customHeight="1">
      <c r="G380" s="395"/>
    </row>
    <row r="381" ht="15.75" customHeight="1">
      <c r="G381" s="395"/>
    </row>
    <row r="382" ht="15.75" customHeight="1">
      <c r="G382" s="395"/>
    </row>
    <row r="383" ht="15.75" customHeight="1">
      <c r="G383" s="395"/>
    </row>
    <row r="384" ht="15.75" customHeight="1">
      <c r="G384" s="395"/>
    </row>
    <row r="385" ht="15.75" customHeight="1">
      <c r="G385" s="395"/>
    </row>
    <row r="386" ht="15.75" customHeight="1">
      <c r="G386" s="395"/>
    </row>
    <row r="387" ht="15.75" customHeight="1">
      <c r="G387" s="395"/>
    </row>
    <row r="388" ht="15.75" customHeight="1">
      <c r="G388" s="395"/>
    </row>
    <row r="389" ht="15.75" customHeight="1">
      <c r="G389" s="395"/>
    </row>
    <row r="390" ht="15.75" customHeight="1">
      <c r="G390" s="395"/>
    </row>
    <row r="391" ht="15.75" customHeight="1">
      <c r="G391" s="395"/>
    </row>
    <row r="392" ht="15.75" customHeight="1">
      <c r="G392" s="395"/>
    </row>
    <row r="393" ht="15.75" customHeight="1">
      <c r="G393" s="395"/>
    </row>
    <row r="394" ht="15.75" customHeight="1">
      <c r="G394" s="395"/>
    </row>
    <row r="395" ht="15.75" customHeight="1">
      <c r="G395" s="395"/>
    </row>
    <row r="396" ht="15.75" customHeight="1">
      <c r="G396" s="395"/>
    </row>
    <row r="397" ht="15.75" customHeight="1">
      <c r="G397" s="395"/>
    </row>
    <row r="398" ht="15.75" customHeight="1">
      <c r="G398" s="395"/>
    </row>
    <row r="399" ht="15.75" customHeight="1">
      <c r="G399" s="395"/>
    </row>
    <row r="400" ht="15.75" customHeight="1">
      <c r="G400" s="395"/>
    </row>
    <row r="401" ht="15.75" customHeight="1">
      <c r="G401" s="395"/>
    </row>
    <row r="402" ht="15.75" customHeight="1">
      <c r="G402" s="395"/>
    </row>
    <row r="403" ht="15.75" customHeight="1">
      <c r="G403" s="395"/>
    </row>
    <row r="404" ht="15.75" customHeight="1">
      <c r="G404" s="395"/>
    </row>
    <row r="405" ht="15.75" customHeight="1">
      <c r="G405" s="395"/>
    </row>
    <row r="406" ht="15.75" customHeight="1">
      <c r="G406" s="395"/>
    </row>
    <row r="407" ht="15.75" customHeight="1">
      <c r="G407" s="395"/>
    </row>
    <row r="408" ht="15.75" customHeight="1">
      <c r="G408" s="395"/>
    </row>
    <row r="409" ht="15.75" customHeight="1">
      <c r="G409" s="395"/>
    </row>
    <row r="410" ht="15.75" customHeight="1">
      <c r="G410" s="395"/>
    </row>
    <row r="411" ht="15.75" customHeight="1">
      <c r="G411" s="395"/>
    </row>
    <row r="412" ht="15.75" customHeight="1">
      <c r="G412" s="395"/>
    </row>
    <row r="413" ht="15.75" customHeight="1">
      <c r="G413" s="395"/>
    </row>
    <row r="414" ht="15.75" customHeight="1">
      <c r="G414" s="395"/>
    </row>
    <row r="415" ht="15.75" customHeight="1">
      <c r="G415" s="395"/>
    </row>
    <row r="416" ht="15.75" customHeight="1">
      <c r="G416" s="395"/>
    </row>
    <row r="417" ht="15.75" customHeight="1">
      <c r="G417" s="395"/>
    </row>
    <row r="418" ht="15.75" customHeight="1">
      <c r="G418" s="395"/>
    </row>
    <row r="419" ht="15.75" customHeight="1">
      <c r="G419" s="395"/>
    </row>
    <row r="420" ht="15.75" customHeight="1">
      <c r="G420" s="395"/>
    </row>
    <row r="421" ht="15.75" customHeight="1">
      <c r="G421" s="395"/>
    </row>
    <row r="422" ht="15.75" customHeight="1">
      <c r="G422" s="395"/>
    </row>
    <row r="423" ht="15.75" customHeight="1">
      <c r="G423" s="395"/>
    </row>
    <row r="424" ht="15.75" customHeight="1">
      <c r="G424" s="395"/>
    </row>
    <row r="425" ht="15.75" customHeight="1">
      <c r="G425" s="395"/>
    </row>
    <row r="426" ht="15.75" customHeight="1">
      <c r="G426" s="395"/>
    </row>
    <row r="427" ht="15.75" customHeight="1">
      <c r="G427" s="395"/>
    </row>
    <row r="428" ht="15.75" customHeight="1">
      <c r="G428" s="395"/>
    </row>
    <row r="429" ht="15.75" customHeight="1">
      <c r="G429" s="395"/>
    </row>
    <row r="430" ht="15.75" customHeight="1">
      <c r="G430" s="395"/>
    </row>
    <row r="431" ht="15.75" customHeight="1">
      <c r="G431" s="395"/>
    </row>
    <row r="432" ht="15.75" customHeight="1">
      <c r="G432" s="395"/>
    </row>
    <row r="433" ht="15.75" customHeight="1">
      <c r="G433" s="395"/>
    </row>
    <row r="434" ht="15.75" customHeight="1">
      <c r="G434" s="395"/>
    </row>
    <row r="435" ht="15.75" customHeight="1">
      <c r="G435" s="395"/>
    </row>
    <row r="436" ht="15.75" customHeight="1">
      <c r="G436" s="395"/>
    </row>
    <row r="437" ht="15.75" customHeight="1">
      <c r="G437" s="395"/>
    </row>
    <row r="438" ht="15.75" customHeight="1">
      <c r="G438" s="395"/>
    </row>
    <row r="439" ht="15.75" customHeight="1">
      <c r="G439" s="395"/>
    </row>
    <row r="440" ht="15.75" customHeight="1">
      <c r="G440" s="395"/>
    </row>
    <row r="441" ht="15.75" customHeight="1">
      <c r="G441" s="395"/>
    </row>
    <row r="442" ht="15.75" customHeight="1">
      <c r="G442" s="395"/>
    </row>
    <row r="443" ht="15.75" customHeight="1">
      <c r="G443" s="395"/>
    </row>
    <row r="444" ht="15.75" customHeight="1">
      <c r="G444" s="395"/>
    </row>
    <row r="445" ht="15.75" customHeight="1">
      <c r="G445" s="395"/>
    </row>
    <row r="446" ht="15.75" customHeight="1">
      <c r="G446" s="395"/>
    </row>
    <row r="447" ht="15.75" customHeight="1">
      <c r="G447" s="395"/>
    </row>
    <row r="448" ht="15.75" customHeight="1">
      <c r="G448" s="395"/>
    </row>
    <row r="449" ht="15.75" customHeight="1">
      <c r="G449" s="395"/>
    </row>
    <row r="450" ht="15.75" customHeight="1">
      <c r="G450" s="395"/>
    </row>
    <row r="451" ht="15.75" customHeight="1">
      <c r="G451" s="395"/>
    </row>
    <row r="452" ht="15.75" customHeight="1">
      <c r="G452" s="395"/>
    </row>
    <row r="453" ht="15.75" customHeight="1">
      <c r="G453" s="395"/>
    </row>
    <row r="454" ht="15.75" customHeight="1">
      <c r="G454" s="395"/>
    </row>
    <row r="455" ht="15.75" customHeight="1">
      <c r="G455" s="395"/>
    </row>
    <row r="456" ht="15.75" customHeight="1">
      <c r="G456" s="395"/>
    </row>
    <row r="457" ht="15.75" customHeight="1">
      <c r="G457" s="395"/>
    </row>
    <row r="458" ht="15.75" customHeight="1">
      <c r="G458" s="395"/>
    </row>
    <row r="459" ht="15.75" customHeight="1">
      <c r="G459" s="395"/>
    </row>
    <row r="460" ht="15.75" customHeight="1">
      <c r="G460" s="395"/>
    </row>
    <row r="461" ht="15.75" customHeight="1">
      <c r="G461" s="395"/>
    </row>
    <row r="462" ht="15.75" customHeight="1">
      <c r="G462" s="395"/>
    </row>
    <row r="463" ht="15.75" customHeight="1">
      <c r="G463" s="395"/>
    </row>
    <row r="464" ht="15.75" customHeight="1">
      <c r="G464" s="395"/>
    </row>
    <row r="465" ht="15.75" customHeight="1">
      <c r="G465" s="395"/>
    </row>
    <row r="466" ht="15.75" customHeight="1">
      <c r="G466" s="395"/>
    </row>
    <row r="467" ht="15.75" customHeight="1">
      <c r="G467" s="395"/>
    </row>
    <row r="468" ht="15.75" customHeight="1">
      <c r="G468" s="395"/>
    </row>
    <row r="469" ht="15.75" customHeight="1">
      <c r="G469" s="395"/>
    </row>
    <row r="470" ht="15.75" customHeight="1">
      <c r="G470" s="395"/>
    </row>
    <row r="471" ht="15.75" customHeight="1">
      <c r="G471" s="395"/>
    </row>
    <row r="472" ht="15.75" customHeight="1">
      <c r="G472" s="395"/>
    </row>
    <row r="473" ht="15.75" customHeight="1">
      <c r="G473" s="395"/>
    </row>
    <row r="474" ht="15.75" customHeight="1">
      <c r="G474" s="395"/>
    </row>
    <row r="475" ht="15.75" customHeight="1">
      <c r="G475" s="395"/>
    </row>
    <row r="476" ht="15.75" customHeight="1">
      <c r="G476" s="395"/>
    </row>
    <row r="477" ht="15.75" customHeight="1">
      <c r="G477" s="395"/>
    </row>
    <row r="478" ht="15.75" customHeight="1">
      <c r="G478" s="395"/>
    </row>
    <row r="479" ht="15.75" customHeight="1">
      <c r="G479" s="395"/>
    </row>
    <row r="480" ht="15.75" customHeight="1">
      <c r="G480" s="395"/>
    </row>
    <row r="481" ht="15.75" customHeight="1">
      <c r="G481" s="395"/>
    </row>
    <row r="482" ht="15.75" customHeight="1">
      <c r="G482" s="395"/>
    </row>
    <row r="483" ht="15.75" customHeight="1">
      <c r="G483" s="395"/>
    </row>
    <row r="484" ht="15.75" customHeight="1">
      <c r="G484" s="395"/>
    </row>
    <row r="485" ht="15.75" customHeight="1">
      <c r="G485" s="395"/>
    </row>
    <row r="486" ht="15.75" customHeight="1">
      <c r="G486" s="395"/>
    </row>
    <row r="487" ht="15.75" customHeight="1">
      <c r="G487" s="395"/>
    </row>
    <row r="488" ht="15.75" customHeight="1">
      <c r="G488" s="395"/>
    </row>
    <row r="489" ht="15.75" customHeight="1">
      <c r="G489" s="395"/>
    </row>
    <row r="490" ht="15.75" customHeight="1">
      <c r="G490" s="395"/>
    </row>
    <row r="491" ht="15.75" customHeight="1">
      <c r="G491" s="395"/>
    </row>
    <row r="492" ht="15.75" customHeight="1">
      <c r="G492" s="395"/>
    </row>
    <row r="493" ht="15.75" customHeight="1">
      <c r="G493" s="395"/>
    </row>
    <row r="494" ht="15.75" customHeight="1">
      <c r="G494" s="395"/>
    </row>
    <row r="495" ht="15.75" customHeight="1">
      <c r="G495" s="395"/>
    </row>
    <row r="496" ht="15.75" customHeight="1">
      <c r="G496" s="395"/>
    </row>
    <row r="497" ht="15.75" customHeight="1">
      <c r="G497" s="395"/>
    </row>
    <row r="498" ht="15.75" customHeight="1">
      <c r="G498" s="395"/>
    </row>
    <row r="499" ht="15.75" customHeight="1">
      <c r="G499" s="395"/>
    </row>
    <row r="500" ht="15.75" customHeight="1">
      <c r="G500" s="395"/>
    </row>
    <row r="501" ht="15.75" customHeight="1">
      <c r="G501" s="395"/>
    </row>
    <row r="502" ht="15.75" customHeight="1">
      <c r="G502" s="395"/>
    </row>
    <row r="503" ht="15.75" customHeight="1">
      <c r="G503" s="395"/>
    </row>
    <row r="504" ht="15.75" customHeight="1">
      <c r="G504" s="395"/>
    </row>
    <row r="505" ht="15.75" customHeight="1">
      <c r="G505" s="395"/>
    </row>
    <row r="506" ht="15.75" customHeight="1">
      <c r="G506" s="395"/>
    </row>
    <row r="507" ht="15.75" customHeight="1">
      <c r="G507" s="395"/>
    </row>
    <row r="508" ht="15.75" customHeight="1">
      <c r="G508" s="395"/>
    </row>
    <row r="509" ht="15.75" customHeight="1">
      <c r="G509" s="395"/>
    </row>
    <row r="510" ht="15.75" customHeight="1">
      <c r="G510" s="395"/>
    </row>
    <row r="511" ht="15.75" customHeight="1">
      <c r="G511" s="395"/>
    </row>
    <row r="512" ht="15.75" customHeight="1">
      <c r="G512" s="395"/>
    </row>
    <row r="513" ht="15.75" customHeight="1">
      <c r="G513" s="395"/>
    </row>
    <row r="514" ht="15.75" customHeight="1">
      <c r="G514" s="395"/>
    </row>
    <row r="515" ht="15.75" customHeight="1">
      <c r="G515" s="395"/>
    </row>
    <row r="516" ht="15.75" customHeight="1">
      <c r="G516" s="395"/>
    </row>
    <row r="517" ht="15.75" customHeight="1">
      <c r="G517" s="395"/>
    </row>
    <row r="518" ht="15.75" customHeight="1">
      <c r="G518" s="395"/>
    </row>
    <row r="519" ht="15.75" customHeight="1">
      <c r="G519" s="395"/>
    </row>
    <row r="520" ht="15.75" customHeight="1">
      <c r="G520" s="395"/>
    </row>
    <row r="521" ht="15.75" customHeight="1">
      <c r="G521" s="395"/>
    </row>
    <row r="522" ht="15.75" customHeight="1">
      <c r="G522" s="395"/>
    </row>
    <row r="523" ht="15.75" customHeight="1">
      <c r="G523" s="395"/>
    </row>
    <row r="524" ht="15.75" customHeight="1">
      <c r="G524" s="395"/>
    </row>
    <row r="525" ht="15.75" customHeight="1">
      <c r="G525" s="395"/>
    </row>
    <row r="526" ht="15.75" customHeight="1">
      <c r="G526" s="395"/>
    </row>
    <row r="527" ht="15.75" customHeight="1">
      <c r="G527" s="395"/>
    </row>
    <row r="528" ht="15.75" customHeight="1">
      <c r="G528" s="395"/>
    </row>
    <row r="529" ht="15.75" customHeight="1">
      <c r="G529" s="395"/>
    </row>
    <row r="530" ht="15.75" customHeight="1">
      <c r="G530" s="395"/>
    </row>
    <row r="531" ht="15.75" customHeight="1">
      <c r="G531" s="395"/>
    </row>
    <row r="532" ht="15.75" customHeight="1">
      <c r="G532" s="395"/>
    </row>
    <row r="533" ht="15.75" customHeight="1">
      <c r="G533" s="395"/>
    </row>
    <row r="534" ht="15.75" customHeight="1">
      <c r="G534" s="395"/>
    </row>
    <row r="535" ht="15.75" customHeight="1">
      <c r="G535" s="395"/>
    </row>
    <row r="536" ht="15.75" customHeight="1">
      <c r="G536" s="395"/>
    </row>
    <row r="537" ht="15.75" customHeight="1">
      <c r="G537" s="395"/>
    </row>
    <row r="538" ht="15.75" customHeight="1">
      <c r="G538" s="395"/>
    </row>
    <row r="539" ht="15.75" customHeight="1">
      <c r="G539" s="395"/>
    </row>
    <row r="540" ht="15.75" customHeight="1">
      <c r="G540" s="395"/>
    </row>
    <row r="541" ht="15.75" customHeight="1">
      <c r="G541" s="395"/>
    </row>
    <row r="542" ht="15.75" customHeight="1">
      <c r="G542" s="395"/>
    </row>
    <row r="543" ht="15.75" customHeight="1">
      <c r="G543" s="395"/>
    </row>
    <row r="544" ht="15.75" customHeight="1">
      <c r="G544" s="395"/>
    </row>
    <row r="545" ht="15.75" customHeight="1">
      <c r="G545" s="395"/>
    </row>
    <row r="546" ht="15.75" customHeight="1">
      <c r="G546" s="395"/>
    </row>
    <row r="547" ht="15.75" customHeight="1">
      <c r="G547" s="395"/>
    </row>
    <row r="548" ht="15.75" customHeight="1">
      <c r="G548" s="395"/>
    </row>
    <row r="549" ht="15.75" customHeight="1">
      <c r="G549" s="395"/>
    </row>
    <row r="550" ht="15.75" customHeight="1">
      <c r="G550" s="395"/>
    </row>
    <row r="551" ht="15.75" customHeight="1">
      <c r="G551" s="395"/>
    </row>
    <row r="552" ht="15.75" customHeight="1">
      <c r="G552" s="395"/>
    </row>
    <row r="553" ht="15.75" customHeight="1">
      <c r="G553" s="395"/>
    </row>
    <row r="554" ht="15.75" customHeight="1">
      <c r="G554" s="395"/>
    </row>
    <row r="555" ht="15.75" customHeight="1">
      <c r="G555" s="395"/>
    </row>
    <row r="556" ht="15.75" customHeight="1">
      <c r="G556" s="395"/>
    </row>
    <row r="557" ht="15.75" customHeight="1">
      <c r="G557" s="395"/>
    </row>
    <row r="558" ht="15.75" customHeight="1">
      <c r="G558" s="395"/>
    </row>
    <row r="559" ht="15.75" customHeight="1">
      <c r="G559" s="395"/>
    </row>
    <row r="560" ht="15.75" customHeight="1">
      <c r="G560" s="395"/>
    </row>
    <row r="561" ht="15.75" customHeight="1">
      <c r="G561" s="395"/>
    </row>
    <row r="562" ht="15.75" customHeight="1">
      <c r="G562" s="395"/>
    </row>
    <row r="563" ht="15.75" customHeight="1">
      <c r="G563" s="395"/>
    </row>
    <row r="564" ht="15.75" customHeight="1">
      <c r="G564" s="395"/>
    </row>
    <row r="565" ht="15.75" customHeight="1">
      <c r="G565" s="395"/>
    </row>
    <row r="566" ht="15.75" customHeight="1">
      <c r="G566" s="395"/>
    </row>
    <row r="567" ht="15.75" customHeight="1">
      <c r="G567" s="395"/>
    </row>
    <row r="568" ht="15.75" customHeight="1">
      <c r="G568" s="395"/>
    </row>
    <row r="569" ht="15.75" customHeight="1">
      <c r="G569" s="395"/>
    </row>
    <row r="570" ht="15.75" customHeight="1">
      <c r="G570" s="395"/>
    </row>
    <row r="571" ht="15.75" customHeight="1">
      <c r="G571" s="395"/>
    </row>
    <row r="572" ht="15.75" customHeight="1">
      <c r="G572" s="395"/>
    </row>
    <row r="573" ht="15.75" customHeight="1">
      <c r="G573" s="395"/>
    </row>
    <row r="574" ht="15.75" customHeight="1">
      <c r="G574" s="395"/>
    </row>
    <row r="575" ht="15.75" customHeight="1">
      <c r="G575" s="395"/>
    </row>
    <row r="576" ht="15.75" customHeight="1">
      <c r="G576" s="395"/>
    </row>
    <row r="577" ht="15.75" customHeight="1">
      <c r="G577" s="395"/>
    </row>
    <row r="578" ht="15.75" customHeight="1">
      <c r="G578" s="395"/>
    </row>
    <row r="579" ht="15.75" customHeight="1">
      <c r="G579" s="395"/>
    </row>
    <row r="580" ht="15.75" customHeight="1">
      <c r="G580" s="395"/>
    </row>
    <row r="581" ht="15.75" customHeight="1">
      <c r="G581" s="395"/>
    </row>
    <row r="582" ht="15.75" customHeight="1">
      <c r="G582" s="395"/>
    </row>
    <row r="583" ht="15.75" customHeight="1">
      <c r="G583" s="395"/>
    </row>
    <row r="584" ht="15.75" customHeight="1">
      <c r="G584" s="395"/>
    </row>
    <row r="585" ht="15.75" customHeight="1">
      <c r="G585" s="395"/>
    </row>
    <row r="586" ht="15.75" customHeight="1">
      <c r="G586" s="395"/>
    </row>
    <row r="587" ht="15.75" customHeight="1">
      <c r="G587" s="395"/>
    </row>
    <row r="588" ht="15.75" customHeight="1">
      <c r="G588" s="395"/>
    </row>
    <row r="589" ht="15.75" customHeight="1">
      <c r="G589" s="395"/>
    </row>
    <row r="590" ht="15.75" customHeight="1">
      <c r="G590" s="395"/>
    </row>
    <row r="591" ht="15.75" customHeight="1">
      <c r="G591" s="395"/>
    </row>
    <row r="592" ht="15.75" customHeight="1">
      <c r="G592" s="395"/>
    </row>
    <row r="593" ht="15.75" customHeight="1">
      <c r="G593" s="395"/>
    </row>
    <row r="594" ht="15.75" customHeight="1">
      <c r="G594" s="395"/>
    </row>
    <row r="595" ht="15.75" customHeight="1">
      <c r="G595" s="395"/>
    </row>
    <row r="596" ht="15.75" customHeight="1">
      <c r="G596" s="395"/>
    </row>
    <row r="597" ht="15.75" customHeight="1">
      <c r="G597" s="395"/>
    </row>
    <row r="598" ht="15.75" customHeight="1">
      <c r="G598" s="395"/>
    </row>
    <row r="599" ht="15.75" customHeight="1">
      <c r="G599" s="395"/>
    </row>
    <row r="600" ht="15.75" customHeight="1">
      <c r="G600" s="395"/>
    </row>
    <row r="601" ht="15.75" customHeight="1">
      <c r="G601" s="395"/>
    </row>
    <row r="602" ht="15.75" customHeight="1">
      <c r="G602" s="395"/>
    </row>
    <row r="603" ht="15.75" customHeight="1">
      <c r="G603" s="395"/>
    </row>
    <row r="604" ht="15.75" customHeight="1">
      <c r="G604" s="395"/>
    </row>
    <row r="605" ht="15.75" customHeight="1">
      <c r="G605" s="395"/>
    </row>
    <row r="606" ht="15.75" customHeight="1">
      <c r="G606" s="395"/>
    </row>
    <row r="607" ht="15.75" customHeight="1">
      <c r="G607" s="395"/>
    </row>
    <row r="608" ht="15.75" customHeight="1">
      <c r="G608" s="395"/>
    </row>
    <row r="609" ht="15.75" customHeight="1">
      <c r="G609" s="395"/>
    </row>
    <row r="610" ht="15.75" customHeight="1">
      <c r="G610" s="395"/>
    </row>
    <row r="611" ht="15.75" customHeight="1">
      <c r="G611" s="395"/>
    </row>
    <row r="612" ht="15.75" customHeight="1">
      <c r="G612" s="395"/>
    </row>
    <row r="613" ht="15.75" customHeight="1">
      <c r="G613" s="395"/>
    </row>
    <row r="614" ht="15.75" customHeight="1">
      <c r="G614" s="395"/>
    </row>
    <row r="615" ht="15.75" customHeight="1">
      <c r="G615" s="395"/>
    </row>
    <row r="616" ht="15.75" customHeight="1">
      <c r="G616" s="395"/>
    </row>
    <row r="617" ht="15.75" customHeight="1">
      <c r="G617" s="395"/>
    </row>
    <row r="618" ht="15.75" customHeight="1">
      <c r="G618" s="395"/>
    </row>
    <row r="619" ht="15.75" customHeight="1">
      <c r="G619" s="395"/>
    </row>
    <row r="620" ht="15.75" customHeight="1">
      <c r="G620" s="395"/>
    </row>
    <row r="621" ht="15.75" customHeight="1">
      <c r="G621" s="395"/>
    </row>
    <row r="622" ht="15.75" customHeight="1">
      <c r="G622" s="395"/>
    </row>
    <row r="623" ht="15.75" customHeight="1">
      <c r="G623" s="395"/>
    </row>
    <row r="624" ht="15.75" customHeight="1">
      <c r="G624" s="395"/>
    </row>
    <row r="625" ht="15.75" customHeight="1">
      <c r="G625" s="395"/>
    </row>
    <row r="626" ht="15.75" customHeight="1">
      <c r="G626" s="395"/>
    </row>
    <row r="627" ht="15.75" customHeight="1">
      <c r="G627" s="395"/>
    </row>
    <row r="628" ht="15.75" customHeight="1">
      <c r="G628" s="395"/>
    </row>
    <row r="629" ht="15.75" customHeight="1">
      <c r="G629" s="395"/>
    </row>
    <row r="630" ht="15.75" customHeight="1">
      <c r="G630" s="395"/>
    </row>
    <row r="631" ht="15.75" customHeight="1">
      <c r="G631" s="395"/>
    </row>
    <row r="632" ht="15.75" customHeight="1">
      <c r="G632" s="395"/>
    </row>
    <row r="633" ht="15.75" customHeight="1">
      <c r="G633" s="395"/>
    </row>
    <row r="634" ht="15.75" customHeight="1">
      <c r="G634" s="395"/>
    </row>
    <row r="635" ht="15.75" customHeight="1">
      <c r="G635" s="395"/>
    </row>
    <row r="636" ht="15.75" customHeight="1">
      <c r="G636" s="395"/>
    </row>
    <row r="637" ht="15.75" customHeight="1">
      <c r="G637" s="395"/>
    </row>
    <row r="638" ht="15.75" customHeight="1">
      <c r="G638" s="395"/>
    </row>
    <row r="639" ht="15.75" customHeight="1">
      <c r="G639" s="395"/>
    </row>
    <row r="640" ht="15.75" customHeight="1">
      <c r="G640" s="395"/>
    </row>
    <row r="641" ht="15.75" customHeight="1">
      <c r="G641" s="395"/>
    </row>
    <row r="642" ht="15.75" customHeight="1">
      <c r="G642" s="395"/>
    </row>
    <row r="643" ht="15.75" customHeight="1">
      <c r="G643" s="395"/>
    </row>
    <row r="644" ht="15.75" customHeight="1">
      <c r="G644" s="395"/>
    </row>
    <row r="645" ht="15.75" customHeight="1">
      <c r="G645" s="395"/>
    </row>
    <row r="646" ht="15.75" customHeight="1">
      <c r="G646" s="395"/>
    </row>
    <row r="647" ht="15.75" customHeight="1">
      <c r="G647" s="395"/>
    </row>
    <row r="648" ht="15.75" customHeight="1">
      <c r="G648" s="395"/>
    </row>
    <row r="649" ht="15.75" customHeight="1">
      <c r="G649" s="395"/>
    </row>
    <row r="650" ht="15.75" customHeight="1">
      <c r="G650" s="395"/>
    </row>
    <row r="651" ht="15.75" customHeight="1">
      <c r="G651" s="395"/>
    </row>
    <row r="652" ht="15.75" customHeight="1">
      <c r="G652" s="395"/>
    </row>
    <row r="653" ht="15.75" customHeight="1">
      <c r="G653" s="395"/>
    </row>
    <row r="654" ht="15.75" customHeight="1">
      <c r="G654" s="395"/>
    </row>
    <row r="655" ht="15.75" customHeight="1">
      <c r="G655" s="395"/>
    </row>
    <row r="656" ht="15.75" customHeight="1">
      <c r="G656" s="395"/>
    </row>
    <row r="657" ht="15.75" customHeight="1">
      <c r="G657" s="395"/>
    </row>
    <row r="658" ht="15.75" customHeight="1">
      <c r="G658" s="395"/>
    </row>
    <row r="659" ht="15.75" customHeight="1">
      <c r="G659" s="395"/>
    </row>
    <row r="660" ht="15.75" customHeight="1">
      <c r="G660" s="395"/>
    </row>
    <row r="661" ht="15.75" customHeight="1">
      <c r="G661" s="395"/>
    </row>
    <row r="662" ht="15.75" customHeight="1">
      <c r="G662" s="395"/>
    </row>
    <row r="663" ht="15.75" customHeight="1">
      <c r="G663" s="395"/>
    </row>
    <row r="664" ht="15.75" customHeight="1">
      <c r="G664" s="395"/>
    </row>
    <row r="665" ht="15.75" customHeight="1">
      <c r="G665" s="395"/>
    </row>
    <row r="666" ht="15.75" customHeight="1">
      <c r="G666" s="395"/>
    </row>
    <row r="667" ht="15.75" customHeight="1">
      <c r="G667" s="395"/>
    </row>
    <row r="668" ht="15.75" customHeight="1">
      <c r="G668" s="395"/>
    </row>
    <row r="669" ht="15.75" customHeight="1">
      <c r="G669" s="395"/>
    </row>
    <row r="670" ht="15.75" customHeight="1">
      <c r="G670" s="395"/>
    </row>
    <row r="671" ht="15.75" customHeight="1">
      <c r="G671" s="395"/>
    </row>
    <row r="672" ht="15.75" customHeight="1">
      <c r="G672" s="395"/>
    </row>
    <row r="673" ht="15.75" customHeight="1">
      <c r="G673" s="395"/>
    </row>
    <row r="674" ht="15.75" customHeight="1">
      <c r="G674" s="395"/>
    </row>
    <row r="675" ht="15.75" customHeight="1">
      <c r="G675" s="395"/>
    </row>
    <row r="676" ht="15.75" customHeight="1">
      <c r="G676" s="395"/>
    </row>
    <row r="677" ht="15.75" customHeight="1">
      <c r="G677" s="395"/>
    </row>
    <row r="678" ht="15.75" customHeight="1">
      <c r="G678" s="395"/>
    </row>
    <row r="679" ht="15.75" customHeight="1">
      <c r="G679" s="395"/>
    </row>
    <row r="680" ht="15.75" customHeight="1">
      <c r="G680" s="395"/>
    </row>
    <row r="681" ht="15.75" customHeight="1">
      <c r="G681" s="395"/>
    </row>
    <row r="682" ht="15.75" customHeight="1">
      <c r="G682" s="395"/>
    </row>
    <row r="683" ht="15.75" customHeight="1">
      <c r="G683" s="395"/>
    </row>
    <row r="684" ht="15.75" customHeight="1">
      <c r="G684" s="395"/>
    </row>
    <row r="685" ht="15.75" customHeight="1">
      <c r="G685" s="395"/>
    </row>
    <row r="686" ht="15.75" customHeight="1">
      <c r="G686" s="395"/>
    </row>
    <row r="687" ht="15.75" customHeight="1">
      <c r="G687" s="395"/>
    </row>
    <row r="688" ht="15.75" customHeight="1">
      <c r="G688" s="395"/>
    </row>
    <row r="689" ht="15.75" customHeight="1">
      <c r="G689" s="395"/>
    </row>
    <row r="690" ht="15.75" customHeight="1">
      <c r="G690" s="395"/>
    </row>
    <row r="691" ht="15.75" customHeight="1">
      <c r="G691" s="395"/>
    </row>
    <row r="692" ht="15.75" customHeight="1">
      <c r="G692" s="395"/>
    </row>
    <row r="693" ht="15.75" customHeight="1">
      <c r="G693" s="395"/>
    </row>
    <row r="694" ht="15.75" customHeight="1">
      <c r="G694" s="395"/>
    </row>
    <row r="695" ht="15.75" customHeight="1">
      <c r="G695" s="395"/>
    </row>
    <row r="696" ht="15.75" customHeight="1">
      <c r="G696" s="395"/>
    </row>
    <row r="697" ht="15.75" customHeight="1">
      <c r="G697" s="395"/>
    </row>
    <row r="698" ht="15.75" customHeight="1">
      <c r="G698" s="395"/>
    </row>
    <row r="699" ht="15.75" customHeight="1">
      <c r="G699" s="395"/>
    </row>
    <row r="700" ht="15.75" customHeight="1">
      <c r="G700" s="395"/>
    </row>
    <row r="701" ht="15.75" customHeight="1">
      <c r="G701" s="395"/>
    </row>
    <row r="702" ht="15.75" customHeight="1">
      <c r="G702" s="395"/>
    </row>
    <row r="703" ht="15.75" customHeight="1">
      <c r="G703" s="395"/>
    </row>
    <row r="704" ht="15.75" customHeight="1">
      <c r="G704" s="395"/>
    </row>
    <row r="705" ht="15.75" customHeight="1">
      <c r="G705" s="395"/>
    </row>
    <row r="706" ht="15.75" customHeight="1">
      <c r="G706" s="395"/>
    </row>
    <row r="707" ht="15.75" customHeight="1">
      <c r="G707" s="395"/>
    </row>
    <row r="708" ht="15.75" customHeight="1">
      <c r="G708" s="395"/>
    </row>
    <row r="709" ht="15.75" customHeight="1">
      <c r="G709" s="395"/>
    </row>
    <row r="710" ht="15.75" customHeight="1">
      <c r="G710" s="395"/>
    </row>
    <row r="711" ht="15.75" customHeight="1">
      <c r="G711" s="395"/>
    </row>
    <row r="712" ht="15.75" customHeight="1">
      <c r="G712" s="395"/>
    </row>
    <row r="713" ht="15.75" customHeight="1">
      <c r="G713" s="395"/>
    </row>
    <row r="714" ht="15.75" customHeight="1">
      <c r="G714" s="395"/>
    </row>
    <row r="715" ht="15.75" customHeight="1">
      <c r="G715" s="395"/>
    </row>
    <row r="716" ht="15.75" customHeight="1">
      <c r="G716" s="395"/>
    </row>
    <row r="717" ht="15.75" customHeight="1">
      <c r="G717" s="395"/>
    </row>
    <row r="718" ht="15.75" customHeight="1">
      <c r="G718" s="395"/>
    </row>
    <row r="719" ht="15.75" customHeight="1">
      <c r="G719" s="395"/>
    </row>
    <row r="720" ht="15.75" customHeight="1">
      <c r="G720" s="395"/>
    </row>
    <row r="721" ht="15.75" customHeight="1">
      <c r="G721" s="395"/>
    </row>
    <row r="722" ht="15.75" customHeight="1">
      <c r="G722" s="395"/>
    </row>
    <row r="723" ht="15.75" customHeight="1">
      <c r="G723" s="395"/>
    </row>
    <row r="724" ht="15.75" customHeight="1">
      <c r="G724" s="395"/>
    </row>
    <row r="725" ht="15.75" customHeight="1">
      <c r="G725" s="395"/>
    </row>
    <row r="726" ht="15.75" customHeight="1">
      <c r="G726" s="395"/>
    </row>
    <row r="727" ht="15.75" customHeight="1">
      <c r="G727" s="395"/>
    </row>
    <row r="728" ht="15.75" customHeight="1">
      <c r="G728" s="395"/>
    </row>
    <row r="729" ht="15.75" customHeight="1">
      <c r="G729" s="395"/>
    </row>
    <row r="730" ht="15.75" customHeight="1">
      <c r="G730" s="395"/>
    </row>
    <row r="731" ht="15.75" customHeight="1">
      <c r="G731" s="395"/>
    </row>
    <row r="732" ht="15.75" customHeight="1">
      <c r="G732" s="395"/>
    </row>
    <row r="733" ht="15.75" customHeight="1">
      <c r="G733" s="395"/>
    </row>
    <row r="734" ht="15.75" customHeight="1">
      <c r="G734" s="395"/>
    </row>
    <row r="735" ht="15.75" customHeight="1">
      <c r="G735" s="395"/>
    </row>
    <row r="736" ht="15.75" customHeight="1">
      <c r="G736" s="395"/>
    </row>
    <row r="737" ht="15.75" customHeight="1">
      <c r="G737" s="395"/>
    </row>
    <row r="738" ht="15.75" customHeight="1">
      <c r="G738" s="395"/>
    </row>
    <row r="739" ht="15.75" customHeight="1">
      <c r="G739" s="395"/>
    </row>
    <row r="740" ht="15.75" customHeight="1">
      <c r="G740" s="395"/>
    </row>
    <row r="741" ht="15.75" customHeight="1">
      <c r="G741" s="395"/>
    </row>
    <row r="742" ht="15.75" customHeight="1">
      <c r="G742" s="395"/>
    </row>
    <row r="743" ht="15.75" customHeight="1">
      <c r="G743" s="395"/>
    </row>
    <row r="744" ht="15.75" customHeight="1">
      <c r="G744" s="395"/>
    </row>
    <row r="745" ht="15.75" customHeight="1">
      <c r="G745" s="395"/>
    </row>
    <row r="746" ht="15.75" customHeight="1">
      <c r="G746" s="395"/>
    </row>
    <row r="747" ht="15.75" customHeight="1">
      <c r="G747" s="395"/>
    </row>
    <row r="748" ht="15.75" customHeight="1">
      <c r="G748" s="395"/>
    </row>
    <row r="749" ht="15.75" customHeight="1">
      <c r="G749" s="395"/>
    </row>
    <row r="750" ht="15.75" customHeight="1">
      <c r="G750" s="395"/>
    </row>
    <row r="751" ht="15.75" customHeight="1">
      <c r="G751" s="395"/>
    </row>
    <row r="752" ht="15.75" customHeight="1">
      <c r="G752" s="395"/>
    </row>
    <row r="753" ht="15.75" customHeight="1">
      <c r="G753" s="395"/>
    </row>
    <row r="754" ht="15.75" customHeight="1">
      <c r="G754" s="395"/>
    </row>
    <row r="755" ht="15.75" customHeight="1">
      <c r="G755" s="395"/>
    </row>
    <row r="756" ht="15.75" customHeight="1">
      <c r="G756" s="395"/>
    </row>
    <row r="757" ht="15.75" customHeight="1">
      <c r="G757" s="395"/>
    </row>
    <row r="758" ht="15.75" customHeight="1">
      <c r="G758" s="395"/>
    </row>
    <row r="759" ht="15.75" customHeight="1">
      <c r="G759" s="395"/>
    </row>
    <row r="760" ht="15.75" customHeight="1">
      <c r="G760" s="395"/>
    </row>
    <row r="761" ht="15.75" customHeight="1">
      <c r="G761" s="395"/>
    </row>
    <row r="762" ht="15.75" customHeight="1">
      <c r="G762" s="395"/>
    </row>
    <row r="763" ht="15.75" customHeight="1">
      <c r="G763" s="395"/>
    </row>
    <row r="764" ht="15.75" customHeight="1">
      <c r="G764" s="395"/>
    </row>
    <row r="765" ht="15.75" customHeight="1">
      <c r="G765" s="395"/>
    </row>
    <row r="766" ht="15.75" customHeight="1">
      <c r="G766" s="395"/>
    </row>
    <row r="767" ht="15.75" customHeight="1">
      <c r="G767" s="395"/>
    </row>
    <row r="768" ht="15.75" customHeight="1">
      <c r="G768" s="395"/>
    </row>
    <row r="769" ht="15.75" customHeight="1">
      <c r="G769" s="395"/>
    </row>
    <row r="770" ht="15.75" customHeight="1">
      <c r="G770" s="395"/>
    </row>
    <row r="771" ht="15.75" customHeight="1">
      <c r="G771" s="395"/>
    </row>
    <row r="772" ht="15.75" customHeight="1">
      <c r="G772" s="395"/>
    </row>
    <row r="773" ht="15.75" customHeight="1">
      <c r="G773" s="395"/>
    </row>
    <row r="774" ht="15.75" customHeight="1">
      <c r="G774" s="395"/>
    </row>
    <row r="775" ht="15.75" customHeight="1">
      <c r="G775" s="395"/>
    </row>
    <row r="776" ht="15.75" customHeight="1">
      <c r="G776" s="395"/>
    </row>
    <row r="777" ht="15.75" customHeight="1">
      <c r="G777" s="395"/>
    </row>
    <row r="778" ht="15.75" customHeight="1">
      <c r="G778" s="395"/>
    </row>
    <row r="779" ht="15.75" customHeight="1">
      <c r="G779" s="395"/>
    </row>
    <row r="780" ht="15.75" customHeight="1">
      <c r="G780" s="395"/>
    </row>
    <row r="781" ht="15.75" customHeight="1">
      <c r="G781" s="395"/>
    </row>
    <row r="782" ht="15.75" customHeight="1">
      <c r="G782" s="395"/>
    </row>
    <row r="783" ht="15.75" customHeight="1">
      <c r="G783" s="395"/>
    </row>
    <row r="784" ht="15.75" customHeight="1">
      <c r="G784" s="395"/>
    </row>
    <row r="785" ht="15.75" customHeight="1">
      <c r="G785" s="395"/>
    </row>
    <row r="786" ht="15.75" customHeight="1">
      <c r="G786" s="395"/>
    </row>
    <row r="787" ht="15.75" customHeight="1">
      <c r="G787" s="395"/>
    </row>
    <row r="788" ht="15.75" customHeight="1">
      <c r="G788" s="395"/>
    </row>
    <row r="789" ht="15.75" customHeight="1">
      <c r="G789" s="395"/>
    </row>
    <row r="790" ht="15.75" customHeight="1">
      <c r="G790" s="395"/>
    </row>
    <row r="791" ht="15.75" customHeight="1">
      <c r="G791" s="395"/>
    </row>
    <row r="792" ht="15.75" customHeight="1">
      <c r="G792" s="395"/>
    </row>
    <row r="793" ht="15.75" customHeight="1">
      <c r="G793" s="395"/>
    </row>
    <row r="794" ht="15.75" customHeight="1">
      <c r="G794" s="395"/>
    </row>
    <row r="795" ht="15.75" customHeight="1">
      <c r="G795" s="395"/>
    </row>
    <row r="796" ht="15.75" customHeight="1">
      <c r="G796" s="395"/>
    </row>
    <row r="797" ht="15.75" customHeight="1">
      <c r="G797" s="395"/>
    </row>
    <row r="798" ht="15.75" customHeight="1">
      <c r="G798" s="395"/>
    </row>
    <row r="799" ht="15.75" customHeight="1">
      <c r="G799" s="395"/>
    </row>
    <row r="800" ht="15.75" customHeight="1">
      <c r="G800" s="395"/>
    </row>
    <row r="801" ht="15.75" customHeight="1">
      <c r="G801" s="395"/>
    </row>
    <row r="802" ht="15.75" customHeight="1">
      <c r="G802" s="395"/>
    </row>
    <row r="803" ht="15.75" customHeight="1">
      <c r="G803" s="395"/>
    </row>
    <row r="804" ht="15.75" customHeight="1">
      <c r="G804" s="395"/>
    </row>
    <row r="805" ht="15.75" customHeight="1">
      <c r="G805" s="395"/>
    </row>
    <row r="806" ht="15.75" customHeight="1">
      <c r="G806" s="395"/>
    </row>
    <row r="807" ht="15.75" customHeight="1">
      <c r="G807" s="395"/>
    </row>
    <row r="808" ht="15.75" customHeight="1">
      <c r="G808" s="395"/>
    </row>
    <row r="809" ht="15.75" customHeight="1">
      <c r="G809" s="395"/>
    </row>
    <row r="810" ht="15.75" customHeight="1">
      <c r="G810" s="395"/>
    </row>
    <row r="811" ht="15.75" customHeight="1">
      <c r="G811" s="395"/>
    </row>
    <row r="812" ht="15.75" customHeight="1">
      <c r="G812" s="395"/>
    </row>
    <row r="813" ht="15.75" customHeight="1">
      <c r="G813" s="395"/>
    </row>
    <row r="814" ht="15.75" customHeight="1">
      <c r="G814" s="395"/>
    </row>
    <row r="815" ht="15.75" customHeight="1">
      <c r="G815" s="395"/>
    </row>
    <row r="816" ht="15.75" customHeight="1">
      <c r="G816" s="395"/>
    </row>
    <row r="817" ht="15.75" customHeight="1">
      <c r="G817" s="395"/>
    </row>
    <row r="818" ht="15.75" customHeight="1">
      <c r="G818" s="395"/>
    </row>
    <row r="819" ht="15.75" customHeight="1">
      <c r="G819" s="395"/>
    </row>
    <row r="820" ht="15.75" customHeight="1">
      <c r="G820" s="395"/>
    </row>
    <row r="821" ht="15.75" customHeight="1">
      <c r="G821" s="395"/>
    </row>
    <row r="822" ht="15.75" customHeight="1">
      <c r="G822" s="395"/>
    </row>
    <row r="823" ht="15.75" customHeight="1">
      <c r="G823" s="395"/>
    </row>
    <row r="824" ht="15.75" customHeight="1">
      <c r="G824" s="395"/>
    </row>
    <row r="825" ht="15.75" customHeight="1">
      <c r="G825" s="395"/>
    </row>
    <row r="826" ht="15.75" customHeight="1">
      <c r="G826" s="395"/>
    </row>
    <row r="827" ht="15.75" customHeight="1">
      <c r="G827" s="395"/>
    </row>
    <row r="828" ht="15.75" customHeight="1">
      <c r="G828" s="395"/>
    </row>
    <row r="829" ht="15.75" customHeight="1">
      <c r="G829" s="395"/>
    </row>
    <row r="830" ht="15.75" customHeight="1">
      <c r="G830" s="395"/>
    </row>
    <row r="831" ht="15.75" customHeight="1">
      <c r="G831" s="395"/>
    </row>
    <row r="832" ht="15.75" customHeight="1">
      <c r="G832" s="395"/>
    </row>
    <row r="833" ht="15.75" customHeight="1">
      <c r="G833" s="395"/>
    </row>
    <row r="834" ht="15.75" customHeight="1">
      <c r="G834" s="395"/>
    </row>
    <row r="835" ht="15.75" customHeight="1">
      <c r="G835" s="395"/>
    </row>
    <row r="836" ht="15.75" customHeight="1">
      <c r="G836" s="395"/>
    </row>
    <row r="837" ht="15.75" customHeight="1">
      <c r="G837" s="395"/>
    </row>
    <row r="838" ht="15.75" customHeight="1">
      <c r="G838" s="395"/>
    </row>
    <row r="839" ht="15.75" customHeight="1">
      <c r="G839" s="395"/>
    </row>
    <row r="840" ht="15.75" customHeight="1">
      <c r="G840" s="395"/>
    </row>
    <row r="841" ht="15.75" customHeight="1">
      <c r="G841" s="395"/>
    </row>
    <row r="842" ht="15.75" customHeight="1">
      <c r="G842" s="395"/>
    </row>
    <row r="843" ht="15.75" customHeight="1">
      <c r="G843" s="395"/>
    </row>
    <row r="844" ht="15.75" customHeight="1">
      <c r="G844" s="395"/>
    </row>
    <row r="845" ht="15.75" customHeight="1">
      <c r="G845" s="395"/>
    </row>
    <row r="846" ht="15.75" customHeight="1">
      <c r="G846" s="395"/>
    </row>
    <row r="847" ht="15.75" customHeight="1">
      <c r="G847" s="395"/>
    </row>
    <row r="848" ht="15.75" customHeight="1">
      <c r="G848" s="395"/>
    </row>
    <row r="849" ht="15.75" customHeight="1">
      <c r="G849" s="395"/>
    </row>
    <row r="850" ht="15.75" customHeight="1">
      <c r="G850" s="395"/>
    </row>
    <row r="851" ht="15.75" customHeight="1">
      <c r="G851" s="395"/>
    </row>
    <row r="852" ht="15.75" customHeight="1">
      <c r="G852" s="395"/>
    </row>
    <row r="853" ht="15.75" customHeight="1">
      <c r="G853" s="395"/>
    </row>
    <row r="854" ht="15.75" customHeight="1">
      <c r="G854" s="395"/>
    </row>
    <row r="855" ht="15.75" customHeight="1">
      <c r="G855" s="395"/>
    </row>
    <row r="856" ht="15.75" customHeight="1">
      <c r="G856" s="395"/>
    </row>
    <row r="857" ht="15.75" customHeight="1">
      <c r="G857" s="395"/>
    </row>
    <row r="858" ht="15.75" customHeight="1">
      <c r="G858" s="395"/>
    </row>
    <row r="859" ht="15.75" customHeight="1">
      <c r="G859" s="395"/>
    </row>
    <row r="860" ht="15.75" customHeight="1">
      <c r="G860" s="395"/>
    </row>
    <row r="861" ht="15.75" customHeight="1">
      <c r="G861" s="395"/>
    </row>
    <row r="862" ht="15.75" customHeight="1">
      <c r="G862" s="395"/>
    </row>
    <row r="863" ht="15.75" customHeight="1">
      <c r="G863" s="395"/>
    </row>
    <row r="864" ht="15.75" customHeight="1">
      <c r="G864" s="395"/>
    </row>
    <row r="865" ht="15.75" customHeight="1">
      <c r="G865" s="395"/>
    </row>
    <row r="866" ht="15.75" customHeight="1">
      <c r="G866" s="395"/>
    </row>
    <row r="867" ht="15.75" customHeight="1">
      <c r="G867" s="395"/>
    </row>
    <row r="868" ht="15.75" customHeight="1">
      <c r="G868" s="395"/>
    </row>
    <row r="869" ht="15.75" customHeight="1">
      <c r="G869" s="395"/>
    </row>
    <row r="870" ht="15.75" customHeight="1">
      <c r="G870" s="395"/>
    </row>
    <row r="871" ht="15.75" customHeight="1">
      <c r="G871" s="395"/>
    </row>
    <row r="872" ht="15.75" customHeight="1">
      <c r="G872" s="395"/>
    </row>
    <row r="873" ht="15.75" customHeight="1">
      <c r="G873" s="395"/>
    </row>
    <row r="874" ht="15.75" customHeight="1">
      <c r="G874" s="395"/>
    </row>
    <row r="875" ht="15.75" customHeight="1">
      <c r="G875" s="395"/>
    </row>
    <row r="876" ht="15.75" customHeight="1">
      <c r="G876" s="395"/>
    </row>
    <row r="877" ht="15.75" customHeight="1">
      <c r="G877" s="395"/>
    </row>
    <row r="878" ht="15.75" customHeight="1">
      <c r="G878" s="395"/>
    </row>
    <row r="879" ht="15.75" customHeight="1">
      <c r="G879" s="395"/>
    </row>
    <row r="880" ht="15.75" customHeight="1">
      <c r="G880" s="395"/>
    </row>
    <row r="881" ht="15.75" customHeight="1">
      <c r="G881" s="395"/>
    </row>
    <row r="882" ht="15.75" customHeight="1">
      <c r="G882" s="395"/>
    </row>
    <row r="883" ht="15.75" customHeight="1">
      <c r="G883" s="395"/>
    </row>
    <row r="884" ht="15.75" customHeight="1">
      <c r="G884" s="395"/>
    </row>
    <row r="885" ht="15.75" customHeight="1">
      <c r="G885" s="395"/>
    </row>
    <row r="886" ht="15.75" customHeight="1">
      <c r="G886" s="395"/>
    </row>
    <row r="887" ht="15.75" customHeight="1">
      <c r="G887" s="395"/>
    </row>
    <row r="888" ht="15.75" customHeight="1">
      <c r="G888" s="395"/>
    </row>
    <row r="889" ht="15.75" customHeight="1">
      <c r="G889" s="395"/>
    </row>
    <row r="890" ht="15.75" customHeight="1">
      <c r="G890" s="395"/>
    </row>
    <row r="891" ht="15.75" customHeight="1">
      <c r="G891" s="395"/>
    </row>
    <row r="892" ht="15.75" customHeight="1">
      <c r="G892" s="395"/>
    </row>
    <row r="893" ht="15.75" customHeight="1">
      <c r="G893" s="395"/>
    </row>
    <row r="894" ht="15.75" customHeight="1">
      <c r="G894" s="395"/>
    </row>
    <row r="895" ht="15.75" customHeight="1">
      <c r="G895" s="395"/>
    </row>
    <row r="896" ht="15.75" customHeight="1">
      <c r="G896" s="395"/>
    </row>
    <row r="897" ht="15.75" customHeight="1">
      <c r="G897" s="395"/>
    </row>
    <row r="898" ht="15.75" customHeight="1">
      <c r="G898" s="395"/>
    </row>
    <row r="899" ht="15.75" customHeight="1">
      <c r="G899" s="395"/>
    </row>
    <row r="900" ht="15.75" customHeight="1">
      <c r="G900" s="395"/>
    </row>
    <row r="901" ht="15.75" customHeight="1">
      <c r="G901" s="395"/>
    </row>
    <row r="902" ht="15.75" customHeight="1">
      <c r="G902" s="395"/>
    </row>
    <row r="903" ht="15.75" customHeight="1">
      <c r="G903" s="395"/>
    </row>
    <row r="904" ht="15.75" customHeight="1">
      <c r="G904" s="395"/>
    </row>
    <row r="905" ht="15.75" customHeight="1">
      <c r="G905" s="395"/>
    </row>
    <row r="906" ht="15.75" customHeight="1">
      <c r="G906" s="395"/>
    </row>
    <row r="907" ht="15.75" customHeight="1">
      <c r="G907" s="395"/>
    </row>
    <row r="908" ht="15.75" customHeight="1">
      <c r="G908" s="395"/>
    </row>
    <row r="909" ht="15.75" customHeight="1">
      <c r="G909" s="395"/>
    </row>
    <row r="910" ht="15.75" customHeight="1">
      <c r="G910" s="395"/>
    </row>
    <row r="911" ht="15.75" customHeight="1">
      <c r="G911" s="395"/>
    </row>
    <row r="912" ht="15.75" customHeight="1">
      <c r="G912" s="395"/>
    </row>
    <row r="913" ht="15.75" customHeight="1">
      <c r="G913" s="395"/>
    </row>
    <row r="914" ht="15.75" customHeight="1">
      <c r="G914" s="395"/>
    </row>
    <row r="915" ht="15.75" customHeight="1">
      <c r="G915" s="395"/>
    </row>
    <row r="916" ht="15.75" customHeight="1">
      <c r="G916" s="395"/>
    </row>
    <row r="917" ht="15.75" customHeight="1">
      <c r="G917" s="395"/>
    </row>
    <row r="918" ht="15.75" customHeight="1">
      <c r="G918" s="395"/>
    </row>
    <row r="919" ht="15.75" customHeight="1">
      <c r="G919" s="395"/>
    </row>
    <row r="920" ht="15.75" customHeight="1">
      <c r="G920" s="395"/>
    </row>
    <row r="921" ht="15.75" customHeight="1">
      <c r="G921" s="395"/>
    </row>
    <row r="922" ht="15.75" customHeight="1">
      <c r="G922" s="395"/>
    </row>
    <row r="923" ht="15.75" customHeight="1">
      <c r="G923" s="395"/>
    </row>
    <row r="924" ht="15.75" customHeight="1">
      <c r="G924" s="395"/>
    </row>
    <row r="925" ht="15.75" customHeight="1">
      <c r="G925" s="395"/>
    </row>
    <row r="926" ht="15.75" customHeight="1">
      <c r="G926" s="395"/>
    </row>
    <row r="927" ht="15.75" customHeight="1">
      <c r="G927" s="395"/>
    </row>
    <row r="928" ht="15.75" customHeight="1">
      <c r="G928" s="395"/>
    </row>
    <row r="929" ht="15.75" customHeight="1">
      <c r="G929" s="395"/>
    </row>
    <row r="930" ht="15.75" customHeight="1">
      <c r="G930" s="395"/>
    </row>
    <row r="931" ht="15.75" customHeight="1">
      <c r="G931" s="395"/>
    </row>
    <row r="932" ht="15.75" customHeight="1">
      <c r="G932" s="395"/>
    </row>
    <row r="933" ht="15.75" customHeight="1">
      <c r="G933" s="395"/>
    </row>
    <row r="934" ht="15.75" customHeight="1">
      <c r="G934" s="395"/>
    </row>
    <row r="935" ht="15.75" customHeight="1">
      <c r="G935" s="395"/>
    </row>
    <row r="936" ht="15.75" customHeight="1">
      <c r="G936" s="395"/>
    </row>
    <row r="937" ht="15.75" customHeight="1">
      <c r="G937" s="395"/>
    </row>
    <row r="938" ht="15.75" customHeight="1">
      <c r="G938" s="395"/>
    </row>
    <row r="939" ht="15.75" customHeight="1">
      <c r="G939" s="395"/>
    </row>
    <row r="940" ht="15.75" customHeight="1">
      <c r="G940" s="395"/>
    </row>
    <row r="941" ht="15.75" customHeight="1">
      <c r="G941" s="395"/>
    </row>
    <row r="942" ht="15.75" customHeight="1">
      <c r="G942" s="395"/>
    </row>
    <row r="943" ht="15.75" customHeight="1">
      <c r="G943" s="395"/>
    </row>
    <row r="944" ht="15.75" customHeight="1">
      <c r="G944" s="395"/>
    </row>
    <row r="945" ht="15.75" customHeight="1">
      <c r="G945" s="395"/>
    </row>
    <row r="946" ht="15.75" customHeight="1">
      <c r="G946" s="395"/>
    </row>
    <row r="947" ht="15.75" customHeight="1">
      <c r="G947" s="395"/>
    </row>
    <row r="948" ht="15.75" customHeight="1">
      <c r="G948" s="395"/>
    </row>
    <row r="949" ht="15.75" customHeight="1">
      <c r="G949" s="395"/>
    </row>
    <row r="950" ht="15.75" customHeight="1">
      <c r="G950" s="395"/>
    </row>
    <row r="951" ht="15.75" customHeight="1">
      <c r="G951" s="395"/>
    </row>
    <row r="952" ht="15.75" customHeight="1">
      <c r="G952" s="395"/>
    </row>
    <row r="953" ht="15.75" customHeight="1">
      <c r="G953" s="395"/>
    </row>
    <row r="954" ht="15.75" customHeight="1">
      <c r="G954" s="395"/>
    </row>
    <row r="955" ht="15.75" customHeight="1">
      <c r="G955" s="395"/>
    </row>
    <row r="956" ht="15.75" customHeight="1">
      <c r="G956" s="395"/>
    </row>
    <row r="957" ht="15.75" customHeight="1">
      <c r="G957" s="395"/>
    </row>
    <row r="958" ht="15.75" customHeight="1">
      <c r="G958" s="395"/>
    </row>
    <row r="959" ht="15.75" customHeight="1">
      <c r="G959" s="395"/>
    </row>
    <row r="960" ht="15.75" customHeight="1">
      <c r="G960" s="395"/>
    </row>
    <row r="961" ht="15.75" customHeight="1">
      <c r="G961" s="395"/>
    </row>
    <row r="962" ht="15.75" customHeight="1">
      <c r="G962" s="395"/>
    </row>
    <row r="963" ht="15.75" customHeight="1">
      <c r="G963" s="395"/>
    </row>
    <row r="964" ht="15.75" customHeight="1">
      <c r="G964" s="395"/>
    </row>
    <row r="965" ht="15.75" customHeight="1">
      <c r="G965" s="395"/>
    </row>
    <row r="966" ht="15.75" customHeight="1">
      <c r="G966" s="395"/>
    </row>
    <row r="967" ht="15.75" customHeight="1">
      <c r="G967" s="395"/>
    </row>
    <row r="968" ht="15.75" customHeight="1">
      <c r="G968" s="395"/>
    </row>
    <row r="969" ht="15.75" customHeight="1">
      <c r="G969" s="395"/>
    </row>
    <row r="970" ht="15.75" customHeight="1">
      <c r="G970" s="395"/>
    </row>
    <row r="971" ht="15.75" customHeight="1">
      <c r="G971" s="395"/>
    </row>
    <row r="972" ht="15.75" customHeight="1">
      <c r="G972" s="395"/>
    </row>
    <row r="973" ht="15.75" customHeight="1">
      <c r="G973" s="395"/>
    </row>
    <row r="974" ht="15.75" customHeight="1">
      <c r="G974" s="395"/>
    </row>
    <row r="975" ht="15.75" customHeight="1">
      <c r="G975" s="395"/>
    </row>
    <row r="976" ht="15.75" customHeight="1">
      <c r="G976" s="395"/>
    </row>
    <row r="977" ht="15.75" customHeight="1">
      <c r="G977" s="395"/>
    </row>
    <row r="978" ht="15.75" customHeight="1">
      <c r="G978" s="395"/>
    </row>
    <row r="979" ht="15.75" customHeight="1">
      <c r="G979" s="395"/>
    </row>
    <row r="980" ht="15.75" customHeight="1">
      <c r="G980" s="395"/>
    </row>
    <row r="981" ht="15.75" customHeight="1">
      <c r="G981" s="395"/>
    </row>
    <row r="982" ht="15.75" customHeight="1">
      <c r="G982" s="395"/>
    </row>
    <row r="983" ht="15.75" customHeight="1">
      <c r="G983" s="395"/>
    </row>
    <row r="984" ht="15.75" customHeight="1">
      <c r="G984" s="395"/>
    </row>
    <row r="985" ht="15.75" customHeight="1">
      <c r="G985" s="395"/>
    </row>
    <row r="986" ht="15.75" customHeight="1">
      <c r="G986" s="395"/>
    </row>
    <row r="987" ht="15.75" customHeight="1">
      <c r="G987" s="395"/>
    </row>
    <row r="988" ht="15.75" customHeight="1">
      <c r="G988" s="395"/>
    </row>
    <row r="989" ht="15.75" customHeight="1">
      <c r="G989" s="395"/>
    </row>
    <row r="990" ht="15.75" customHeight="1">
      <c r="G990" s="395"/>
    </row>
    <row r="991" ht="15.75" customHeight="1">
      <c r="G991" s="395"/>
    </row>
    <row r="992" ht="15.75" customHeight="1">
      <c r="G992" s="395"/>
    </row>
    <row r="993" ht="15.75" customHeight="1">
      <c r="G993" s="395"/>
    </row>
    <row r="994" ht="15.75" customHeight="1">
      <c r="G994" s="395"/>
    </row>
    <row r="995" ht="15.75" customHeight="1">
      <c r="G995" s="395"/>
    </row>
    <row r="996" ht="15.75" customHeight="1">
      <c r="G996" s="395"/>
    </row>
    <row r="997" ht="15.75" customHeight="1">
      <c r="G997" s="395"/>
    </row>
    <row r="998" ht="15.75" customHeight="1">
      <c r="G998" s="395"/>
    </row>
    <row r="999" ht="15.75" customHeight="1">
      <c r="G999" s="395"/>
    </row>
    <row r="1000" ht="15.75" customHeight="1">
      <c r="G1000" s="395"/>
    </row>
  </sheetData>
  <autoFilter ref="$B$5:$M$106"/>
  <mergeCells count="3">
    <mergeCell ref="B1:D2"/>
    <mergeCell ref="E1:M1"/>
    <mergeCell ref="E2:M2"/>
  </mergeCells>
  <conditionalFormatting sqref="J6:J106">
    <cfRule type="cellIs" dxfId="23" priority="1" stopIfTrue="1" operator="equal">
      <formula>0</formula>
    </cfRule>
  </conditionalFormatting>
  <conditionalFormatting sqref="J6:J106">
    <cfRule type="cellIs" dxfId="24" priority="2" stopIfTrue="1" operator="equal">
      <formula>0</formula>
    </cfRule>
  </conditionalFormatting>
  <conditionalFormatting sqref="J6:J106">
    <cfRule type="cellIs" dxfId="25" priority="3" stopIfTrue="1" operator="equal">
      <formula>0</formula>
    </cfRule>
  </conditionalFormatting>
  <conditionalFormatting sqref="K6:K106">
    <cfRule type="cellIs" dxfId="2" priority="4" stopIfTrue="1" operator="equal">
      <formula>0</formula>
    </cfRule>
  </conditionalFormatting>
  <conditionalFormatting sqref="K6:K106">
    <cfRule type="cellIs" dxfId="0" priority="5" stopIfTrue="1" operator="equal">
      <formula>0</formula>
    </cfRule>
  </conditionalFormatting>
  <conditionalFormatting sqref="A6:M106">
    <cfRule type="expression" dxfId="22" priority="6" stopIfTrue="1">
      <formula>ISEVEN(ROW())</formula>
    </cfRule>
  </conditionalFormatting>
  <conditionalFormatting sqref="A6:A105">
    <cfRule type="cellIs" dxfId="3" priority="7" stopIfTrue="1" operator="equal">
      <formula>"Visitante"</formula>
    </cfRule>
  </conditionalFormatting>
  <conditionalFormatting sqref="A6:A105">
    <cfRule type="cellIs" dxfId="13" priority="8" stopIfTrue="1" operator="equal">
      <formula>"Profissional PF"</formula>
    </cfRule>
  </conditionalFormatting>
  <conditionalFormatting sqref="A6:A105">
    <cfRule type="cellIs" dxfId="12" priority="9" stopIfTrue="1" operator="equal">
      <formula>"Fornecedor PJ"</formula>
    </cfRule>
  </conditionalFormatting>
  <conditionalFormatting sqref="A6:A105">
    <cfRule type="cellIs" dxfId="4" priority="10" stopIfTrue="1" operator="equal">
      <formula>"Gestão"</formula>
    </cfRule>
  </conditionalFormatting>
  <dataValidations>
    <dataValidation type="list" allowBlank="1" showErrorMessage="1" sqref="A6:A105">
      <formula1>"Visitante,Profissional PF,Fornecedor PJ,Gestão"</formula1>
    </dataValidation>
    <dataValidation type="list" allowBlank="1" sqref="C6:C106">
      <formula1>"Pedreiro,Servente,Ajudante,Encarregado,Mestre de obras,Engenheiro civil,Eletricista,Encanador/Bombeiro,Carpinteiro,Pintor,Soldador,Gesseiro,Marmorista,Marceneiro,Vidraceiro,Serralheiro,Segurança do Trabalho,Arquiteto,Outro"</formula1>
    </dataValidation>
    <dataValidation type="list" allowBlank="1" sqref="J6:J106">
      <formula1>"OK,Pendente,N/A"</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4.43" defaultRowHeight="15.0"/>
  <cols>
    <col customWidth="1" min="1" max="1" width="9.0"/>
    <col customWidth="1" min="2" max="2" width="28.0"/>
    <col customWidth="1" min="3" max="3" width="16.0"/>
    <col customWidth="1" min="4" max="4" width="18.86"/>
    <col customWidth="1" min="5" max="5" width="17.14"/>
    <col customWidth="1" min="6" max="6" width="18.0"/>
    <col customWidth="1" min="7" max="7" width="14.43"/>
    <col customWidth="1" min="8" max="8" width="28.71"/>
  </cols>
  <sheetData>
    <row r="1" ht="27.75" customHeight="1">
      <c r="A1" s="89" t="s">
        <v>211</v>
      </c>
      <c r="B1" s="90"/>
      <c r="C1" s="90"/>
      <c r="D1" s="91" t="s">
        <v>212</v>
      </c>
      <c r="E1" s="92"/>
      <c r="F1" s="92"/>
      <c r="G1" s="403"/>
      <c r="H1" s="403"/>
    </row>
    <row r="2" ht="21.75" customHeight="1">
      <c r="A2" s="93"/>
      <c r="D2" s="94" t="s">
        <v>1789</v>
      </c>
      <c r="E2" s="92"/>
      <c r="F2" s="92"/>
      <c r="G2" s="404"/>
      <c r="H2" s="404"/>
    </row>
    <row r="3" ht="3.75" customHeight="1">
      <c r="A3" s="95"/>
      <c r="B3" s="95"/>
      <c r="C3" s="95"/>
      <c r="D3" s="95"/>
      <c r="E3" s="95"/>
      <c r="F3" s="95"/>
      <c r="G3" s="393"/>
      <c r="H3" s="393"/>
    </row>
    <row r="4" ht="21.75" customHeight="1">
      <c r="A4" s="96" t="s">
        <v>1790</v>
      </c>
      <c r="B4" s="97"/>
      <c r="C4" s="98"/>
      <c r="D4" s="96" t="s">
        <v>185</v>
      </c>
      <c r="E4" s="97"/>
      <c r="F4" s="98"/>
      <c r="G4" s="405"/>
      <c r="H4" s="405"/>
    </row>
    <row r="5" ht="31.5" customHeight="1">
      <c r="A5" s="406">
        <f>COUNTA(B8:B500)</f>
        <v>4</v>
      </c>
      <c r="B5" s="97"/>
      <c r="C5" s="98"/>
      <c r="D5" s="407">
        <f>COUNTIF(#REF!,"Em andamento")</f>
        <v>0</v>
      </c>
      <c r="E5" s="97"/>
      <c r="F5" s="98"/>
      <c r="G5" s="408"/>
      <c r="H5" s="408"/>
    </row>
    <row r="6" ht="6.0" customHeight="1"/>
    <row r="7" ht="27.0" customHeight="1">
      <c r="A7" s="109" t="s">
        <v>17</v>
      </c>
      <c r="B7" s="109" t="s">
        <v>1791</v>
      </c>
      <c r="C7" s="109" t="s">
        <v>1792</v>
      </c>
      <c r="D7" s="109" t="s">
        <v>1727</v>
      </c>
      <c r="E7" s="109" t="s">
        <v>1793</v>
      </c>
      <c r="F7" s="109" t="s">
        <v>1794</v>
      </c>
      <c r="G7" s="396" t="s">
        <v>1732</v>
      </c>
      <c r="H7" s="396" t="s">
        <v>227</v>
      </c>
    </row>
    <row r="8" ht="24.0" customHeight="1">
      <c r="A8" s="401" t="s">
        <v>1795</v>
      </c>
      <c r="B8" s="400" t="s">
        <v>1749</v>
      </c>
      <c r="C8" s="409" t="str">
        <f t="array" ref="C8">IFERROR(INDEX(Pessoas!$E$6:$E$105,MATCH($B8,Pessoas!$D$6:$D$105,0)),"")</f>
        <v>427.15.668-44</v>
      </c>
      <c r="D8" s="409" t="str">
        <f t="array" ref="D8">IFERROR(INDEX(Pessoas!$F$6:$F$105,MATCH($B8,Pessoas!$D$6:$D$105,0)),"")</f>
        <v>(11) 9 1331-2573</v>
      </c>
      <c r="E8" s="113"/>
      <c r="F8" s="410" t="s">
        <v>65</v>
      </c>
      <c r="G8" s="411" t="s">
        <v>1796</v>
      </c>
      <c r="H8" s="411" t="s">
        <v>1796</v>
      </c>
    </row>
    <row r="9" ht="24.0" customHeight="1">
      <c r="A9" s="401" t="s">
        <v>1795</v>
      </c>
      <c r="B9" s="400" t="s">
        <v>1754</v>
      </c>
      <c r="C9" s="409" t="str">
        <f t="array" ref="C9">IFERROR(INDEX(Pessoas!$E$6:$E$105,MATCH($B9,Pessoas!$D$6:$D$105,0)),"")</f>
        <v>039.018.415-20</v>
      </c>
      <c r="D9" s="409" t="str">
        <f t="array" ref="D9">IFERROR(INDEX(Pessoas!$F$6:$F$105,MATCH($B9,Pessoas!$D$6:$D$105,0)),"")</f>
        <v>(11) 9 9318-8393</v>
      </c>
      <c r="E9" s="113"/>
      <c r="F9" s="410" t="s">
        <v>65</v>
      </c>
      <c r="G9" s="411" t="s">
        <v>1796</v>
      </c>
      <c r="H9" s="411" t="s">
        <v>1796</v>
      </c>
    </row>
    <row r="10" ht="24.0" customHeight="1">
      <c r="A10" s="401" t="s">
        <v>1795</v>
      </c>
      <c r="B10" s="400" t="s">
        <v>1757</v>
      </c>
      <c r="C10" s="409" t="str">
        <f t="array" ref="C10">IFERROR(INDEX(Pessoas!$E$6:$E$105,MATCH($B10,Pessoas!$D$6:$D$105,0)),"")</f>
        <v>126.395.356-50</v>
      </c>
      <c r="D10" s="409" t="str">
        <f t="array" ref="D10">IFERROR(INDEX(Pessoas!$F$6:$F$105,MATCH($B10,Pessoas!$D$6:$D$105,0)),"")</f>
        <v>(11) 9 6768-7978</v>
      </c>
      <c r="E10" s="113"/>
      <c r="F10" s="410" t="s">
        <v>65</v>
      </c>
      <c r="G10" s="411" t="s">
        <v>1796</v>
      </c>
      <c r="H10" s="411" t="s">
        <v>1796</v>
      </c>
    </row>
    <row r="11" ht="24.0" customHeight="1">
      <c r="A11" s="401" t="s">
        <v>1797</v>
      </c>
      <c r="B11" s="400" t="s">
        <v>1781</v>
      </c>
      <c r="C11" s="409" t="str">
        <f t="array" ref="C11">IFERROR(INDEX(Pessoas!$E$6:$E$105,MATCH($B11,Pessoas!$D$6:$D$105,0)),"")</f>
        <v>264.260.708-90</v>
      </c>
      <c r="D11" s="409" t="str">
        <f t="array" ref="D11">IFERROR(INDEX(Pessoas!$F$6:$F$105,MATCH($B11,Pessoas!$D$6:$D$105,0)),"")</f>
        <v>Não tem</v>
      </c>
      <c r="E11" s="113"/>
      <c r="F11" s="412" t="str">
        <f t="array" ref="F11">IFERROR(INDEX(Pessoas!$C$6:$C$105,MATCH($B11,Pessoas!$D$6:$D$105,0)),"")</f>
        <v>Ajudante</v>
      </c>
      <c r="G11" s="411" t="s">
        <v>1796</v>
      </c>
      <c r="H11" s="411" t="s">
        <v>1796</v>
      </c>
    </row>
    <row r="12" ht="24.0" customHeight="1">
      <c r="A12" s="113"/>
      <c r="B12" s="112"/>
      <c r="C12" s="409" t="str">
        <f t="array" ref="C12">IFERROR(INDEX(Pessoas!$E$6:$E$105,MATCH($B12,Pessoas!$D$6:$D$105,0)),"")</f>
        <v/>
      </c>
      <c r="D12" s="409" t="str">
        <f t="array" ref="D12">IFERROR(INDEX(Pessoas!$F$6:$F$105,MATCH($B12,Pessoas!$D$6:$D$105,0)),"")</f>
        <v/>
      </c>
      <c r="E12" s="113"/>
      <c r="F12" s="412" t="str">
        <f t="array" ref="F12">IFERROR(INDEX(Pessoas!$C$6:$C$105,MATCH($B12,Pessoas!$D$6:$D$105,0)),"")</f>
        <v/>
      </c>
      <c r="G12" s="413"/>
      <c r="H12" s="413"/>
    </row>
    <row r="13" ht="24.0" customHeight="1">
      <c r="A13" s="113"/>
      <c r="B13" s="112"/>
      <c r="C13" s="409" t="str">
        <f t="array" ref="C13">IFERROR(INDEX(Pessoas!$E$6:$E$105,MATCH($B13,Pessoas!$D$6:$D$105,0)),"")</f>
        <v/>
      </c>
      <c r="D13" s="409" t="str">
        <f t="array" ref="D13">IFERROR(INDEX(Pessoas!$F$6:$F$105,MATCH($B13,Pessoas!$D$6:$D$105,0)),"")</f>
        <v/>
      </c>
      <c r="E13" s="113"/>
      <c r="F13" s="412" t="str">
        <f t="array" ref="F13">IFERROR(INDEX(Pessoas!$C$6:$C$105,MATCH($B13,Pessoas!$D$6:$D$105,0)),"")</f>
        <v/>
      </c>
      <c r="G13" s="413"/>
      <c r="H13" s="413"/>
    </row>
    <row r="14" ht="24.0" customHeight="1">
      <c r="A14" s="113"/>
      <c r="B14" s="112"/>
      <c r="C14" s="409" t="str">
        <f t="array" ref="C14">IFERROR(INDEX(Pessoas!$E$6:$E$105,MATCH($B14,Pessoas!$D$6:$D$105,0)),"")</f>
        <v/>
      </c>
      <c r="D14" s="409" t="str">
        <f t="array" ref="D14">IFERROR(INDEX(Pessoas!$F$6:$F$105,MATCH($B14,Pessoas!$D$6:$D$105,0)),"")</f>
        <v/>
      </c>
      <c r="E14" s="113"/>
      <c r="F14" s="412" t="str">
        <f t="array" ref="F14">IFERROR(INDEX(Pessoas!$C$6:$C$105,MATCH($B14,Pessoas!$D$6:$D$105,0)),"")</f>
        <v/>
      </c>
      <c r="G14" s="413"/>
      <c r="H14" s="413"/>
    </row>
    <row r="15" ht="24.0" customHeight="1">
      <c r="A15" s="113"/>
      <c r="B15" s="112"/>
      <c r="C15" s="409" t="str">
        <f t="array" ref="C15">IFERROR(INDEX(Pessoas!$E$6:$E$105,MATCH($B15,Pessoas!$D$6:$D$105,0)),"")</f>
        <v/>
      </c>
      <c r="D15" s="409" t="str">
        <f t="array" ref="D15">IFERROR(INDEX(Pessoas!$F$6:$F$105,MATCH($B15,Pessoas!$D$6:$D$105,0)),"")</f>
        <v/>
      </c>
      <c r="E15" s="113"/>
      <c r="F15" s="412" t="str">
        <f t="array" ref="F15">IFERROR(INDEX(Pessoas!$C$6:$C$105,MATCH($B15,Pessoas!$D$6:$D$105,0)),"")</f>
        <v/>
      </c>
      <c r="G15" s="413"/>
      <c r="H15" s="413"/>
    </row>
    <row r="16" ht="24.0" customHeight="1">
      <c r="A16" s="113"/>
      <c r="B16" s="112"/>
      <c r="C16" s="409" t="str">
        <f t="array" ref="C16">IFERROR(INDEX(Pessoas!$E$6:$E$105,MATCH($B16,Pessoas!$D$6:$D$105,0)),"")</f>
        <v/>
      </c>
      <c r="D16" s="409" t="str">
        <f t="array" ref="D16">IFERROR(INDEX(Pessoas!$F$6:$F$105,MATCH($B16,Pessoas!$D$6:$D$105,0)),"")</f>
        <v/>
      </c>
      <c r="E16" s="113"/>
      <c r="F16" s="412" t="str">
        <f t="array" ref="F16">IFERROR(INDEX(Pessoas!$C$6:$C$105,MATCH($B16,Pessoas!$D$6:$D$105,0)),"")</f>
        <v/>
      </c>
      <c r="G16" s="413"/>
      <c r="H16" s="413"/>
    </row>
    <row r="17" ht="24.0" customHeight="1">
      <c r="A17" s="113"/>
      <c r="B17" s="112"/>
      <c r="C17" s="409" t="str">
        <f t="array" ref="C17">IFERROR(INDEX(Pessoas!$E$6:$E$105,MATCH($B17,Pessoas!$D$6:$D$105,0)),"")</f>
        <v/>
      </c>
      <c r="D17" s="409" t="str">
        <f t="array" ref="D17">IFERROR(INDEX(Pessoas!$F$6:$F$105,MATCH($B17,Pessoas!$D$6:$D$105,0)),"")</f>
        <v/>
      </c>
      <c r="E17" s="113"/>
      <c r="F17" s="412" t="str">
        <f t="array" ref="F17">IFERROR(INDEX(Pessoas!$C$6:$C$105,MATCH($B17,Pessoas!$D$6:$D$105,0)),"")</f>
        <v/>
      </c>
      <c r="G17" s="413"/>
      <c r="H17" s="413"/>
    </row>
    <row r="18" ht="24.0" customHeight="1">
      <c r="A18" s="113"/>
      <c r="B18" s="112"/>
      <c r="C18" s="409" t="str">
        <f t="array" ref="C18">IFERROR(INDEX(Pessoas!$E$6:$E$105,MATCH($B18,Pessoas!$D$6:$D$105,0)),"")</f>
        <v/>
      </c>
      <c r="D18" s="409" t="str">
        <f t="array" ref="D18">IFERROR(INDEX(Pessoas!$F$6:$F$105,MATCH($B18,Pessoas!$D$6:$D$105,0)),"")</f>
        <v/>
      </c>
      <c r="E18" s="113"/>
      <c r="F18" s="412" t="str">
        <f t="array" ref="F18">IFERROR(INDEX(Pessoas!$C$6:$C$105,MATCH($B18,Pessoas!$D$6:$D$105,0)),"")</f>
        <v/>
      </c>
      <c r="G18" s="413"/>
      <c r="H18" s="413"/>
    </row>
    <row r="19" ht="24.0" customHeight="1">
      <c r="A19" s="113"/>
      <c r="B19" s="112"/>
      <c r="C19" s="409" t="str">
        <f t="array" ref="C19">IFERROR(INDEX(Pessoas!$E$6:$E$105,MATCH($B19,Pessoas!$D$6:$D$105,0)),"")</f>
        <v/>
      </c>
      <c r="D19" s="409" t="str">
        <f t="array" ref="D19">IFERROR(INDEX(Pessoas!$F$6:$F$105,MATCH($B19,Pessoas!$D$6:$D$105,0)),"")</f>
        <v/>
      </c>
      <c r="E19" s="113"/>
      <c r="F19" s="412" t="str">
        <f t="array" ref="F19">IFERROR(INDEX(Pessoas!$C$6:$C$105,MATCH($B19,Pessoas!$D$6:$D$105,0)),"")</f>
        <v/>
      </c>
      <c r="G19" s="413"/>
      <c r="H19" s="413"/>
    </row>
    <row r="20" ht="24.0" customHeight="1">
      <c r="A20" s="113"/>
      <c r="B20" s="112"/>
      <c r="C20" s="409" t="str">
        <f t="array" ref="C20">IFERROR(INDEX(Pessoas!$E$6:$E$105,MATCH($B20,Pessoas!$D$6:$D$105,0)),"")</f>
        <v/>
      </c>
      <c r="D20" s="409" t="str">
        <f t="array" ref="D20">IFERROR(INDEX(Pessoas!$F$6:$F$105,MATCH($B20,Pessoas!$D$6:$D$105,0)),"")</f>
        <v/>
      </c>
      <c r="E20" s="113"/>
      <c r="F20" s="412" t="str">
        <f t="array" ref="F20">IFERROR(INDEX(Pessoas!$C$6:$C$105,MATCH($B20,Pessoas!$D$6:$D$105,0)),"")</f>
        <v/>
      </c>
      <c r="G20" s="413"/>
      <c r="H20" s="413"/>
    </row>
    <row r="21" ht="24.0" customHeight="1">
      <c r="A21" s="113"/>
      <c r="B21" s="112"/>
      <c r="C21" s="409" t="str">
        <f t="array" ref="C21">IFERROR(INDEX(Pessoas!$E$6:$E$105,MATCH($B21,Pessoas!$D$6:$D$105,0)),"")</f>
        <v/>
      </c>
      <c r="D21" s="409" t="str">
        <f t="array" ref="D21">IFERROR(INDEX(Pessoas!$F$6:$F$105,MATCH($B21,Pessoas!$D$6:$D$105,0)),"")</f>
        <v/>
      </c>
      <c r="E21" s="113"/>
      <c r="F21" s="412" t="str">
        <f t="array" ref="F21">IFERROR(INDEX(Pessoas!$C$6:$C$105,MATCH($B21,Pessoas!$D$6:$D$105,0)),"")</f>
        <v/>
      </c>
      <c r="G21" s="413"/>
      <c r="H21" s="413"/>
    </row>
    <row r="22" ht="24.0" customHeight="1">
      <c r="A22" s="113"/>
      <c r="B22" s="112"/>
      <c r="C22" s="409" t="str">
        <f t="array" ref="C22">IFERROR(INDEX(Pessoas!$E$6:$E$105,MATCH($B22,Pessoas!$D$6:$D$105,0)),"")</f>
        <v/>
      </c>
      <c r="D22" s="409" t="str">
        <f t="array" ref="D22">IFERROR(INDEX(Pessoas!$F$6:$F$105,MATCH($B22,Pessoas!$D$6:$D$105,0)),"")</f>
        <v/>
      </c>
      <c r="E22" s="113"/>
      <c r="F22" s="412" t="str">
        <f t="array" ref="F22">IFERROR(INDEX(Pessoas!$C$6:$C$105,MATCH($B22,Pessoas!$D$6:$D$105,0)),"")</f>
        <v/>
      </c>
      <c r="G22" s="413"/>
      <c r="H22" s="413"/>
    </row>
    <row r="23" ht="24.0" customHeight="1">
      <c r="A23" s="113"/>
      <c r="B23" s="112"/>
      <c r="C23" s="409" t="str">
        <f t="array" ref="C23">IFERROR(INDEX(Pessoas!$E$6:$E$105,MATCH($B23,Pessoas!$D$6:$D$105,0)),"")</f>
        <v/>
      </c>
      <c r="D23" s="409" t="str">
        <f t="array" ref="D23">IFERROR(INDEX(Pessoas!$F$6:$F$105,MATCH($B23,Pessoas!$D$6:$D$105,0)),"")</f>
        <v/>
      </c>
      <c r="E23" s="113"/>
      <c r="F23" s="412" t="str">
        <f t="array" ref="F23">IFERROR(INDEX(Pessoas!$C$6:$C$105,MATCH($B23,Pessoas!$D$6:$D$105,0)),"")</f>
        <v/>
      </c>
      <c r="G23" s="413"/>
      <c r="H23" s="413"/>
    </row>
    <row r="24" ht="24.0" customHeight="1">
      <c r="A24" s="113"/>
      <c r="B24" s="112"/>
      <c r="C24" s="409" t="str">
        <f t="array" ref="C24">IFERROR(INDEX(Pessoas!$E$6:$E$105,MATCH($B24,Pessoas!$D$6:$D$105,0)),"")</f>
        <v/>
      </c>
      <c r="D24" s="409" t="str">
        <f t="array" ref="D24">IFERROR(INDEX(Pessoas!$F$6:$F$105,MATCH($B24,Pessoas!$D$6:$D$105,0)),"")</f>
        <v/>
      </c>
      <c r="E24" s="113"/>
      <c r="F24" s="412" t="str">
        <f t="array" ref="F24">IFERROR(INDEX(Pessoas!$C$6:$C$105,MATCH($B24,Pessoas!$D$6:$D$105,0)),"")</f>
        <v/>
      </c>
      <c r="G24" s="413"/>
      <c r="H24" s="413"/>
    </row>
    <row r="25" ht="24.0" customHeight="1">
      <c r="A25" s="113"/>
      <c r="B25" s="112"/>
      <c r="C25" s="409" t="str">
        <f t="array" ref="C25">IFERROR(INDEX(Pessoas!$E$6:$E$105,MATCH($B25,Pessoas!$D$6:$D$105,0)),"")</f>
        <v/>
      </c>
      <c r="D25" s="409" t="str">
        <f t="array" ref="D25">IFERROR(INDEX(Pessoas!$F$6:$F$105,MATCH($B25,Pessoas!$D$6:$D$105,0)),"")</f>
        <v/>
      </c>
      <c r="E25" s="113"/>
      <c r="F25" s="412" t="str">
        <f t="array" ref="F25">IFERROR(INDEX(Pessoas!$C$6:$C$105,MATCH($B25,Pessoas!$D$6:$D$105,0)),"")</f>
        <v/>
      </c>
      <c r="G25" s="413"/>
      <c r="H25" s="413"/>
    </row>
    <row r="26" ht="24.0" customHeight="1">
      <c r="A26" s="113"/>
      <c r="B26" s="112"/>
      <c r="C26" s="409" t="str">
        <f t="array" ref="C26">IFERROR(INDEX(Pessoas!$E$6:$E$105,MATCH($B26,Pessoas!$D$6:$D$105,0)),"")</f>
        <v/>
      </c>
      <c r="D26" s="409" t="str">
        <f t="array" ref="D26">IFERROR(INDEX(Pessoas!$F$6:$F$105,MATCH($B26,Pessoas!$D$6:$D$105,0)),"")</f>
        <v/>
      </c>
      <c r="E26" s="113"/>
      <c r="F26" s="412" t="str">
        <f t="array" ref="F26">IFERROR(INDEX(Pessoas!$C$6:$C$105,MATCH($B26,Pessoas!$D$6:$D$105,0)),"")</f>
        <v/>
      </c>
      <c r="G26" s="413"/>
      <c r="H26" s="413"/>
    </row>
    <row r="27" ht="24.0" customHeight="1">
      <c r="A27" s="113"/>
      <c r="B27" s="112"/>
      <c r="C27" s="409" t="str">
        <f t="array" ref="C27">IFERROR(INDEX(Pessoas!$E$6:$E$105,MATCH($B27,Pessoas!$D$6:$D$105,0)),"")</f>
        <v/>
      </c>
      <c r="D27" s="409" t="str">
        <f t="array" ref="D27">IFERROR(INDEX(Pessoas!$F$6:$F$105,MATCH($B27,Pessoas!$D$6:$D$105,0)),"")</f>
        <v/>
      </c>
      <c r="E27" s="113"/>
      <c r="F27" s="412" t="str">
        <f t="array" ref="F27">IFERROR(INDEX(Pessoas!$C$6:$C$105,MATCH($B27,Pessoas!$D$6:$D$105,0)),"")</f>
        <v/>
      </c>
      <c r="G27" s="413"/>
      <c r="H27" s="413"/>
    </row>
    <row r="28" ht="24.0" customHeight="1">
      <c r="A28" s="113"/>
      <c r="B28" s="112"/>
      <c r="C28" s="409" t="str">
        <f t="array" ref="C28">IFERROR(INDEX(Pessoas!$E$6:$E$105,MATCH($B28,Pessoas!$D$6:$D$105,0)),"")</f>
        <v/>
      </c>
      <c r="D28" s="409" t="str">
        <f t="array" ref="D28">IFERROR(INDEX(Pessoas!$F$6:$F$105,MATCH($B28,Pessoas!$D$6:$D$105,0)),"")</f>
        <v/>
      </c>
      <c r="E28" s="113"/>
      <c r="F28" s="412" t="str">
        <f t="array" ref="F28">IFERROR(INDEX(Pessoas!$C$6:$C$105,MATCH($B28,Pessoas!$D$6:$D$105,0)),"")</f>
        <v/>
      </c>
      <c r="G28" s="413"/>
      <c r="H28" s="413"/>
    </row>
    <row r="29" ht="24.0" customHeight="1">
      <c r="A29" s="113"/>
      <c r="B29" s="112"/>
      <c r="C29" s="409" t="str">
        <f t="array" ref="C29">IFERROR(INDEX(Pessoas!$E$6:$E$105,MATCH($B29,Pessoas!$D$6:$D$105,0)),"")</f>
        <v/>
      </c>
      <c r="D29" s="409" t="str">
        <f t="array" ref="D29">IFERROR(INDEX(Pessoas!$F$6:$F$105,MATCH($B29,Pessoas!$D$6:$D$105,0)),"")</f>
        <v/>
      </c>
      <c r="E29" s="113"/>
      <c r="F29" s="412" t="str">
        <f t="array" ref="F29">IFERROR(INDEX(Pessoas!$C$6:$C$105,MATCH($B29,Pessoas!$D$6:$D$105,0)),"")</f>
        <v/>
      </c>
      <c r="G29" s="413"/>
      <c r="H29" s="413"/>
    </row>
    <row r="30" ht="24.0" customHeight="1">
      <c r="A30" s="113"/>
      <c r="B30" s="112"/>
      <c r="C30" s="409" t="str">
        <f t="array" ref="C30">IFERROR(INDEX(Pessoas!$E$6:$E$105,MATCH($B30,Pessoas!$D$6:$D$105,0)),"")</f>
        <v/>
      </c>
      <c r="D30" s="409" t="str">
        <f t="array" ref="D30">IFERROR(INDEX(Pessoas!$F$6:$F$105,MATCH($B30,Pessoas!$D$6:$D$105,0)),"")</f>
        <v/>
      </c>
      <c r="E30" s="113"/>
      <c r="F30" s="412" t="str">
        <f t="array" ref="F30">IFERROR(INDEX(Pessoas!$C$6:$C$105,MATCH($B30,Pessoas!$D$6:$D$105,0)),"")</f>
        <v/>
      </c>
      <c r="G30" s="413"/>
      <c r="H30" s="413"/>
    </row>
    <row r="31" ht="24.0" customHeight="1">
      <c r="A31" s="113"/>
      <c r="B31" s="112"/>
      <c r="C31" s="409" t="str">
        <f t="array" ref="C31">IFERROR(INDEX(Pessoas!$E$6:$E$105,MATCH($B31,Pessoas!$D$6:$D$105,0)),"")</f>
        <v/>
      </c>
      <c r="D31" s="409" t="str">
        <f t="array" ref="D31">IFERROR(INDEX(Pessoas!$F$6:$F$105,MATCH($B31,Pessoas!$D$6:$D$105,0)),"")</f>
        <v/>
      </c>
      <c r="E31" s="113"/>
      <c r="F31" s="412" t="str">
        <f t="array" ref="F31">IFERROR(INDEX(Pessoas!$C$6:$C$105,MATCH($B31,Pessoas!$D$6:$D$105,0)),"")</f>
        <v/>
      </c>
      <c r="G31" s="413"/>
      <c r="H31" s="413"/>
    </row>
    <row r="32" ht="24.0" customHeight="1">
      <c r="A32" s="113"/>
      <c r="B32" s="112"/>
      <c r="C32" s="409" t="str">
        <f t="array" ref="C32">IFERROR(INDEX(Pessoas!$E$6:$E$105,MATCH($B32,Pessoas!$D$6:$D$105,0)),"")</f>
        <v/>
      </c>
      <c r="D32" s="409" t="str">
        <f t="array" ref="D32">IFERROR(INDEX(Pessoas!$F$6:$F$105,MATCH($B32,Pessoas!$D$6:$D$105,0)),"")</f>
        <v/>
      </c>
      <c r="E32" s="113"/>
      <c r="F32" s="412" t="str">
        <f t="array" ref="F32">IFERROR(INDEX(Pessoas!$C$6:$C$105,MATCH($B32,Pessoas!$D$6:$D$105,0)),"")</f>
        <v/>
      </c>
      <c r="G32" s="413"/>
      <c r="H32" s="413"/>
    </row>
    <row r="33" ht="24.0" customHeight="1">
      <c r="A33" s="113"/>
      <c r="B33" s="112"/>
      <c r="C33" s="409" t="str">
        <f t="array" ref="C33">IFERROR(INDEX(Pessoas!$E$6:$E$105,MATCH($B33,Pessoas!$D$6:$D$105,0)),"")</f>
        <v/>
      </c>
      <c r="D33" s="409" t="str">
        <f t="array" ref="D33">IFERROR(INDEX(Pessoas!$F$6:$F$105,MATCH($B33,Pessoas!$D$6:$D$105,0)),"")</f>
        <v/>
      </c>
      <c r="E33" s="113"/>
      <c r="F33" s="412" t="str">
        <f t="array" ref="F33">IFERROR(INDEX(Pessoas!$C$6:$C$105,MATCH($B33,Pessoas!$D$6:$D$105,0)),"")</f>
        <v/>
      </c>
      <c r="G33" s="413"/>
      <c r="H33" s="413"/>
    </row>
    <row r="34" ht="24.0" customHeight="1">
      <c r="A34" s="113"/>
      <c r="B34" s="112"/>
      <c r="C34" s="409" t="str">
        <f t="array" ref="C34">IFERROR(INDEX(Pessoas!$E$6:$E$105,MATCH($B34,Pessoas!$D$6:$D$105,0)),"")</f>
        <v/>
      </c>
      <c r="D34" s="409" t="str">
        <f t="array" ref="D34">IFERROR(INDEX(Pessoas!$F$6:$F$105,MATCH($B34,Pessoas!$D$6:$D$105,0)),"")</f>
        <v/>
      </c>
      <c r="E34" s="113"/>
      <c r="F34" s="412" t="str">
        <f t="array" ref="F34">IFERROR(INDEX(Pessoas!$C$6:$C$105,MATCH($B34,Pessoas!$D$6:$D$105,0)),"")</f>
        <v/>
      </c>
      <c r="G34" s="413"/>
      <c r="H34" s="413"/>
    </row>
    <row r="35" ht="24.0" customHeight="1">
      <c r="A35" s="113"/>
      <c r="B35" s="112"/>
      <c r="C35" s="409" t="str">
        <f t="array" ref="C35">IFERROR(INDEX(Pessoas!$E$6:$E$105,MATCH($B35,Pessoas!$D$6:$D$105,0)),"")</f>
        <v/>
      </c>
      <c r="D35" s="409" t="str">
        <f t="array" ref="D35">IFERROR(INDEX(Pessoas!$F$6:$F$105,MATCH($B35,Pessoas!$D$6:$D$105,0)),"")</f>
        <v/>
      </c>
      <c r="E35" s="113"/>
      <c r="F35" s="412" t="str">
        <f t="array" ref="F35">IFERROR(INDEX(Pessoas!$C$6:$C$105,MATCH($B35,Pessoas!$D$6:$D$105,0)),"")</f>
        <v/>
      </c>
      <c r="G35" s="413"/>
      <c r="H35" s="413"/>
    </row>
    <row r="36" ht="24.0" customHeight="1">
      <c r="A36" s="113"/>
      <c r="B36" s="112"/>
      <c r="C36" s="409" t="str">
        <f t="array" ref="C36">IFERROR(INDEX(Pessoas!$E$6:$E$105,MATCH($B36,Pessoas!$D$6:$D$105,0)),"")</f>
        <v/>
      </c>
      <c r="D36" s="409" t="str">
        <f t="array" ref="D36">IFERROR(INDEX(Pessoas!$F$6:$F$105,MATCH($B36,Pessoas!$D$6:$D$105,0)),"")</f>
        <v/>
      </c>
      <c r="E36" s="113"/>
      <c r="F36" s="412" t="str">
        <f t="array" ref="F36">IFERROR(INDEX(Pessoas!$C$6:$C$105,MATCH($B36,Pessoas!$D$6:$D$105,0)),"")</f>
        <v/>
      </c>
      <c r="G36" s="413"/>
      <c r="H36" s="413"/>
    </row>
    <row r="37" ht="24.0" customHeight="1">
      <c r="A37" s="113"/>
      <c r="B37" s="112"/>
      <c r="C37" s="409" t="str">
        <f t="array" ref="C37">IFERROR(INDEX(Pessoas!$E$6:$E$105,MATCH($B37,Pessoas!$D$6:$D$105,0)),"")</f>
        <v/>
      </c>
      <c r="D37" s="409" t="str">
        <f t="array" ref="D37">IFERROR(INDEX(Pessoas!$F$6:$F$105,MATCH($B37,Pessoas!$D$6:$D$105,0)),"")</f>
        <v/>
      </c>
      <c r="E37" s="113"/>
      <c r="F37" s="412" t="str">
        <f t="array" ref="F37">IFERROR(INDEX(Pessoas!$C$6:$C$105,MATCH($B37,Pessoas!$D$6:$D$105,0)),"")</f>
        <v/>
      </c>
      <c r="G37" s="413"/>
      <c r="H37" s="413"/>
    </row>
    <row r="38" ht="24.0" customHeight="1">
      <c r="A38" s="113"/>
      <c r="B38" s="112"/>
      <c r="C38" s="409" t="str">
        <f t="array" ref="C38">IFERROR(INDEX(Pessoas!$E$6:$E$105,MATCH($B38,Pessoas!$D$6:$D$105,0)),"")</f>
        <v/>
      </c>
      <c r="D38" s="409" t="str">
        <f t="array" ref="D38">IFERROR(INDEX(Pessoas!$F$6:$F$105,MATCH($B38,Pessoas!$D$6:$D$105,0)),"")</f>
        <v/>
      </c>
      <c r="E38" s="113"/>
      <c r="F38" s="412" t="str">
        <f t="array" ref="F38">IFERROR(INDEX(Pessoas!$C$6:$C$105,MATCH($B38,Pessoas!$D$6:$D$105,0)),"")</f>
        <v/>
      </c>
      <c r="G38" s="413"/>
      <c r="H38" s="413"/>
    </row>
    <row r="39" ht="24.0" customHeight="1">
      <c r="A39" s="113"/>
      <c r="B39" s="112"/>
      <c r="C39" s="409" t="str">
        <f t="array" ref="C39">IFERROR(INDEX(Pessoas!$E$6:$E$105,MATCH($B39,Pessoas!$D$6:$D$105,0)),"")</f>
        <v/>
      </c>
      <c r="D39" s="409" t="str">
        <f t="array" ref="D39">IFERROR(INDEX(Pessoas!$F$6:$F$105,MATCH($B39,Pessoas!$D$6:$D$105,0)),"")</f>
        <v/>
      </c>
      <c r="E39" s="113"/>
      <c r="F39" s="412" t="str">
        <f t="array" ref="F39">IFERROR(INDEX(Pessoas!$C$6:$C$105,MATCH($B39,Pessoas!$D$6:$D$105,0)),"")</f>
        <v/>
      </c>
      <c r="G39" s="413"/>
      <c r="H39" s="413"/>
    </row>
    <row r="40" ht="24.0" customHeight="1">
      <c r="A40" s="113"/>
      <c r="B40" s="112"/>
      <c r="C40" s="409" t="str">
        <f t="array" ref="C40">IFERROR(INDEX(Pessoas!$E$6:$E$105,MATCH($B40,Pessoas!$D$6:$D$105,0)),"")</f>
        <v/>
      </c>
      <c r="D40" s="409" t="str">
        <f t="array" ref="D40">IFERROR(INDEX(Pessoas!$F$6:$F$105,MATCH($B40,Pessoas!$D$6:$D$105,0)),"")</f>
        <v/>
      </c>
      <c r="E40" s="113"/>
      <c r="F40" s="412" t="str">
        <f t="array" ref="F40">IFERROR(INDEX(Pessoas!$C$6:$C$105,MATCH($B40,Pessoas!$D$6:$D$105,0)),"")</f>
        <v/>
      </c>
      <c r="G40" s="413"/>
      <c r="H40" s="413"/>
    </row>
    <row r="41" ht="24.0" customHeight="1">
      <c r="A41" s="113"/>
      <c r="B41" s="112"/>
      <c r="C41" s="409" t="str">
        <f t="array" ref="C41">IFERROR(INDEX(Pessoas!$E$6:$E$105,MATCH($B41,Pessoas!$D$6:$D$105,0)),"")</f>
        <v/>
      </c>
      <c r="D41" s="409" t="str">
        <f t="array" ref="D41">IFERROR(INDEX(Pessoas!$F$6:$F$105,MATCH($B41,Pessoas!$D$6:$D$105,0)),"")</f>
        <v/>
      </c>
      <c r="E41" s="113"/>
      <c r="F41" s="412" t="str">
        <f t="array" ref="F41">IFERROR(INDEX(Pessoas!$C$6:$C$105,MATCH($B41,Pessoas!$D$6:$D$105,0)),"")</f>
        <v/>
      </c>
      <c r="G41" s="413"/>
      <c r="H41" s="413"/>
    </row>
    <row r="42" ht="24.0" customHeight="1">
      <c r="A42" s="113"/>
      <c r="B42" s="112"/>
      <c r="C42" s="409" t="str">
        <f t="array" ref="C42">IFERROR(INDEX(Pessoas!$E$6:$E$105,MATCH($B42,Pessoas!$D$6:$D$105,0)),"")</f>
        <v/>
      </c>
      <c r="D42" s="409" t="str">
        <f t="array" ref="D42">IFERROR(INDEX(Pessoas!$F$6:$F$105,MATCH($B42,Pessoas!$D$6:$D$105,0)),"")</f>
        <v/>
      </c>
      <c r="E42" s="113"/>
      <c r="F42" s="412" t="str">
        <f t="array" ref="F42">IFERROR(INDEX(Pessoas!$C$6:$C$105,MATCH($B42,Pessoas!$D$6:$D$105,0)),"")</f>
        <v/>
      </c>
      <c r="G42" s="413"/>
      <c r="H42" s="413"/>
    </row>
    <row r="43" ht="24.0" customHeight="1">
      <c r="A43" s="113"/>
      <c r="B43" s="112"/>
      <c r="C43" s="409" t="str">
        <f t="array" ref="C43">IFERROR(INDEX(Pessoas!$E$6:$E$105,MATCH($B43,Pessoas!$D$6:$D$105,0)),"")</f>
        <v/>
      </c>
      <c r="D43" s="409" t="str">
        <f t="array" ref="D43">IFERROR(INDEX(Pessoas!$F$6:$F$105,MATCH($B43,Pessoas!$D$6:$D$105,0)),"")</f>
        <v/>
      </c>
      <c r="E43" s="113"/>
      <c r="F43" s="412" t="str">
        <f t="array" ref="F43">IFERROR(INDEX(Pessoas!$C$6:$C$105,MATCH($B43,Pessoas!$D$6:$D$105,0)),"")</f>
        <v/>
      </c>
      <c r="G43" s="413"/>
      <c r="H43" s="413"/>
    </row>
    <row r="44" ht="24.0" customHeight="1">
      <c r="A44" s="113"/>
      <c r="B44" s="112"/>
      <c r="C44" s="409" t="str">
        <f t="array" ref="C44">IFERROR(INDEX(Pessoas!$E$6:$E$105,MATCH($B44,Pessoas!$D$6:$D$105,0)),"")</f>
        <v/>
      </c>
      <c r="D44" s="409" t="str">
        <f t="array" ref="D44">IFERROR(INDEX(Pessoas!$F$6:$F$105,MATCH($B44,Pessoas!$D$6:$D$105,0)),"")</f>
        <v/>
      </c>
      <c r="E44" s="113"/>
      <c r="F44" s="412" t="str">
        <f t="array" ref="F44">IFERROR(INDEX(Pessoas!$C$6:$C$105,MATCH($B44,Pessoas!$D$6:$D$105,0)),"")</f>
        <v/>
      </c>
      <c r="G44" s="413"/>
      <c r="H44" s="413"/>
    </row>
    <row r="45" ht="24.0" customHeight="1">
      <c r="A45" s="113"/>
      <c r="B45" s="112"/>
      <c r="C45" s="409" t="str">
        <f t="array" ref="C45">IFERROR(INDEX(Pessoas!$E$6:$E$105,MATCH($B45,Pessoas!$D$6:$D$105,0)),"")</f>
        <v/>
      </c>
      <c r="D45" s="409" t="str">
        <f t="array" ref="D45">IFERROR(INDEX(Pessoas!$F$6:$F$105,MATCH($B45,Pessoas!$D$6:$D$105,0)),"")</f>
        <v/>
      </c>
      <c r="E45" s="113"/>
      <c r="F45" s="412" t="str">
        <f t="array" ref="F45">IFERROR(INDEX(Pessoas!$C$6:$C$105,MATCH($B45,Pessoas!$D$6:$D$105,0)),"")</f>
        <v/>
      </c>
      <c r="G45" s="413"/>
      <c r="H45" s="413"/>
    </row>
    <row r="46" ht="24.0" customHeight="1">
      <c r="A46" s="113"/>
      <c r="B46" s="112"/>
      <c r="C46" s="409" t="str">
        <f t="array" ref="C46">IFERROR(INDEX(Pessoas!$E$6:$E$105,MATCH($B46,Pessoas!$D$6:$D$105,0)),"")</f>
        <v/>
      </c>
      <c r="D46" s="409" t="str">
        <f t="array" ref="D46">IFERROR(INDEX(Pessoas!$F$6:$F$105,MATCH($B46,Pessoas!$D$6:$D$105,0)),"")</f>
        <v/>
      </c>
      <c r="E46" s="113"/>
      <c r="F46" s="412" t="str">
        <f t="array" ref="F46">IFERROR(INDEX(Pessoas!$C$6:$C$105,MATCH($B46,Pessoas!$D$6:$D$105,0)),"")</f>
        <v/>
      </c>
      <c r="G46" s="413"/>
      <c r="H46" s="413"/>
    </row>
    <row r="47" ht="24.0" customHeight="1">
      <c r="A47" s="113"/>
      <c r="B47" s="112"/>
      <c r="C47" s="409" t="str">
        <f t="array" ref="C47">IFERROR(INDEX(Pessoas!$E$6:$E$105,MATCH($B47,Pessoas!$D$6:$D$105,0)),"")</f>
        <v/>
      </c>
      <c r="D47" s="409" t="str">
        <f t="array" ref="D47">IFERROR(INDEX(Pessoas!$F$6:$F$105,MATCH($B47,Pessoas!$D$6:$D$105,0)),"")</f>
        <v/>
      </c>
      <c r="E47" s="113"/>
      <c r="F47" s="412" t="str">
        <f t="array" ref="F47">IFERROR(INDEX(Pessoas!$C$6:$C$105,MATCH($B47,Pessoas!$D$6:$D$105,0)),"")</f>
        <v/>
      </c>
      <c r="G47" s="413"/>
      <c r="H47" s="413"/>
    </row>
    <row r="48" ht="24.0" customHeight="1">
      <c r="A48" s="113"/>
      <c r="B48" s="112"/>
      <c r="C48" s="409" t="str">
        <f t="array" ref="C48">IFERROR(INDEX(Pessoas!$E$6:$E$105,MATCH($B48,Pessoas!$D$6:$D$105,0)),"")</f>
        <v/>
      </c>
      <c r="D48" s="409" t="str">
        <f t="array" ref="D48">IFERROR(INDEX(Pessoas!$F$6:$F$105,MATCH($B48,Pessoas!$D$6:$D$105,0)),"")</f>
        <v/>
      </c>
      <c r="E48" s="113"/>
      <c r="F48" s="412" t="str">
        <f t="array" ref="F48">IFERROR(INDEX(Pessoas!$C$6:$C$105,MATCH($B48,Pessoas!$D$6:$D$105,0)),"")</f>
        <v/>
      </c>
      <c r="G48" s="413"/>
      <c r="H48" s="413"/>
    </row>
    <row r="49" ht="24.0" customHeight="1">
      <c r="A49" s="113"/>
      <c r="B49" s="112"/>
      <c r="C49" s="409" t="str">
        <f t="array" ref="C49">IFERROR(INDEX(Pessoas!$E$6:$E$105,MATCH($B49,Pessoas!$D$6:$D$105,0)),"")</f>
        <v/>
      </c>
      <c r="D49" s="409" t="str">
        <f t="array" ref="D49">IFERROR(INDEX(Pessoas!$F$6:$F$105,MATCH($B49,Pessoas!$D$6:$D$105,0)),"")</f>
        <v/>
      </c>
      <c r="E49" s="113"/>
      <c r="F49" s="412" t="str">
        <f t="array" ref="F49">IFERROR(INDEX(Pessoas!$C$6:$C$105,MATCH($B49,Pessoas!$D$6:$D$105,0)),"")</f>
        <v/>
      </c>
      <c r="G49" s="413"/>
      <c r="H49" s="413"/>
    </row>
    <row r="50" ht="24.0" customHeight="1">
      <c r="A50" s="113"/>
      <c r="B50" s="112"/>
      <c r="C50" s="409" t="str">
        <f t="array" ref="C50">IFERROR(INDEX(Pessoas!$E$6:$E$105,MATCH($B50,Pessoas!$D$6:$D$105,0)),"")</f>
        <v/>
      </c>
      <c r="D50" s="409" t="str">
        <f t="array" ref="D50">IFERROR(INDEX(Pessoas!$F$6:$F$105,MATCH($B50,Pessoas!$D$6:$D$105,0)),"")</f>
        <v/>
      </c>
      <c r="E50" s="113"/>
      <c r="F50" s="412" t="str">
        <f t="array" ref="F50">IFERROR(INDEX(Pessoas!$C$6:$C$105,MATCH($B50,Pessoas!$D$6:$D$105,0)),"")</f>
        <v/>
      </c>
      <c r="G50" s="413"/>
      <c r="H50" s="413"/>
    </row>
    <row r="51" ht="24.0" customHeight="1">
      <c r="A51" s="113"/>
      <c r="B51" s="112"/>
      <c r="C51" s="409" t="str">
        <f t="array" ref="C51">IFERROR(INDEX(Pessoas!$E$6:$E$105,MATCH($B51,Pessoas!$D$6:$D$105,0)),"")</f>
        <v/>
      </c>
      <c r="D51" s="409" t="str">
        <f t="array" ref="D51">IFERROR(INDEX(Pessoas!$F$6:$F$105,MATCH($B51,Pessoas!$D$6:$D$105,0)),"")</f>
        <v/>
      </c>
      <c r="E51" s="113"/>
      <c r="F51" s="412" t="str">
        <f t="array" ref="F51">IFERROR(INDEX(Pessoas!$C$6:$C$105,MATCH($B51,Pessoas!$D$6:$D$105,0)),"")</f>
        <v/>
      </c>
      <c r="G51" s="413"/>
      <c r="H51" s="413"/>
    </row>
    <row r="52" ht="24.0" customHeight="1">
      <c r="A52" s="113"/>
      <c r="B52" s="112"/>
      <c r="C52" s="409" t="str">
        <f t="array" ref="C52">IFERROR(INDEX(Pessoas!$E$6:$E$105,MATCH($B52,Pessoas!$D$6:$D$105,0)),"")</f>
        <v/>
      </c>
      <c r="D52" s="409" t="str">
        <f t="array" ref="D52">IFERROR(INDEX(Pessoas!$F$6:$F$105,MATCH($B52,Pessoas!$D$6:$D$105,0)),"")</f>
        <v/>
      </c>
      <c r="E52" s="113"/>
      <c r="F52" s="412" t="str">
        <f t="array" ref="F52">IFERROR(INDEX(Pessoas!$C$6:$C$105,MATCH($B52,Pessoas!$D$6:$D$105,0)),"")</f>
        <v/>
      </c>
      <c r="G52" s="413"/>
      <c r="H52" s="413"/>
    </row>
    <row r="53" ht="24.0" customHeight="1">
      <c r="A53" s="113"/>
      <c r="B53" s="112"/>
      <c r="C53" s="409" t="str">
        <f t="array" ref="C53">IFERROR(INDEX(Pessoas!$E$6:$E$105,MATCH($B53,Pessoas!$D$6:$D$105,0)),"")</f>
        <v/>
      </c>
      <c r="D53" s="409" t="str">
        <f t="array" ref="D53">IFERROR(INDEX(Pessoas!$F$6:$F$105,MATCH($B53,Pessoas!$D$6:$D$105,0)),"")</f>
        <v/>
      </c>
      <c r="E53" s="113"/>
      <c r="F53" s="412" t="str">
        <f t="array" ref="F53">IFERROR(INDEX(Pessoas!$C$6:$C$105,MATCH($B53,Pessoas!$D$6:$D$105,0)),"")</f>
        <v/>
      </c>
      <c r="G53" s="413"/>
      <c r="H53" s="413"/>
    </row>
    <row r="54" ht="24.0" customHeight="1">
      <c r="A54" s="113"/>
      <c r="B54" s="112"/>
      <c r="C54" s="409" t="str">
        <f t="array" ref="C54">IFERROR(INDEX(Pessoas!$E$6:$E$105,MATCH($B54,Pessoas!$D$6:$D$105,0)),"")</f>
        <v/>
      </c>
      <c r="D54" s="409" t="str">
        <f t="array" ref="D54">IFERROR(INDEX(Pessoas!$F$6:$F$105,MATCH($B54,Pessoas!$D$6:$D$105,0)),"")</f>
        <v/>
      </c>
      <c r="E54" s="113"/>
      <c r="F54" s="412" t="str">
        <f t="array" ref="F54">IFERROR(INDEX(Pessoas!$C$6:$C$105,MATCH($B54,Pessoas!$D$6:$D$105,0)),"")</f>
        <v/>
      </c>
      <c r="G54" s="413"/>
      <c r="H54" s="413"/>
    </row>
    <row r="55" ht="24.0" customHeight="1">
      <c r="A55" s="113"/>
      <c r="B55" s="112"/>
      <c r="C55" s="409" t="str">
        <f t="array" ref="C55">IFERROR(INDEX(Pessoas!$E$6:$E$105,MATCH($B55,Pessoas!$D$6:$D$105,0)),"")</f>
        <v/>
      </c>
      <c r="D55" s="409" t="str">
        <f t="array" ref="D55">IFERROR(INDEX(Pessoas!$F$6:$F$105,MATCH($B55,Pessoas!$D$6:$D$105,0)),"")</f>
        <v/>
      </c>
      <c r="E55" s="113"/>
      <c r="F55" s="412" t="str">
        <f t="array" ref="F55">IFERROR(INDEX(Pessoas!$C$6:$C$105,MATCH($B55,Pessoas!$D$6:$D$105,0)),"")</f>
        <v/>
      </c>
      <c r="G55" s="413"/>
      <c r="H55" s="413"/>
    </row>
    <row r="56" ht="24.0" customHeight="1">
      <c r="A56" s="113"/>
      <c r="B56" s="112"/>
      <c r="C56" s="409" t="str">
        <f t="array" ref="C56">IFERROR(INDEX(Pessoas!$E$6:$E$105,MATCH($B56,Pessoas!$D$6:$D$105,0)),"")</f>
        <v/>
      </c>
      <c r="D56" s="409" t="str">
        <f t="array" ref="D56">IFERROR(INDEX(Pessoas!$F$6:$F$105,MATCH($B56,Pessoas!$D$6:$D$105,0)),"")</f>
        <v/>
      </c>
      <c r="E56" s="113"/>
      <c r="F56" s="412" t="str">
        <f t="array" ref="F56">IFERROR(INDEX(Pessoas!$C$6:$C$105,MATCH($B56,Pessoas!$D$6:$D$105,0)),"")</f>
        <v/>
      </c>
      <c r="G56" s="413"/>
      <c r="H56" s="413"/>
    </row>
    <row r="57" ht="24.0" customHeight="1">
      <c r="A57" s="113"/>
      <c r="B57" s="112"/>
      <c r="C57" s="409" t="str">
        <f t="array" ref="C57">IFERROR(INDEX(Pessoas!$E$6:$E$105,MATCH($B57,Pessoas!$D$6:$D$105,0)),"")</f>
        <v/>
      </c>
      <c r="D57" s="409" t="str">
        <f t="array" ref="D57">IFERROR(INDEX(Pessoas!$F$6:$F$105,MATCH($B57,Pessoas!$D$6:$D$105,0)),"")</f>
        <v/>
      </c>
      <c r="E57" s="113"/>
      <c r="F57" s="412" t="str">
        <f t="array" ref="F57">IFERROR(INDEX(Pessoas!$C$6:$C$105,MATCH($B57,Pessoas!$D$6:$D$105,0)),"")</f>
        <v/>
      </c>
      <c r="G57" s="413"/>
      <c r="H57" s="413"/>
    </row>
    <row r="58" ht="24.0" customHeight="1">
      <c r="A58" s="113"/>
      <c r="B58" s="112"/>
      <c r="C58" s="409" t="str">
        <f t="array" ref="C58">IFERROR(INDEX(Pessoas!$E$6:$E$105,MATCH($B58,Pessoas!$D$6:$D$105,0)),"")</f>
        <v/>
      </c>
      <c r="D58" s="409" t="str">
        <f t="array" ref="D58">IFERROR(INDEX(Pessoas!$F$6:$F$105,MATCH($B58,Pessoas!$D$6:$D$105,0)),"")</f>
        <v/>
      </c>
      <c r="E58" s="113"/>
      <c r="F58" s="412" t="str">
        <f t="array" ref="F58">IFERROR(INDEX(Pessoas!$C$6:$C$105,MATCH($B58,Pessoas!$D$6:$D$105,0)),"")</f>
        <v/>
      </c>
      <c r="G58" s="413"/>
      <c r="H58" s="413"/>
    </row>
    <row r="59" ht="24.0" customHeight="1">
      <c r="A59" s="113"/>
      <c r="B59" s="112"/>
      <c r="C59" s="409" t="str">
        <f t="array" ref="C59">IFERROR(INDEX(Pessoas!$E$6:$E$105,MATCH($B59,Pessoas!$D$6:$D$105,0)),"")</f>
        <v/>
      </c>
      <c r="D59" s="409" t="str">
        <f t="array" ref="D59">IFERROR(INDEX(Pessoas!$F$6:$F$105,MATCH($B59,Pessoas!$D$6:$D$105,0)),"")</f>
        <v/>
      </c>
      <c r="E59" s="113"/>
      <c r="F59" s="412" t="str">
        <f t="array" ref="F59">IFERROR(INDEX(Pessoas!$C$6:$C$105,MATCH($B59,Pessoas!$D$6:$D$105,0)),"")</f>
        <v/>
      </c>
      <c r="G59" s="413"/>
      <c r="H59" s="413"/>
    </row>
    <row r="60" ht="24.0" customHeight="1">
      <c r="A60" s="113"/>
      <c r="B60" s="112"/>
      <c r="C60" s="409" t="str">
        <f t="array" ref="C60">IFERROR(INDEX(Pessoas!$E$6:$E$105,MATCH($B60,Pessoas!$D$6:$D$105,0)),"")</f>
        <v/>
      </c>
      <c r="D60" s="409" t="str">
        <f t="array" ref="D60">IFERROR(INDEX(Pessoas!$F$6:$F$105,MATCH($B60,Pessoas!$D$6:$D$105,0)),"")</f>
        <v/>
      </c>
      <c r="E60" s="113"/>
      <c r="F60" s="412" t="str">
        <f t="array" ref="F60">IFERROR(INDEX(Pessoas!$C$6:$C$105,MATCH($B60,Pessoas!$D$6:$D$105,0)),"")</f>
        <v/>
      </c>
      <c r="G60" s="413"/>
      <c r="H60" s="413"/>
    </row>
    <row r="61" ht="24.0" customHeight="1">
      <c r="A61" s="113"/>
      <c r="B61" s="112"/>
      <c r="C61" s="409" t="str">
        <f t="array" ref="C61">IFERROR(INDEX(Pessoas!$E$6:$E$105,MATCH($B61,Pessoas!$D$6:$D$105,0)),"")</f>
        <v/>
      </c>
      <c r="D61" s="409" t="str">
        <f t="array" ref="D61">IFERROR(INDEX(Pessoas!$F$6:$F$105,MATCH($B61,Pessoas!$D$6:$D$105,0)),"")</f>
        <v/>
      </c>
      <c r="E61" s="113"/>
      <c r="F61" s="412" t="str">
        <f t="array" ref="F61">IFERROR(INDEX(Pessoas!$C$6:$C$105,MATCH($B61,Pessoas!$D$6:$D$105,0)),"")</f>
        <v/>
      </c>
      <c r="G61" s="413"/>
      <c r="H61" s="413"/>
    </row>
    <row r="62" ht="24.0" customHeight="1">
      <c r="A62" s="113"/>
      <c r="B62" s="112"/>
      <c r="C62" s="409" t="str">
        <f t="array" ref="C62">IFERROR(INDEX(Pessoas!$E$6:$E$105,MATCH($B62,Pessoas!$D$6:$D$105,0)),"")</f>
        <v/>
      </c>
      <c r="D62" s="409" t="str">
        <f t="array" ref="D62">IFERROR(INDEX(Pessoas!$F$6:$F$105,MATCH($B62,Pessoas!$D$6:$D$105,0)),"")</f>
        <v/>
      </c>
      <c r="E62" s="113"/>
      <c r="F62" s="412" t="str">
        <f t="array" ref="F62">IFERROR(INDEX(Pessoas!$C$6:$C$105,MATCH($B62,Pessoas!$D$6:$D$105,0)),"")</f>
        <v/>
      </c>
      <c r="G62" s="413"/>
      <c r="H62" s="413"/>
    </row>
    <row r="63" ht="24.0" customHeight="1">
      <c r="A63" s="113"/>
      <c r="B63" s="112"/>
      <c r="C63" s="409" t="str">
        <f t="array" ref="C63">IFERROR(INDEX(Pessoas!$E$6:$E$105,MATCH($B63,Pessoas!$D$6:$D$105,0)),"")</f>
        <v/>
      </c>
      <c r="D63" s="409" t="str">
        <f t="array" ref="D63">IFERROR(INDEX(Pessoas!$F$6:$F$105,MATCH($B63,Pessoas!$D$6:$D$105,0)),"")</f>
        <v/>
      </c>
      <c r="E63" s="113"/>
      <c r="F63" s="412" t="str">
        <f t="array" ref="F63">IFERROR(INDEX(Pessoas!$C$6:$C$105,MATCH($B63,Pessoas!$D$6:$D$105,0)),"")</f>
        <v/>
      </c>
      <c r="G63" s="413"/>
      <c r="H63" s="413"/>
    </row>
    <row r="64" ht="24.0" customHeight="1">
      <c r="A64" s="113"/>
      <c r="B64" s="112"/>
      <c r="C64" s="409" t="str">
        <f t="array" ref="C64">IFERROR(INDEX(Pessoas!$E$6:$E$105,MATCH($B64,Pessoas!$D$6:$D$105,0)),"")</f>
        <v/>
      </c>
      <c r="D64" s="409" t="str">
        <f t="array" ref="D64">IFERROR(INDEX(Pessoas!$F$6:$F$105,MATCH($B64,Pessoas!$D$6:$D$105,0)),"")</f>
        <v/>
      </c>
      <c r="E64" s="113"/>
      <c r="F64" s="412" t="str">
        <f t="array" ref="F64">IFERROR(INDEX(Pessoas!$C$6:$C$105,MATCH($B64,Pessoas!$D$6:$D$105,0)),"")</f>
        <v/>
      </c>
      <c r="G64" s="413"/>
      <c r="H64" s="413"/>
    </row>
    <row r="65" ht="24.0" customHeight="1">
      <c r="A65" s="113"/>
      <c r="B65" s="112"/>
      <c r="C65" s="409" t="str">
        <f t="array" ref="C65">IFERROR(INDEX(Pessoas!$E$6:$E$105,MATCH($B65,Pessoas!$D$6:$D$105,0)),"")</f>
        <v/>
      </c>
      <c r="D65" s="409" t="str">
        <f t="array" ref="D65">IFERROR(INDEX(Pessoas!$F$6:$F$105,MATCH($B65,Pessoas!$D$6:$D$105,0)),"")</f>
        <v/>
      </c>
      <c r="E65" s="113"/>
      <c r="F65" s="412" t="str">
        <f t="array" ref="F65">IFERROR(INDEX(Pessoas!$C$6:$C$105,MATCH($B65,Pessoas!$D$6:$D$105,0)),"")</f>
        <v/>
      </c>
      <c r="G65" s="413"/>
      <c r="H65" s="413"/>
    </row>
    <row r="66" ht="24.0" customHeight="1">
      <c r="A66" s="113"/>
      <c r="B66" s="112"/>
      <c r="C66" s="409" t="str">
        <f t="array" ref="C66">IFERROR(INDEX(Pessoas!$E$6:$E$105,MATCH($B66,Pessoas!$D$6:$D$105,0)),"")</f>
        <v/>
      </c>
      <c r="D66" s="409" t="str">
        <f t="array" ref="D66">IFERROR(INDEX(Pessoas!$F$6:$F$105,MATCH($B66,Pessoas!$D$6:$D$105,0)),"")</f>
        <v/>
      </c>
      <c r="E66" s="113"/>
      <c r="F66" s="412" t="str">
        <f t="array" ref="F66">IFERROR(INDEX(Pessoas!$C$6:$C$105,MATCH($B66,Pessoas!$D$6:$D$105,0)),"")</f>
        <v/>
      </c>
      <c r="G66" s="413"/>
      <c r="H66" s="413"/>
    </row>
    <row r="67" ht="24.0" customHeight="1">
      <c r="A67" s="113"/>
      <c r="B67" s="112"/>
      <c r="C67" s="409" t="str">
        <f t="array" ref="C67">IFERROR(INDEX(Pessoas!$E$6:$E$105,MATCH($B67,Pessoas!$D$6:$D$105,0)),"")</f>
        <v/>
      </c>
      <c r="D67" s="409" t="str">
        <f t="array" ref="D67">IFERROR(INDEX(Pessoas!$F$6:$F$105,MATCH($B67,Pessoas!$D$6:$D$105,0)),"")</f>
        <v/>
      </c>
      <c r="E67" s="113"/>
      <c r="F67" s="412" t="str">
        <f t="array" ref="F67">IFERROR(INDEX(Pessoas!$C$6:$C$105,MATCH($B67,Pessoas!$D$6:$D$105,0)),"")</f>
        <v/>
      </c>
      <c r="G67" s="413"/>
      <c r="H67" s="413"/>
    </row>
    <row r="68" ht="24.0" customHeight="1">
      <c r="A68" s="113"/>
      <c r="B68" s="112"/>
      <c r="C68" s="409" t="str">
        <f t="array" ref="C68">IFERROR(INDEX(Pessoas!$E$6:$E$105,MATCH($B68,Pessoas!$D$6:$D$105,0)),"")</f>
        <v/>
      </c>
      <c r="D68" s="409" t="str">
        <f t="array" ref="D68">IFERROR(INDEX(Pessoas!$F$6:$F$105,MATCH($B68,Pessoas!$D$6:$D$105,0)),"")</f>
        <v/>
      </c>
      <c r="E68" s="113"/>
      <c r="F68" s="412" t="str">
        <f t="array" ref="F68">IFERROR(INDEX(Pessoas!$C$6:$C$105,MATCH($B68,Pessoas!$D$6:$D$105,0)),"")</f>
        <v/>
      </c>
      <c r="G68" s="413"/>
      <c r="H68" s="413"/>
    </row>
    <row r="69" ht="24.0" customHeight="1">
      <c r="A69" s="113"/>
      <c r="B69" s="112"/>
      <c r="C69" s="409" t="str">
        <f t="array" ref="C69">IFERROR(INDEX(Pessoas!$E$6:$E$105,MATCH($B69,Pessoas!$D$6:$D$105,0)),"")</f>
        <v/>
      </c>
      <c r="D69" s="409" t="str">
        <f t="array" ref="D69">IFERROR(INDEX(Pessoas!$F$6:$F$105,MATCH($B69,Pessoas!$D$6:$D$105,0)),"")</f>
        <v/>
      </c>
      <c r="E69" s="113"/>
      <c r="F69" s="412" t="str">
        <f t="array" ref="F69">IFERROR(INDEX(Pessoas!$C$6:$C$105,MATCH($B69,Pessoas!$D$6:$D$105,0)),"")</f>
        <v/>
      </c>
      <c r="G69" s="413"/>
      <c r="H69" s="413"/>
    </row>
    <row r="70" ht="24.0" customHeight="1">
      <c r="A70" s="113"/>
      <c r="B70" s="112"/>
      <c r="C70" s="409" t="str">
        <f t="array" ref="C70">IFERROR(INDEX(Pessoas!$E$6:$E$105,MATCH($B70,Pessoas!$D$6:$D$105,0)),"")</f>
        <v/>
      </c>
      <c r="D70" s="409" t="str">
        <f t="array" ref="D70">IFERROR(INDEX(Pessoas!$F$6:$F$105,MATCH($B70,Pessoas!$D$6:$D$105,0)),"")</f>
        <v/>
      </c>
      <c r="E70" s="113"/>
      <c r="F70" s="412" t="str">
        <f t="array" ref="F70">IFERROR(INDEX(Pessoas!$C$6:$C$105,MATCH($B70,Pessoas!$D$6:$D$105,0)),"")</f>
        <v/>
      </c>
      <c r="G70" s="413"/>
      <c r="H70" s="413"/>
    </row>
    <row r="71" ht="24.0" customHeight="1">
      <c r="A71" s="113"/>
      <c r="B71" s="112"/>
      <c r="C71" s="409" t="str">
        <f t="array" ref="C71">IFERROR(INDEX(Pessoas!$E$6:$E$105,MATCH($B71,Pessoas!$D$6:$D$105,0)),"")</f>
        <v/>
      </c>
      <c r="D71" s="409" t="str">
        <f t="array" ref="D71">IFERROR(INDEX(Pessoas!$F$6:$F$105,MATCH($B71,Pessoas!$D$6:$D$105,0)),"")</f>
        <v/>
      </c>
      <c r="E71" s="113"/>
      <c r="F71" s="412" t="str">
        <f t="array" ref="F71">IFERROR(INDEX(Pessoas!$C$6:$C$105,MATCH($B71,Pessoas!$D$6:$D$105,0)),"")</f>
        <v/>
      </c>
      <c r="G71" s="413"/>
      <c r="H71" s="413"/>
    </row>
    <row r="72" ht="24.0" customHeight="1">
      <c r="A72" s="113"/>
      <c r="B72" s="112"/>
      <c r="C72" s="409" t="str">
        <f t="array" ref="C72">IFERROR(INDEX(Pessoas!$E$6:$E$105,MATCH($B72,Pessoas!$D$6:$D$105,0)),"")</f>
        <v/>
      </c>
      <c r="D72" s="409" t="str">
        <f t="array" ref="D72">IFERROR(INDEX(Pessoas!$F$6:$F$105,MATCH($B72,Pessoas!$D$6:$D$105,0)),"")</f>
        <v/>
      </c>
      <c r="E72" s="113"/>
      <c r="F72" s="412" t="str">
        <f t="array" ref="F72">IFERROR(INDEX(Pessoas!$C$6:$C$105,MATCH($B72,Pessoas!$D$6:$D$105,0)),"")</f>
        <v/>
      </c>
      <c r="G72" s="413"/>
      <c r="H72" s="413"/>
    </row>
    <row r="73" ht="24.0" customHeight="1">
      <c r="A73" s="113"/>
      <c r="B73" s="112"/>
      <c r="C73" s="409" t="str">
        <f t="array" ref="C73">IFERROR(INDEX(Pessoas!$E$6:$E$105,MATCH($B73,Pessoas!$D$6:$D$105,0)),"")</f>
        <v/>
      </c>
      <c r="D73" s="409" t="str">
        <f t="array" ref="D73">IFERROR(INDEX(Pessoas!$F$6:$F$105,MATCH($B73,Pessoas!$D$6:$D$105,0)),"")</f>
        <v/>
      </c>
      <c r="E73" s="113"/>
      <c r="F73" s="412" t="str">
        <f t="array" ref="F73">IFERROR(INDEX(Pessoas!$C$6:$C$105,MATCH($B73,Pessoas!$D$6:$D$105,0)),"")</f>
        <v/>
      </c>
      <c r="G73" s="413"/>
      <c r="H73" s="413"/>
    </row>
    <row r="74" ht="24.0" customHeight="1">
      <c r="A74" s="113"/>
      <c r="B74" s="112"/>
      <c r="C74" s="409" t="str">
        <f t="array" ref="C74">IFERROR(INDEX(Pessoas!$E$6:$E$105,MATCH($B74,Pessoas!$D$6:$D$105,0)),"")</f>
        <v/>
      </c>
      <c r="D74" s="409" t="str">
        <f t="array" ref="D74">IFERROR(INDEX(Pessoas!$F$6:$F$105,MATCH($B74,Pessoas!$D$6:$D$105,0)),"")</f>
        <v/>
      </c>
      <c r="E74" s="113"/>
      <c r="F74" s="412" t="str">
        <f t="array" ref="F74">IFERROR(INDEX(Pessoas!$C$6:$C$105,MATCH($B74,Pessoas!$D$6:$D$105,0)),"")</f>
        <v/>
      </c>
      <c r="G74" s="413"/>
      <c r="H74" s="413"/>
    </row>
    <row r="75" ht="24.0" customHeight="1">
      <c r="A75" s="113"/>
      <c r="B75" s="112"/>
      <c r="C75" s="409" t="str">
        <f t="array" ref="C75">IFERROR(INDEX(Pessoas!$E$6:$E$105,MATCH($B75,Pessoas!$D$6:$D$105,0)),"")</f>
        <v/>
      </c>
      <c r="D75" s="409" t="str">
        <f t="array" ref="D75">IFERROR(INDEX(Pessoas!$F$6:$F$105,MATCH($B75,Pessoas!$D$6:$D$105,0)),"")</f>
        <v/>
      </c>
      <c r="E75" s="113"/>
      <c r="F75" s="412" t="str">
        <f t="array" ref="F75">IFERROR(INDEX(Pessoas!$C$6:$C$105,MATCH($B75,Pessoas!$D$6:$D$105,0)),"")</f>
        <v/>
      </c>
      <c r="G75" s="413"/>
      <c r="H75" s="413"/>
    </row>
    <row r="76" ht="24.0" customHeight="1">
      <c r="A76" s="113"/>
      <c r="B76" s="112"/>
      <c r="C76" s="409" t="str">
        <f t="array" ref="C76">IFERROR(INDEX(Pessoas!$E$6:$E$105,MATCH($B76,Pessoas!$D$6:$D$105,0)),"")</f>
        <v/>
      </c>
      <c r="D76" s="409" t="str">
        <f t="array" ref="D76">IFERROR(INDEX(Pessoas!$F$6:$F$105,MATCH($B76,Pessoas!$D$6:$D$105,0)),"")</f>
        <v/>
      </c>
      <c r="E76" s="113"/>
      <c r="F76" s="412" t="str">
        <f t="array" ref="F76">IFERROR(INDEX(Pessoas!$C$6:$C$105,MATCH($B76,Pessoas!$D$6:$D$105,0)),"")</f>
        <v/>
      </c>
      <c r="G76" s="413"/>
      <c r="H76" s="413"/>
    </row>
    <row r="77" ht="24.0" customHeight="1">
      <c r="A77" s="113"/>
      <c r="B77" s="112"/>
      <c r="C77" s="409" t="str">
        <f t="array" ref="C77">IFERROR(INDEX(Pessoas!$E$6:$E$105,MATCH($B77,Pessoas!$D$6:$D$105,0)),"")</f>
        <v/>
      </c>
      <c r="D77" s="409" t="str">
        <f t="array" ref="D77">IFERROR(INDEX(Pessoas!$F$6:$F$105,MATCH($B77,Pessoas!$D$6:$D$105,0)),"")</f>
        <v/>
      </c>
      <c r="E77" s="113"/>
      <c r="F77" s="412" t="str">
        <f t="array" ref="F77">IFERROR(INDEX(Pessoas!$C$6:$C$105,MATCH($B77,Pessoas!$D$6:$D$105,0)),"")</f>
        <v/>
      </c>
      <c r="G77" s="413"/>
      <c r="H77" s="413"/>
    </row>
    <row r="78" ht="24.0" customHeight="1">
      <c r="A78" s="113"/>
      <c r="B78" s="112"/>
      <c r="C78" s="409" t="str">
        <f t="array" ref="C78">IFERROR(INDEX(Pessoas!$E$6:$E$105,MATCH($B78,Pessoas!$D$6:$D$105,0)),"")</f>
        <v/>
      </c>
      <c r="D78" s="409" t="str">
        <f t="array" ref="D78">IFERROR(INDEX(Pessoas!$F$6:$F$105,MATCH($B78,Pessoas!$D$6:$D$105,0)),"")</f>
        <v/>
      </c>
      <c r="E78" s="113"/>
      <c r="F78" s="412" t="str">
        <f t="array" ref="F78">IFERROR(INDEX(Pessoas!$C$6:$C$105,MATCH($B78,Pessoas!$D$6:$D$105,0)),"")</f>
        <v/>
      </c>
      <c r="G78" s="413"/>
      <c r="H78" s="413"/>
    </row>
    <row r="79" ht="24.0" customHeight="1">
      <c r="A79" s="113"/>
      <c r="B79" s="112"/>
      <c r="C79" s="409" t="str">
        <f t="array" ref="C79">IFERROR(INDEX(Pessoas!$E$6:$E$105,MATCH($B79,Pessoas!$D$6:$D$105,0)),"")</f>
        <v/>
      </c>
      <c r="D79" s="409" t="str">
        <f t="array" ref="D79">IFERROR(INDEX(Pessoas!$F$6:$F$105,MATCH($B79,Pessoas!$D$6:$D$105,0)),"")</f>
        <v/>
      </c>
      <c r="E79" s="113"/>
      <c r="F79" s="412" t="str">
        <f t="array" ref="F79">IFERROR(INDEX(Pessoas!$C$6:$C$105,MATCH($B79,Pessoas!$D$6:$D$105,0)),"")</f>
        <v/>
      </c>
      <c r="G79" s="413"/>
      <c r="H79" s="413"/>
    </row>
    <row r="80" ht="24.0" customHeight="1">
      <c r="A80" s="113"/>
      <c r="B80" s="112"/>
      <c r="C80" s="409" t="str">
        <f t="array" ref="C80">IFERROR(INDEX(Pessoas!$E$6:$E$105,MATCH($B80,Pessoas!$D$6:$D$105,0)),"")</f>
        <v/>
      </c>
      <c r="D80" s="409" t="str">
        <f t="array" ref="D80">IFERROR(INDEX(Pessoas!$F$6:$F$105,MATCH($B80,Pessoas!$D$6:$D$105,0)),"")</f>
        <v/>
      </c>
      <c r="E80" s="113"/>
      <c r="F80" s="412" t="str">
        <f t="array" ref="F80">IFERROR(INDEX(Pessoas!$C$6:$C$105,MATCH($B80,Pessoas!$D$6:$D$105,0)),"")</f>
        <v/>
      </c>
      <c r="G80" s="413"/>
      <c r="H80" s="413"/>
    </row>
    <row r="81" ht="24.0" customHeight="1">
      <c r="A81" s="113"/>
      <c r="B81" s="112"/>
      <c r="C81" s="409" t="str">
        <f t="array" ref="C81">IFERROR(INDEX(Pessoas!$E$6:$E$105,MATCH($B81,Pessoas!$D$6:$D$105,0)),"")</f>
        <v/>
      </c>
      <c r="D81" s="409" t="str">
        <f t="array" ref="D81">IFERROR(INDEX(Pessoas!$F$6:$F$105,MATCH($B81,Pessoas!$D$6:$D$105,0)),"")</f>
        <v/>
      </c>
      <c r="E81" s="113"/>
      <c r="F81" s="412" t="str">
        <f t="array" ref="F81">IFERROR(INDEX(Pessoas!$C$6:$C$105,MATCH($B81,Pessoas!$D$6:$D$105,0)),"")</f>
        <v/>
      </c>
      <c r="G81" s="413"/>
      <c r="H81" s="413"/>
    </row>
    <row r="82" ht="24.0" customHeight="1">
      <c r="A82" s="113"/>
      <c r="B82" s="112"/>
      <c r="C82" s="409" t="str">
        <f t="array" ref="C82">IFERROR(INDEX(Pessoas!$E$6:$E$105,MATCH($B82,Pessoas!$D$6:$D$105,0)),"")</f>
        <v/>
      </c>
      <c r="D82" s="409" t="str">
        <f t="array" ref="D82">IFERROR(INDEX(Pessoas!$F$6:$F$105,MATCH($B82,Pessoas!$D$6:$D$105,0)),"")</f>
        <v/>
      </c>
      <c r="E82" s="113"/>
      <c r="F82" s="412" t="str">
        <f t="array" ref="F82">IFERROR(INDEX(Pessoas!$C$6:$C$105,MATCH($B82,Pessoas!$D$6:$D$105,0)),"")</f>
        <v/>
      </c>
      <c r="G82" s="413"/>
      <c r="H82" s="413"/>
    </row>
    <row r="83" ht="24.0" customHeight="1">
      <c r="A83" s="113"/>
      <c r="B83" s="112"/>
      <c r="C83" s="409" t="str">
        <f t="array" ref="C83">IFERROR(INDEX(Pessoas!$E$6:$E$105,MATCH($B83,Pessoas!$D$6:$D$105,0)),"")</f>
        <v/>
      </c>
      <c r="D83" s="409" t="str">
        <f t="array" ref="D83">IFERROR(INDEX(Pessoas!$F$6:$F$105,MATCH($B83,Pessoas!$D$6:$D$105,0)),"")</f>
        <v/>
      </c>
      <c r="E83" s="113"/>
      <c r="F83" s="412" t="str">
        <f t="array" ref="F83">IFERROR(INDEX(Pessoas!$C$6:$C$105,MATCH($B83,Pessoas!$D$6:$D$105,0)),"")</f>
        <v/>
      </c>
      <c r="G83" s="413"/>
      <c r="H83" s="413"/>
    </row>
    <row r="84" ht="24.0" customHeight="1">
      <c r="A84" s="113"/>
      <c r="B84" s="112"/>
      <c r="C84" s="409" t="str">
        <f t="array" ref="C84">IFERROR(INDEX(Pessoas!$E$6:$E$105,MATCH($B84,Pessoas!$D$6:$D$105,0)),"")</f>
        <v/>
      </c>
      <c r="D84" s="409" t="str">
        <f t="array" ref="D84">IFERROR(INDEX(Pessoas!$F$6:$F$105,MATCH($B84,Pessoas!$D$6:$D$105,0)),"")</f>
        <v/>
      </c>
      <c r="E84" s="113"/>
      <c r="F84" s="412" t="str">
        <f t="array" ref="F84">IFERROR(INDEX(Pessoas!$C$6:$C$105,MATCH($B84,Pessoas!$D$6:$D$105,0)),"")</f>
        <v/>
      </c>
      <c r="G84" s="413"/>
      <c r="H84" s="413"/>
    </row>
    <row r="85" ht="24.0" customHeight="1">
      <c r="A85" s="113"/>
      <c r="B85" s="112"/>
      <c r="C85" s="409" t="str">
        <f t="array" ref="C85">IFERROR(INDEX(Pessoas!$E$6:$E$105,MATCH($B85,Pessoas!$D$6:$D$105,0)),"")</f>
        <v/>
      </c>
      <c r="D85" s="409" t="str">
        <f t="array" ref="D85">IFERROR(INDEX(Pessoas!$F$6:$F$105,MATCH($B85,Pessoas!$D$6:$D$105,0)),"")</f>
        <v/>
      </c>
      <c r="E85" s="113"/>
      <c r="F85" s="412" t="str">
        <f t="array" ref="F85">IFERROR(INDEX(Pessoas!$C$6:$C$105,MATCH($B85,Pessoas!$D$6:$D$105,0)),"")</f>
        <v/>
      </c>
      <c r="G85" s="413"/>
      <c r="H85" s="413"/>
    </row>
    <row r="86" ht="24.0" customHeight="1">
      <c r="A86" s="113"/>
      <c r="B86" s="112"/>
      <c r="C86" s="409" t="str">
        <f t="array" ref="C86">IFERROR(INDEX(Pessoas!$E$6:$E$105,MATCH($B86,Pessoas!$D$6:$D$105,0)),"")</f>
        <v/>
      </c>
      <c r="D86" s="409" t="str">
        <f t="array" ref="D86">IFERROR(INDEX(Pessoas!$F$6:$F$105,MATCH($B86,Pessoas!$D$6:$D$105,0)),"")</f>
        <v/>
      </c>
      <c r="E86" s="113"/>
      <c r="F86" s="412" t="str">
        <f t="array" ref="F86">IFERROR(INDEX(Pessoas!$C$6:$C$105,MATCH($B86,Pessoas!$D$6:$D$105,0)),"")</f>
        <v/>
      </c>
      <c r="G86" s="413"/>
      <c r="H86" s="413"/>
    </row>
    <row r="87" ht="24.0" customHeight="1">
      <c r="A87" s="113"/>
      <c r="B87" s="112"/>
      <c r="C87" s="409" t="str">
        <f t="array" ref="C87">IFERROR(INDEX(Pessoas!$E$6:$E$105,MATCH($B87,Pessoas!$D$6:$D$105,0)),"")</f>
        <v/>
      </c>
      <c r="D87" s="409" t="str">
        <f t="array" ref="D87">IFERROR(INDEX(Pessoas!$F$6:$F$105,MATCH($B87,Pessoas!$D$6:$D$105,0)),"")</f>
        <v/>
      </c>
      <c r="E87" s="113"/>
      <c r="F87" s="412" t="str">
        <f t="array" ref="F87">IFERROR(INDEX(Pessoas!$C$6:$C$105,MATCH($B87,Pessoas!$D$6:$D$105,0)),"")</f>
        <v/>
      </c>
      <c r="G87" s="413"/>
      <c r="H87" s="413"/>
    </row>
    <row r="88" ht="24.0" customHeight="1">
      <c r="A88" s="113"/>
      <c r="B88" s="112"/>
      <c r="C88" s="409" t="str">
        <f t="array" ref="C88">IFERROR(INDEX(Pessoas!$E$6:$E$105,MATCH($B88,Pessoas!$D$6:$D$105,0)),"")</f>
        <v/>
      </c>
      <c r="D88" s="409" t="str">
        <f t="array" ref="D88">IFERROR(INDEX(Pessoas!$F$6:$F$105,MATCH($B88,Pessoas!$D$6:$D$105,0)),"")</f>
        <v/>
      </c>
      <c r="E88" s="113"/>
      <c r="F88" s="412" t="str">
        <f t="array" ref="F88">IFERROR(INDEX(Pessoas!$C$6:$C$105,MATCH($B88,Pessoas!$D$6:$D$105,0)),"")</f>
        <v/>
      </c>
      <c r="G88" s="413"/>
      <c r="H88" s="413"/>
    </row>
    <row r="89" ht="24.0" customHeight="1">
      <c r="A89" s="113"/>
      <c r="B89" s="112"/>
      <c r="C89" s="409" t="str">
        <f t="array" ref="C89">IFERROR(INDEX(Pessoas!$E$6:$E$105,MATCH($B89,Pessoas!$D$6:$D$105,0)),"")</f>
        <v/>
      </c>
      <c r="D89" s="409" t="str">
        <f t="array" ref="D89">IFERROR(INDEX(Pessoas!$F$6:$F$105,MATCH($B89,Pessoas!$D$6:$D$105,0)),"")</f>
        <v/>
      </c>
      <c r="E89" s="113"/>
      <c r="F89" s="412" t="str">
        <f t="array" ref="F89">IFERROR(INDEX(Pessoas!$C$6:$C$105,MATCH($B89,Pessoas!$D$6:$D$105,0)),"")</f>
        <v/>
      </c>
      <c r="G89" s="413"/>
      <c r="H89" s="413"/>
    </row>
    <row r="90" ht="24.0" customHeight="1">
      <c r="A90" s="113"/>
      <c r="B90" s="112"/>
      <c r="C90" s="409" t="str">
        <f t="array" ref="C90">IFERROR(INDEX(Pessoas!$E$6:$E$105,MATCH($B90,Pessoas!$D$6:$D$105,0)),"")</f>
        <v/>
      </c>
      <c r="D90" s="409" t="str">
        <f t="array" ref="D90">IFERROR(INDEX(Pessoas!$F$6:$F$105,MATCH($B90,Pessoas!$D$6:$D$105,0)),"")</f>
        <v/>
      </c>
      <c r="E90" s="113"/>
      <c r="F90" s="412" t="str">
        <f t="array" ref="F90">IFERROR(INDEX(Pessoas!$C$6:$C$105,MATCH($B90,Pessoas!$D$6:$D$105,0)),"")</f>
        <v/>
      </c>
      <c r="G90" s="413"/>
      <c r="H90" s="413"/>
    </row>
    <row r="91" ht="24.0" customHeight="1">
      <c r="A91" s="113"/>
      <c r="B91" s="112"/>
      <c r="C91" s="409" t="str">
        <f t="array" ref="C91">IFERROR(INDEX(Pessoas!$E$6:$E$105,MATCH($B91,Pessoas!$D$6:$D$105,0)),"")</f>
        <v/>
      </c>
      <c r="D91" s="409" t="str">
        <f t="array" ref="D91">IFERROR(INDEX(Pessoas!$F$6:$F$105,MATCH($B91,Pessoas!$D$6:$D$105,0)),"")</f>
        <v/>
      </c>
      <c r="E91" s="113"/>
      <c r="F91" s="412" t="str">
        <f t="array" ref="F91">IFERROR(INDEX(Pessoas!$C$6:$C$105,MATCH($B91,Pessoas!$D$6:$D$105,0)),"")</f>
        <v/>
      </c>
      <c r="G91" s="413"/>
      <c r="H91" s="413"/>
    </row>
    <row r="92" ht="24.0" customHeight="1">
      <c r="A92" s="113"/>
      <c r="B92" s="112"/>
      <c r="C92" s="409" t="str">
        <f t="array" ref="C92">IFERROR(INDEX(Pessoas!$E$6:$E$105,MATCH($B92,Pessoas!$D$6:$D$105,0)),"")</f>
        <v/>
      </c>
      <c r="D92" s="409" t="str">
        <f t="array" ref="D92">IFERROR(INDEX(Pessoas!$F$6:$F$105,MATCH($B92,Pessoas!$D$6:$D$105,0)),"")</f>
        <v/>
      </c>
      <c r="E92" s="113"/>
      <c r="F92" s="412" t="str">
        <f t="array" ref="F92">IFERROR(INDEX(Pessoas!$C$6:$C$105,MATCH($B92,Pessoas!$D$6:$D$105,0)),"")</f>
        <v/>
      </c>
      <c r="G92" s="413"/>
      <c r="H92" s="413"/>
    </row>
    <row r="93" ht="24.0" customHeight="1">
      <c r="A93" s="113"/>
      <c r="B93" s="112"/>
      <c r="C93" s="409" t="str">
        <f t="array" ref="C93">IFERROR(INDEX(Pessoas!$E$6:$E$105,MATCH($B93,Pessoas!$D$6:$D$105,0)),"")</f>
        <v/>
      </c>
      <c r="D93" s="409" t="str">
        <f t="array" ref="D93">IFERROR(INDEX(Pessoas!$F$6:$F$105,MATCH($B93,Pessoas!$D$6:$D$105,0)),"")</f>
        <v/>
      </c>
      <c r="E93" s="113"/>
      <c r="F93" s="412" t="str">
        <f t="array" ref="F93">IFERROR(INDEX(Pessoas!$C$6:$C$105,MATCH($B93,Pessoas!$D$6:$D$105,0)),"")</f>
        <v/>
      </c>
      <c r="G93" s="413"/>
      <c r="H93" s="413"/>
    </row>
    <row r="94" ht="24.0" customHeight="1">
      <c r="A94" s="113"/>
      <c r="B94" s="112"/>
      <c r="C94" s="409" t="str">
        <f t="array" ref="C94">IFERROR(INDEX(Pessoas!$E$6:$E$105,MATCH($B94,Pessoas!$D$6:$D$105,0)),"")</f>
        <v/>
      </c>
      <c r="D94" s="409" t="str">
        <f t="array" ref="D94">IFERROR(INDEX(Pessoas!$F$6:$F$105,MATCH($B94,Pessoas!$D$6:$D$105,0)),"")</f>
        <v/>
      </c>
      <c r="E94" s="113"/>
      <c r="F94" s="412" t="str">
        <f t="array" ref="F94">IFERROR(INDEX(Pessoas!$C$6:$C$105,MATCH($B94,Pessoas!$D$6:$D$105,0)),"")</f>
        <v/>
      </c>
      <c r="G94" s="413"/>
      <c r="H94" s="413"/>
    </row>
    <row r="95" ht="24.0" customHeight="1">
      <c r="A95" s="113"/>
      <c r="B95" s="112"/>
      <c r="C95" s="409" t="str">
        <f t="array" ref="C95">IFERROR(INDEX(Pessoas!$E$6:$E$105,MATCH($B95,Pessoas!$D$6:$D$105,0)),"")</f>
        <v/>
      </c>
      <c r="D95" s="409" t="str">
        <f t="array" ref="D95">IFERROR(INDEX(Pessoas!$F$6:$F$105,MATCH($B95,Pessoas!$D$6:$D$105,0)),"")</f>
        <v/>
      </c>
      <c r="E95" s="113"/>
      <c r="F95" s="412" t="str">
        <f t="array" ref="F95">IFERROR(INDEX(Pessoas!$C$6:$C$105,MATCH($B95,Pessoas!$D$6:$D$105,0)),"")</f>
        <v/>
      </c>
      <c r="G95" s="413"/>
      <c r="H95" s="413"/>
    </row>
    <row r="96" ht="24.0" customHeight="1">
      <c r="A96" s="113"/>
      <c r="B96" s="112"/>
      <c r="C96" s="409" t="str">
        <f t="array" ref="C96">IFERROR(INDEX(Pessoas!$E$6:$E$105,MATCH($B96,Pessoas!$D$6:$D$105,0)),"")</f>
        <v/>
      </c>
      <c r="D96" s="409" t="str">
        <f t="array" ref="D96">IFERROR(INDEX(Pessoas!$F$6:$F$105,MATCH($B96,Pessoas!$D$6:$D$105,0)),"")</f>
        <v/>
      </c>
      <c r="E96" s="113"/>
      <c r="F96" s="412" t="str">
        <f t="array" ref="F96">IFERROR(INDEX(Pessoas!$C$6:$C$105,MATCH($B96,Pessoas!$D$6:$D$105,0)),"")</f>
        <v/>
      </c>
      <c r="G96" s="413"/>
      <c r="H96" s="413"/>
    </row>
    <row r="97" ht="24.0" customHeight="1">
      <c r="A97" s="113"/>
      <c r="B97" s="112"/>
      <c r="C97" s="409" t="str">
        <f t="array" ref="C97">IFERROR(INDEX(Pessoas!$E$6:$E$105,MATCH($B97,Pessoas!$D$6:$D$105,0)),"")</f>
        <v/>
      </c>
      <c r="D97" s="409" t="str">
        <f t="array" ref="D97">IFERROR(INDEX(Pessoas!$F$6:$F$105,MATCH($B97,Pessoas!$D$6:$D$105,0)),"")</f>
        <v/>
      </c>
      <c r="E97" s="113"/>
      <c r="F97" s="412" t="str">
        <f t="array" ref="F97">IFERROR(INDEX(Pessoas!$C$6:$C$105,MATCH($B97,Pessoas!$D$6:$D$105,0)),"")</f>
        <v/>
      </c>
      <c r="G97" s="413"/>
      <c r="H97" s="413"/>
    </row>
    <row r="98" ht="24.0" customHeight="1">
      <c r="A98" s="113"/>
      <c r="B98" s="112"/>
      <c r="C98" s="409" t="str">
        <f t="array" ref="C98">IFERROR(INDEX(Pessoas!$E$6:$E$105,MATCH($B98,Pessoas!$D$6:$D$105,0)),"")</f>
        <v/>
      </c>
      <c r="D98" s="409" t="str">
        <f t="array" ref="D98">IFERROR(INDEX(Pessoas!$F$6:$F$105,MATCH($B98,Pessoas!$D$6:$D$105,0)),"")</f>
        <v/>
      </c>
      <c r="E98" s="113"/>
      <c r="F98" s="412" t="str">
        <f t="array" ref="F98">IFERROR(INDEX(Pessoas!$C$6:$C$105,MATCH($B98,Pessoas!$D$6:$D$105,0)),"")</f>
        <v/>
      </c>
      <c r="G98" s="413"/>
      <c r="H98" s="413"/>
    </row>
    <row r="99" ht="24.0" customHeight="1">
      <c r="A99" s="113"/>
      <c r="B99" s="112"/>
      <c r="C99" s="409" t="str">
        <f t="array" ref="C99">IFERROR(INDEX(Pessoas!$E$6:$E$105,MATCH($B99,Pessoas!$D$6:$D$105,0)),"")</f>
        <v/>
      </c>
      <c r="D99" s="409" t="str">
        <f t="array" ref="D99">IFERROR(INDEX(Pessoas!$F$6:$F$105,MATCH($B99,Pessoas!$D$6:$D$105,0)),"")</f>
        <v/>
      </c>
      <c r="E99" s="113"/>
      <c r="F99" s="412" t="str">
        <f t="array" ref="F99">IFERROR(INDEX(Pessoas!$C$6:$C$105,MATCH($B99,Pessoas!$D$6:$D$105,0)),"")</f>
        <v/>
      </c>
      <c r="G99" s="413"/>
      <c r="H99" s="413"/>
    </row>
    <row r="100" ht="24.0" customHeight="1">
      <c r="A100" s="113"/>
      <c r="B100" s="112"/>
      <c r="C100" s="409" t="str">
        <f t="array" ref="C100">IFERROR(INDEX(Pessoas!$E$6:$E$105,MATCH($B100,Pessoas!$D$6:$D$105,0)),"")</f>
        <v/>
      </c>
      <c r="D100" s="409" t="str">
        <f t="array" ref="D100">IFERROR(INDEX(Pessoas!$F$6:$F$105,MATCH($B100,Pessoas!$D$6:$D$105,0)),"")</f>
        <v/>
      </c>
      <c r="E100" s="113"/>
      <c r="F100" s="412" t="str">
        <f t="array" ref="F100">IFERROR(INDEX(Pessoas!$C$6:$C$105,MATCH($B100,Pessoas!$D$6:$D$105,0)),"")</f>
        <v/>
      </c>
      <c r="G100" s="413"/>
      <c r="H100" s="413"/>
    </row>
    <row r="101" ht="24.0" customHeight="1">
      <c r="A101" s="113"/>
      <c r="B101" s="112"/>
      <c r="C101" s="409" t="str">
        <f t="array" ref="C101">IFERROR(INDEX(Pessoas!$E$6:$E$105,MATCH($B101,Pessoas!$D$6:$D$105,0)),"")</f>
        <v/>
      </c>
      <c r="D101" s="409" t="str">
        <f t="array" ref="D101">IFERROR(INDEX(Pessoas!$F$6:$F$105,MATCH($B101,Pessoas!$D$6:$D$105,0)),"")</f>
        <v/>
      </c>
      <c r="E101" s="113"/>
      <c r="F101" s="412" t="str">
        <f t="array" ref="F101">IFERROR(INDEX(Pessoas!$C$6:$C$105,MATCH($B101,Pessoas!$D$6:$D$105,0)),"")</f>
        <v/>
      </c>
      <c r="G101" s="413"/>
      <c r="H101" s="413"/>
    </row>
    <row r="102" ht="24.0" customHeight="1">
      <c r="A102" s="113"/>
      <c r="B102" s="112"/>
      <c r="C102" s="409" t="str">
        <f t="array" ref="C102">IFERROR(INDEX(Pessoas!$E$6:$E$105,MATCH($B102,Pessoas!$D$6:$D$105,0)),"")</f>
        <v/>
      </c>
      <c r="D102" s="409" t="str">
        <f t="array" ref="D102">IFERROR(INDEX(Pessoas!$F$6:$F$105,MATCH($B102,Pessoas!$D$6:$D$105,0)),"")</f>
        <v/>
      </c>
      <c r="E102" s="113"/>
      <c r="F102" s="412" t="str">
        <f t="array" ref="F102">IFERROR(INDEX(Pessoas!$C$6:$C$105,MATCH($B102,Pessoas!$D$6:$D$105,0)),"")</f>
        <v/>
      </c>
      <c r="G102" s="413"/>
      <c r="H102" s="413"/>
    </row>
    <row r="103" ht="24.0" customHeight="1">
      <c r="A103" s="113"/>
      <c r="B103" s="112"/>
      <c r="C103" s="409" t="str">
        <f t="array" ref="C103">IFERROR(INDEX(Pessoas!$E$6:$E$105,MATCH($B103,Pessoas!$D$6:$D$105,0)),"")</f>
        <v/>
      </c>
      <c r="D103" s="409" t="str">
        <f t="array" ref="D103">IFERROR(INDEX(Pessoas!$F$6:$F$105,MATCH($B103,Pessoas!$D$6:$D$105,0)),"")</f>
        <v/>
      </c>
      <c r="E103" s="113"/>
      <c r="F103" s="412" t="str">
        <f t="array" ref="F103">IFERROR(INDEX(Pessoas!$C$6:$C$105,MATCH($B103,Pessoas!$D$6:$D$105,0)),"")</f>
        <v/>
      </c>
      <c r="G103" s="413"/>
      <c r="H103" s="413"/>
    </row>
    <row r="104" ht="24.0" customHeight="1">
      <c r="A104" s="113"/>
      <c r="B104" s="112"/>
      <c r="C104" s="409" t="str">
        <f t="array" ref="C104">IFERROR(INDEX(Pessoas!$E$6:$E$105,MATCH($B104,Pessoas!$D$6:$D$105,0)),"")</f>
        <v/>
      </c>
      <c r="D104" s="409" t="str">
        <f t="array" ref="D104">IFERROR(INDEX(Pessoas!$F$6:$F$105,MATCH($B104,Pessoas!$D$6:$D$105,0)),"")</f>
        <v/>
      </c>
      <c r="E104" s="113"/>
      <c r="F104" s="412" t="str">
        <f t="array" ref="F104">IFERROR(INDEX(Pessoas!$C$6:$C$105,MATCH($B104,Pessoas!$D$6:$D$105,0)),"")</f>
        <v/>
      </c>
      <c r="G104" s="413"/>
      <c r="H104" s="413"/>
    </row>
    <row r="105" ht="24.0" customHeight="1">
      <c r="A105" s="113"/>
      <c r="B105" s="112"/>
      <c r="C105" s="409" t="str">
        <f t="array" ref="C105">IFERROR(INDEX(Pessoas!$E$6:$E$105,MATCH($B105,Pessoas!$D$6:$D$105,0)),"")</f>
        <v/>
      </c>
      <c r="D105" s="409" t="str">
        <f t="array" ref="D105">IFERROR(INDEX(Pessoas!$F$6:$F$105,MATCH($B105,Pessoas!$D$6:$D$105,0)),"")</f>
        <v/>
      </c>
      <c r="E105" s="113"/>
      <c r="F105" s="412" t="str">
        <f t="array" ref="F105">IFERROR(INDEX(Pessoas!$C$6:$C$105,MATCH($B105,Pessoas!$D$6:$D$105,0)),"")</f>
        <v/>
      </c>
      <c r="G105" s="413"/>
      <c r="H105" s="413"/>
    </row>
    <row r="106" ht="24.0" customHeight="1">
      <c r="A106" s="113"/>
      <c r="B106" s="112"/>
      <c r="C106" s="409" t="str">
        <f t="array" ref="C106">IFERROR(INDEX(Pessoas!$E$6:$E$105,MATCH($B106,Pessoas!$D$6:$D$105,0)),"")</f>
        <v/>
      </c>
      <c r="D106" s="409" t="str">
        <f t="array" ref="D106">IFERROR(INDEX(Pessoas!$F$6:$F$105,MATCH($B106,Pessoas!$D$6:$D$105,0)),"")</f>
        <v/>
      </c>
      <c r="E106" s="113"/>
      <c r="F106" s="412" t="str">
        <f t="array" ref="F106">IFERROR(INDEX(Pessoas!$C$6:$C$105,MATCH($B106,Pessoas!$D$6:$D$105,0)),"")</f>
        <v/>
      </c>
      <c r="G106" s="413"/>
      <c r="H106" s="413"/>
    </row>
    <row r="107" ht="24.0" customHeight="1">
      <c r="A107" s="113"/>
      <c r="B107" s="112"/>
      <c r="C107" s="409" t="str">
        <f t="array" ref="C107">IFERROR(INDEX(Pessoas!$E$6:$E$105,MATCH($B107,Pessoas!$D$6:$D$105,0)),"")</f>
        <v/>
      </c>
      <c r="D107" s="409" t="str">
        <f t="array" ref="D107">IFERROR(INDEX(Pessoas!$F$6:$F$105,MATCH($B107,Pessoas!$D$6:$D$105,0)),"")</f>
        <v/>
      </c>
      <c r="E107" s="113"/>
      <c r="F107" s="412" t="str">
        <f t="array" ref="F107">IFERROR(INDEX(Pessoas!$C$6:$C$105,MATCH($B107,Pessoas!$D$6:$D$105,0)),"")</f>
        <v/>
      </c>
      <c r="G107" s="413"/>
      <c r="H107" s="413"/>
    </row>
    <row r="108" ht="24.0" customHeight="1">
      <c r="A108" s="113"/>
      <c r="B108" s="112"/>
      <c r="C108" s="409" t="str">
        <f t="array" ref="C108">IFERROR(INDEX(Pessoas!$E$6:$E$105,MATCH($B108,Pessoas!$D$6:$D$105,0)),"")</f>
        <v/>
      </c>
      <c r="D108" s="409" t="str">
        <f t="array" ref="D108">IFERROR(INDEX(Pessoas!$F$6:$F$105,MATCH($B108,Pessoas!$D$6:$D$105,0)),"")</f>
        <v/>
      </c>
      <c r="E108" s="113"/>
      <c r="F108" s="412" t="str">
        <f t="array" ref="F108">IFERROR(INDEX(Pessoas!$C$6:$C$105,MATCH($B108,Pessoas!$D$6:$D$105,0)),"")</f>
        <v/>
      </c>
      <c r="G108" s="413"/>
      <c r="H108" s="413"/>
    </row>
    <row r="109" ht="15.75" customHeight="1">
      <c r="A109" s="113"/>
      <c r="B109" s="112"/>
      <c r="C109" s="409" t="str">
        <f t="array" ref="C109">IFERROR(INDEX(Pessoas!$E$6:$E$105,MATCH($B109,Pessoas!$D$6:$D$105,0)),"")</f>
        <v/>
      </c>
      <c r="D109" s="409" t="str">
        <f t="array" ref="D109">IFERROR(INDEX(Pessoas!$F$6:$F$105,MATCH($B109,Pessoas!$D$6:$D$105,0)),"")</f>
        <v/>
      </c>
      <c r="E109" s="113"/>
      <c r="F109" s="412" t="str">
        <f t="array" ref="F109">IFERROR(INDEX(Pessoas!$C$6:$C$105,MATCH($B109,Pessoas!$D$6:$D$105,0)),"")</f>
        <v/>
      </c>
      <c r="G109" s="413"/>
      <c r="H109" s="413"/>
    </row>
    <row r="110" ht="15.75" customHeight="1">
      <c r="A110" s="113"/>
      <c r="B110" s="112"/>
      <c r="C110" s="409" t="str">
        <f t="array" ref="C110">IFERROR(INDEX(Pessoas!$E$6:$E$105,MATCH($B110,Pessoas!$D$6:$D$105,0)),"")</f>
        <v/>
      </c>
      <c r="D110" s="409" t="str">
        <f t="array" ref="D110">IFERROR(INDEX(Pessoas!$F$6:$F$105,MATCH($B110,Pessoas!$D$6:$D$105,0)),"")</f>
        <v/>
      </c>
      <c r="E110" s="113"/>
      <c r="F110" s="412" t="str">
        <f t="array" ref="F110">IFERROR(INDEX(Pessoas!$C$6:$C$105,MATCH($B110,Pessoas!$D$6:$D$105,0)),"")</f>
        <v/>
      </c>
      <c r="G110" s="413"/>
      <c r="H110" s="413"/>
    </row>
    <row r="111" ht="15.75" customHeight="1">
      <c r="A111" s="113"/>
      <c r="B111" s="112"/>
      <c r="C111" s="409" t="str">
        <f t="array" ref="C111">IFERROR(INDEX(Pessoas!$E$6:$E$105,MATCH($B111,Pessoas!$D$6:$D$105,0)),"")</f>
        <v/>
      </c>
      <c r="D111" s="409" t="str">
        <f t="array" ref="D111">IFERROR(INDEX(Pessoas!$F$6:$F$105,MATCH($B111,Pessoas!$D$6:$D$105,0)),"")</f>
        <v/>
      </c>
      <c r="E111" s="113"/>
      <c r="F111" s="412" t="str">
        <f t="array" ref="F111">IFERROR(INDEX(Pessoas!$C$6:$C$105,MATCH($B111,Pessoas!$D$6:$D$105,0)),"")</f>
        <v/>
      </c>
      <c r="G111" s="413"/>
      <c r="H111" s="413"/>
    </row>
    <row r="112" ht="15.75" customHeight="1">
      <c r="A112" s="113"/>
      <c r="B112" s="112"/>
      <c r="C112" s="409" t="str">
        <f t="array" ref="C112">IFERROR(INDEX(Pessoas!$E$6:$E$105,MATCH($B112,Pessoas!$D$6:$D$105,0)),"")</f>
        <v/>
      </c>
      <c r="D112" s="409" t="str">
        <f t="array" ref="D112">IFERROR(INDEX(Pessoas!$F$6:$F$105,MATCH($B112,Pessoas!$D$6:$D$105,0)),"")</f>
        <v/>
      </c>
      <c r="E112" s="113"/>
      <c r="F112" s="412" t="str">
        <f t="array" ref="F112">IFERROR(INDEX(Pessoas!$C$6:$C$105,MATCH($B112,Pessoas!$D$6:$D$105,0)),"")</f>
        <v/>
      </c>
      <c r="G112" s="413"/>
      <c r="H112" s="413"/>
    </row>
    <row r="113" ht="15.75" customHeight="1">
      <c r="A113" s="113"/>
      <c r="B113" s="112"/>
      <c r="C113" s="409" t="str">
        <f t="array" ref="C113">IFERROR(INDEX(Pessoas!$E$6:$E$105,MATCH($B113,Pessoas!$D$6:$D$105,0)),"")</f>
        <v/>
      </c>
      <c r="D113" s="409" t="str">
        <f t="array" ref="D113">IFERROR(INDEX(Pessoas!$F$6:$F$105,MATCH($B113,Pessoas!$D$6:$D$105,0)),"")</f>
        <v/>
      </c>
      <c r="E113" s="113"/>
      <c r="F113" s="412" t="str">
        <f t="array" ref="F113">IFERROR(INDEX(Pessoas!$C$6:$C$105,MATCH($B113,Pessoas!$D$6:$D$105,0)),"")</f>
        <v/>
      </c>
      <c r="G113" s="413"/>
      <c r="H113" s="413"/>
    </row>
    <row r="114" ht="15.75" customHeight="1">
      <c r="A114" s="113"/>
      <c r="B114" s="112"/>
      <c r="C114" s="409" t="str">
        <f t="array" ref="C114">IFERROR(INDEX(Pessoas!$E$6:$E$105,MATCH($B114,Pessoas!$D$6:$D$105,0)),"")</f>
        <v/>
      </c>
      <c r="D114" s="409" t="str">
        <f t="array" ref="D114">IFERROR(INDEX(Pessoas!$F$6:$F$105,MATCH($B114,Pessoas!$D$6:$D$105,0)),"")</f>
        <v/>
      </c>
      <c r="E114" s="113"/>
      <c r="F114" s="412" t="str">
        <f t="array" ref="F114">IFERROR(INDEX(Pessoas!$C$6:$C$105,MATCH($B114,Pessoas!$D$6:$D$105,0)),"")</f>
        <v/>
      </c>
      <c r="G114" s="413"/>
      <c r="H114" s="413"/>
    </row>
    <row r="115" ht="15.75" customHeight="1">
      <c r="A115" s="113"/>
      <c r="B115" s="112"/>
      <c r="C115" s="409" t="str">
        <f t="array" ref="C115">IFERROR(INDEX(Pessoas!$E$6:$E$105,MATCH($B115,Pessoas!$D$6:$D$105,0)),"")</f>
        <v/>
      </c>
      <c r="D115" s="409" t="str">
        <f t="array" ref="D115">IFERROR(INDEX(Pessoas!$F$6:$F$105,MATCH($B115,Pessoas!$D$6:$D$105,0)),"")</f>
        <v/>
      </c>
      <c r="E115" s="113"/>
      <c r="F115" s="412" t="str">
        <f t="array" ref="F115">IFERROR(INDEX(Pessoas!$C$6:$C$105,MATCH($B115,Pessoas!$D$6:$D$105,0)),"")</f>
        <v/>
      </c>
      <c r="G115" s="413"/>
      <c r="H115" s="413"/>
    </row>
    <row r="116" ht="15.75" customHeight="1">
      <c r="A116" s="113"/>
      <c r="B116" s="112"/>
      <c r="C116" s="409" t="str">
        <f t="array" ref="C116">IFERROR(INDEX(Pessoas!$E$6:$E$105,MATCH($B116,Pessoas!$D$6:$D$105,0)),"")</f>
        <v/>
      </c>
      <c r="D116" s="409" t="str">
        <f t="array" ref="D116">IFERROR(INDEX(Pessoas!$F$6:$F$105,MATCH($B116,Pessoas!$D$6:$D$105,0)),"")</f>
        <v/>
      </c>
      <c r="E116" s="113"/>
      <c r="F116" s="412" t="str">
        <f t="array" ref="F116">IFERROR(INDEX(Pessoas!$C$6:$C$105,MATCH($B116,Pessoas!$D$6:$D$105,0)),"")</f>
        <v/>
      </c>
      <c r="G116" s="413"/>
      <c r="H116" s="413"/>
    </row>
    <row r="117" ht="15.75" customHeight="1">
      <c r="A117" s="113"/>
      <c r="B117" s="112"/>
      <c r="C117" s="409" t="str">
        <f t="array" ref="C117">IFERROR(INDEX(Pessoas!$E$6:$E$105,MATCH($B117,Pessoas!$D$6:$D$105,0)),"")</f>
        <v/>
      </c>
      <c r="D117" s="409" t="str">
        <f t="array" ref="D117">IFERROR(INDEX(Pessoas!$F$6:$F$105,MATCH($B117,Pessoas!$D$6:$D$105,0)),"")</f>
        <v/>
      </c>
      <c r="E117" s="113"/>
      <c r="F117" s="412" t="str">
        <f t="array" ref="F117">IFERROR(INDEX(Pessoas!$C$6:$C$105,MATCH($B117,Pessoas!$D$6:$D$105,0)),"")</f>
        <v/>
      </c>
      <c r="G117" s="413"/>
      <c r="H117" s="413"/>
    </row>
    <row r="118" ht="15.75" customHeight="1">
      <c r="A118" s="113"/>
      <c r="B118" s="112"/>
      <c r="C118" s="409" t="str">
        <f t="array" ref="C118">IFERROR(INDEX(Pessoas!$E$6:$E$105,MATCH($B118,Pessoas!$D$6:$D$105,0)),"")</f>
        <v/>
      </c>
      <c r="D118" s="409" t="str">
        <f t="array" ref="D118">IFERROR(INDEX(Pessoas!$F$6:$F$105,MATCH($B118,Pessoas!$D$6:$D$105,0)),"")</f>
        <v/>
      </c>
      <c r="E118" s="113"/>
      <c r="F118" s="412" t="str">
        <f t="array" ref="F118">IFERROR(INDEX(Pessoas!$C$6:$C$105,MATCH($B118,Pessoas!$D$6:$D$105,0)),"")</f>
        <v/>
      </c>
      <c r="G118" s="413"/>
      <c r="H118" s="413"/>
    </row>
    <row r="119" ht="15.75" customHeight="1">
      <c r="A119" s="113"/>
      <c r="B119" s="112"/>
      <c r="C119" s="409" t="str">
        <f t="array" ref="C119">IFERROR(INDEX(Pessoas!$E$6:$E$105,MATCH($B119,Pessoas!$D$6:$D$105,0)),"")</f>
        <v/>
      </c>
      <c r="D119" s="409" t="str">
        <f t="array" ref="D119">IFERROR(INDEX(Pessoas!$F$6:$F$105,MATCH($B119,Pessoas!$D$6:$D$105,0)),"")</f>
        <v/>
      </c>
      <c r="E119" s="113"/>
      <c r="F119" s="412" t="str">
        <f t="array" ref="F119">IFERROR(INDEX(Pessoas!$C$6:$C$105,MATCH($B119,Pessoas!$D$6:$D$105,0)),"")</f>
        <v/>
      </c>
      <c r="G119" s="413"/>
      <c r="H119" s="413"/>
    </row>
    <row r="120" ht="15.75" customHeight="1">
      <c r="A120" s="113"/>
      <c r="B120" s="112"/>
      <c r="C120" s="409" t="str">
        <f t="array" ref="C120">IFERROR(INDEX(Pessoas!$E$6:$E$105,MATCH($B120,Pessoas!$D$6:$D$105,0)),"")</f>
        <v/>
      </c>
      <c r="D120" s="409" t="str">
        <f t="array" ref="D120">IFERROR(INDEX(Pessoas!$F$6:$F$105,MATCH($B120,Pessoas!$D$6:$D$105,0)),"")</f>
        <v/>
      </c>
      <c r="E120" s="113"/>
      <c r="F120" s="412" t="str">
        <f t="array" ref="F120">IFERROR(INDEX(Pessoas!$C$6:$C$105,MATCH($B120,Pessoas!$D$6:$D$105,0)),"")</f>
        <v/>
      </c>
      <c r="G120" s="413"/>
      <c r="H120" s="413"/>
    </row>
    <row r="121" ht="15.75" customHeight="1">
      <c r="A121" s="113"/>
      <c r="B121" s="112"/>
      <c r="C121" s="409" t="str">
        <f t="array" ref="C121">IFERROR(INDEX(Pessoas!$E$6:$E$105,MATCH($B121,Pessoas!$D$6:$D$105,0)),"")</f>
        <v/>
      </c>
      <c r="D121" s="409" t="str">
        <f t="array" ref="D121">IFERROR(INDEX(Pessoas!$F$6:$F$105,MATCH($B121,Pessoas!$D$6:$D$105,0)),"")</f>
        <v/>
      </c>
      <c r="E121" s="113"/>
      <c r="F121" s="412" t="str">
        <f t="array" ref="F121">IFERROR(INDEX(Pessoas!$C$6:$C$105,MATCH($B121,Pessoas!$D$6:$D$105,0)),"")</f>
        <v/>
      </c>
      <c r="G121" s="413"/>
      <c r="H121" s="413"/>
    </row>
    <row r="122" ht="15.75" customHeight="1">
      <c r="A122" s="113"/>
      <c r="B122" s="112"/>
      <c r="C122" s="409" t="str">
        <f t="array" ref="C122">IFERROR(INDEX(Pessoas!$E$6:$E$105,MATCH($B122,Pessoas!$D$6:$D$105,0)),"")</f>
        <v/>
      </c>
      <c r="D122" s="409" t="str">
        <f t="array" ref="D122">IFERROR(INDEX(Pessoas!$F$6:$F$105,MATCH($B122,Pessoas!$D$6:$D$105,0)),"")</f>
        <v/>
      </c>
      <c r="E122" s="113"/>
      <c r="F122" s="412" t="str">
        <f t="array" ref="F122">IFERROR(INDEX(Pessoas!$C$6:$C$105,MATCH($B122,Pessoas!$D$6:$D$105,0)),"")</f>
        <v/>
      </c>
      <c r="G122" s="413"/>
      <c r="H122" s="413"/>
    </row>
    <row r="123" ht="15.75" customHeight="1">
      <c r="A123" s="113"/>
      <c r="B123" s="112"/>
      <c r="C123" s="409" t="str">
        <f t="array" ref="C123">IFERROR(INDEX(Pessoas!$E$6:$E$105,MATCH($B123,Pessoas!$D$6:$D$105,0)),"")</f>
        <v/>
      </c>
      <c r="D123" s="409" t="str">
        <f t="array" ref="D123">IFERROR(INDEX(Pessoas!$F$6:$F$105,MATCH($B123,Pessoas!$D$6:$D$105,0)),"")</f>
        <v/>
      </c>
      <c r="E123" s="113"/>
      <c r="F123" s="412" t="str">
        <f t="array" ref="F123">IFERROR(INDEX(Pessoas!$C$6:$C$105,MATCH($B123,Pessoas!$D$6:$D$105,0)),"")</f>
        <v/>
      </c>
      <c r="G123" s="413"/>
      <c r="H123" s="413"/>
    </row>
    <row r="124" ht="15.75" customHeight="1">
      <c r="A124" s="113"/>
      <c r="B124" s="112"/>
      <c r="C124" s="409" t="str">
        <f t="array" ref="C124">IFERROR(INDEX(Pessoas!$E$6:$E$105,MATCH($B124,Pessoas!$D$6:$D$105,0)),"")</f>
        <v/>
      </c>
      <c r="D124" s="409" t="str">
        <f t="array" ref="D124">IFERROR(INDEX(Pessoas!$F$6:$F$105,MATCH($B124,Pessoas!$D$6:$D$105,0)),"")</f>
        <v/>
      </c>
      <c r="E124" s="113"/>
      <c r="F124" s="412" t="str">
        <f t="array" ref="F124">IFERROR(INDEX(Pessoas!$C$6:$C$105,MATCH($B124,Pessoas!$D$6:$D$105,0)),"")</f>
        <v/>
      </c>
      <c r="G124" s="413"/>
      <c r="H124" s="413"/>
    </row>
    <row r="125" ht="15.75" customHeight="1">
      <c r="A125" s="113"/>
      <c r="B125" s="112"/>
      <c r="C125" s="409" t="str">
        <f t="array" ref="C125">IFERROR(INDEX(Pessoas!$E$6:$E$105,MATCH($B125,Pessoas!$D$6:$D$105,0)),"")</f>
        <v/>
      </c>
      <c r="D125" s="409" t="str">
        <f t="array" ref="D125">IFERROR(INDEX(Pessoas!$F$6:$F$105,MATCH($B125,Pessoas!$D$6:$D$105,0)),"")</f>
        <v/>
      </c>
      <c r="E125" s="113"/>
      <c r="F125" s="412" t="str">
        <f t="array" ref="F125">IFERROR(INDEX(Pessoas!$C$6:$C$105,MATCH($B125,Pessoas!$D$6:$D$105,0)),"")</f>
        <v/>
      </c>
      <c r="G125" s="413"/>
      <c r="H125" s="413"/>
    </row>
    <row r="126" ht="15.75" customHeight="1">
      <c r="A126" s="113"/>
      <c r="B126" s="112"/>
      <c r="C126" s="409" t="str">
        <f t="array" ref="C126">IFERROR(INDEX(Pessoas!$E$6:$E$105,MATCH($B126,Pessoas!$D$6:$D$105,0)),"")</f>
        <v/>
      </c>
      <c r="D126" s="409" t="str">
        <f t="array" ref="D126">IFERROR(INDEX(Pessoas!$F$6:$F$105,MATCH($B126,Pessoas!$D$6:$D$105,0)),"")</f>
        <v/>
      </c>
      <c r="E126" s="113"/>
      <c r="F126" s="412" t="str">
        <f t="array" ref="F126">IFERROR(INDEX(Pessoas!$C$6:$C$105,MATCH($B126,Pessoas!$D$6:$D$105,0)),"")</f>
        <v/>
      </c>
      <c r="G126" s="413"/>
      <c r="H126" s="413"/>
    </row>
    <row r="127" ht="15.75" customHeight="1">
      <c r="A127" s="113"/>
      <c r="B127" s="112"/>
      <c r="C127" s="409" t="str">
        <f t="array" ref="C127">IFERROR(INDEX(Pessoas!$E$6:$E$105,MATCH($B127,Pessoas!$D$6:$D$105,0)),"")</f>
        <v/>
      </c>
      <c r="D127" s="409" t="str">
        <f t="array" ref="D127">IFERROR(INDEX(Pessoas!$F$6:$F$105,MATCH($B127,Pessoas!$D$6:$D$105,0)),"")</f>
        <v/>
      </c>
      <c r="E127" s="113"/>
      <c r="F127" s="412" t="str">
        <f t="array" ref="F127">IFERROR(INDEX(Pessoas!$C$6:$C$105,MATCH($B127,Pessoas!$D$6:$D$105,0)),"")</f>
        <v/>
      </c>
      <c r="G127" s="413"/>
      <c r="H127" s="413"/>
    </row>
    <row r="128" ht="15.75" customHeight="1">
      <c r="A128" s="113"/>
      <c r="B128" s="112"/>
      <c r="C128" s="409" t="str">
        <f t="array" ref="C128">IFERROR(INDEX(Pessoas!$E$6:$E$105,MATCH($B128,Pessoas!$D$6:$D$105,0)),"")</f>
        <v/>
      </c>
      <c r="D128" s="409" t="str">
        <f t="array" ref="D128">IFERROR(INDEX(Pessoas!$F$6:$F$105,MATCH($B128,Pessoas!$D$6:$D$105,0)),"")</f>
        <v/>
      </c>
      <c r="E128" s="113"/>
      <c r="F128" s="412" t="str">
        <f t="array" ref="F128">IFERROR(INDEX(Pessoas!$C$6:$C$105,MATCH($B128,Pessoas!$D$6:$D$105,0)),"")</f>
        <v/>
      </c>
      <c r="G128" s="413"/>
      <c r="H128" s="413"/>
    </row>
    <row r="129" ht="15.75" customHeight="1">
      <c r="A129" s="113"/>
      <c r="B129" s="112"/>
      <c r="C129" s="409" t="str">
        <f t="array" ref="C129">IFERROR(INDEX(Pessoas!$E$6:$E$105,MATCH($B129,Pessoas!$D$6:$D$105,0)),"")</f>
        <v/>
      </c>
      <c r="D129" s="409" t="str">
        <f t="array" ref="D129">IFERROR(INDEX(Pessoas!$F$6:$F$105,MATCH($B129,Pessoas!$D$6:$D$105,0)),"")</f>
        <v/>
      </c>
      <c r="E129" s="113"/>
      <c r="F129" s="412" t="str">
        <f t="array" ref="F129">IFERROR(INDEX(Pessoas!$C$6:$C$105,MATCH($B129,Pessoas!$D$6:$D$105,0)),"")</f>
        <v/>
      </c>
      <c r="G129" s="413"/>
      <c r="H129" s="413"/>
    </row>
    <row r="130" ht="15.75" customHeight="1">
      <c r="A130" s="113"/>
      <c r="B130" s="112"/>
      <c r="C130" s="409" t="str">
        <f t="array" ref="C130">IFERROR(INDEX(Pessoas!$E$6:$E$105,MATCH($B130,Pessoas!$D$6:$D$105,0)),"")</f>
        <v/>
      </c>
      <c r="D130" s="409" t="str">
        <f t="array" ref="D130">IFERROR(INDEX(Pessoas!$F$6:$F$105,MATCH($B130,Pessoas!$D$6:$D$105,0)),"")</f>
        <v/>
      </c>
      <c r="E130" s="113"/>
      <c r="F130" s="412" t="str">
        <f t="array" ref="F130">IFERROR(INDEX(Pessoas!$C$6:$C$105,MATCH($B130,Pessoas!$D$6:$D$105,0)),"")</f>
        <v/>
      </c>
      <c r="G130" s="413"/>
      <c r="H130" s="413"/>
    </row>
    <row r="131" ht="15.75" customHeight="1">
      <c r="A131" s="113"/>
      <c r="B131" s="112"/>
      <c r="C131" s="409" t="str">
        <f t="array" ref="C131">IFERROR(INDEX(Pessoas!$E$6:$E$105,MATCH($B131,Pessoas!$D$6:$D$105,0)),"")</f>
        <v/>
      </c>
      <c r="D131" s="409" t="str">
        <f t="array" ref="D131">IFERROR(INDEX(Pessoas!$F$6:$F$105,MATCH($B131,Pessoas!$D$6:$D$105,0)),"")</f>
        <v/>
      </c>
      <c r="E131" s="113"/>
      <c r="F131" s="412" t="str">
        <f t="array" ref="F131">IFERROR(INDEX(Pessoas!$C$6:$C$105,MATCH($B131,Pessoas!$D$6:$D$105,0)),"")</f>
        <v/>
      </c>
      <c r="G131" s="413"/>
      <c r="H131" s="413"/>
    </row>
    <row r="132" ht="15.75" customHeight="1">
      <c r="A132" s="113"/>
      <c r="B132" s="112"/>
      <c r="C132" s="409" t="str">
        <f t="array" ref="C132">IFERROR(INDEX(Pessoas!$E$6:$E$105,MATCH($B132,Pessoas!$D$6:$D$105,0)),"")</f>
        <v/>
      </c>
      <c r="D132" s="409" t="str">
        <f t="array" ref="D132">IFERROR(INDEX(Pessoas!$F$6:$F$105,MATCH($B132,Pessoas!$D$6:$D$105,0)),"")</f>
        <v/>
      </c>
      <c r="E132" s="113"/>
      <c r="F132" s="412" t="str">
        <f t="array" ref="F132">IFERROR(INDEX(Pessoas!$C$6:$C$105,MATCH($B132,Pessoas!$D$6:$D$105,0)),"")</f>
        <v/>
      </c>
      <c r="G132" s="413"/>
      <c r="H132" s="413"/>
    </row>
    <row r="133" ht="15.75" customHeight="1">
      <c r="A133" s="113"/>
      <c r="B133" s="112"/>
      <c r="C133" s="409" t="str">
        <f t="array" ref="C133">IFERROR(INDEX(Pessoas!$E$6:$E$105,MATCH($B133,Pessoas!$D$6:$D$105,0)),"")</f>
        <v/>
      </c>
      <c r="D133" s="409" t="str">
        <f t="array" ref="D133">IFERROR(INDEX(Pessoas!$F$6:$F$105,MATCH($B133,Pessoas!$D$6:$D$105,0)),"")</f>
        <v/>
      </c>
      <c r="E133" s="113"/>
      <c r="F133" s="412" t="str">
        <f t="array" ref="F133">IFERROR(INDEX(Pessoas!$C$6:$C$105,MATCH($B133,Pessoas!$D$6:$D$105,0)),"")</f>
        <v/>
      </c>
      <c r="G133" s="413"/>
      <c r="H133" s="413"/>
    </row>
    <row r="134" ht="15.75" customHeight="1">
      <c r="A134" s="113"/>
      <c r="B134" s="112"/>
      <c r="C134" s="409" t="str">
        <f t="array" ref="C134">IFERROR(INDEX(Pessoas!$E$6:$E$105,MATCH($B134,Pessoas!$D$6:$D$105,0)),"")</f>
        <v/>
      </c>
      <c r="D134" s="409" t="str">
        <f t="array" ref="D134">IFERROR(INDEX(Pessoas!$F$6:$F$105,MATCH($B134,Pessoas!$D$6:$D$105,0)),"")</f>
        <v/>
      </c>
      <c r="E134" s="113"/>
      <c r="F134" s="412" t="str">
        <f t="array" ref="F134">IFERROR(INDEX(Pessoas!$C$6:$C$105,MATCH($B134,Pessoas!$D$6:$D$105,0)),"")</f>
        <v/>
      </c>
      <c r="G134" s="413"/>
      <c r="H134" s="413"/>
    </row>
    <row r="135" ht="15.75" customHeight="1">
      <c r="A135" s="113"/>
      <c r="B135" s="112"/>
      <c r="C135" s="409" t="str">
        <f t="array" ref="C135">IFERROR(INDEX(Pessoas!$E$6:$E$105,MATCH($B135,Pessoas!$D$6:$D$105,0)),"")</f>
        <v/>
      </c>
      <c r="D135" s="409" t="str">
        <f t="array" ref="D135">IFERROR(INDEX(Pessoas!$F$6:$F$105,MATCH($B135,Pessoas!$D$6:$D$105,0)),"")</f>
        <v/>
      </c>
      <c r="E135" s="113"/>
      <c r="F135" s="412" t="str">
        <f t="array" ref="F135">IFERROR(INDEX(Pessoas!$C$6:$C$105,MATCH($B135,Pessoas!$D$6:$D$105,0)),"")</f>
        <v/>
      </c>
      <c r="G135" s="413"/>
      <c r="H135" s="413"/>
    </row>
    <row r="136" ht="15.75" customHeight="1">
      <c r="A136" s="113"/>
      <c r="B136" s="112"/>
      <c r="C136" s="409" t="str">
        <f t="array" ref="C136">IFERROR(INDEX(Pessoas!$E$6:$E$105,MATCH($B136,Pessoas!$D$6:$D$105,0)),"")</f>
        <v/>
      </c>
      <c r="D136" s="409" t="str">
        <f t="array" ref="D136">IFERROR(INDEX(Pessoas!$F$6:$F$105,MATCH($B136,Pessoas!$D$6:$D$105,0)),"")</f>
        <v/>
      </c>
      <c r="E136" s="113"/>
      <c r="F136" s="412" t="str">
        <f t="array" ref="F136">IFERROR(INDEX(Pessoas!$C$6:$C$105,MATCH($B136,Pessoas!$D$6:$D$105,0)),"")</f>
        <v/>
      </c>
      <c r="G136" s="413"/>
      <c r="H136" s="413"/>
    </row>
    <row r="137" ht="15.75" customHeight="1">
      <c r="A137" s="113"/>
      <c r="B137" s="112"/>
      <c r="C137" s="409" t="str">
        <f t="array" ref="C137">IFERROR(INDEX(Pessoas!$E$6:$E$105,MATCH($B137,Pessoas!$D$6:$D$105,0)),"")</f>
        <v/>
      </c>
      <c r="D137" s="409" t="str">
        <f t="array" ref="D137">IFERROR(INDEX(Pessoas!$F$6:$F$105,MATCH($B137,Pessoas!$D$6:$D$105,0)),"")</f>
        <v/>
      </c>
      <c r="E137" s="113"/>
      <c r="F137" s="412" t="str">
        <f t="array" ref="F137">IFERROR(INDEX(Pessoas!$C$6:$C$105,MATCH($B137,Pessoas!$D$6:$D$105,0)),"")</f>
        <v/>
      </c>
      <c r="G137" s="413"/>
      <c r="H137" s="413"/>
    </row>
    <row r="138" ht="15.75" customHeight="1">
      <c r="A138" s="113"/>
      <c r="B138" s="112"/>
      <c r="C138" s="409" t="str">
        <f t="array" ref="C138">IFERROR(INDEX(Pessoas!$E$6:$E$105,MATCH($B138,Pessoas!$D$6:$D$105,0)),"")</f>
        <v/>
      </c>
      <c r="D138" s="409" t="str">
        <f t="array" ref="D138">IFERROR(INDEX(Pessoas!$F$6:$F$105,MATCH($B138,Pessoas!$D$6:$D$105,0)),"")</f>
        <v/>
      </c>
      <c r="E138" s="113"/>
      <c r="F138" s="412" t="str">
        <f t="array" ref="F138">IFERROR(INDEX(Pessoas!$C$6:$C$105,MATCH($B138,Pessoas!$D$6:$D$105,0)),"")</f>
        <v/>
      </c>
      <c r="G138" s="413"/>
      <c r="H138" s="413"/>
    </row>
    <row r="139" ht="15.75" customHeight="1">
      <c r="A139" s="113"/>
      <c r="B139" s="112"/>
      <c r="C139" s="409" t="str">
        <f t="array" ref="C139">IFERROR(INDEX(Pessoas!$E$6:$E$105,MATCH($B139,Pessoas!$D$6:$D$105,0)),"")</f>
        <v/>
      </c>
      <c r="D139" s="409" t="str">
        <f t="array" ref="D139">IFERROR(INDEX(Pessoas!$F$6:$F$105,MATCH($B139,Pessoas!$D$6:$D$105,0)),"")</f>
        <v/>
      </c>
      <c r="E139" s="113"/>
      <c r="F139" s="412" t="str">
        <f t="array" ref="F139">IFERROR(INDEX(Pessoas!$C$6:$C$105,MATCH($B139,Pessoas!$D$6:$D$105,0)),"")</f>
        <v/>
      </c>
      <c r="G139" s="413"/>
      <c r="H139" s="413"/>
    </row>
    <row r="140" ht="15.75" customHeight="1">
      <c r="A140" s="113"/>
      <c r="B140" s="112"/>
      <c r="C140" s="409" t="str">
        <f t="array" ref="C140">IFERROR(INDEX(Pessoas!$E$6:$E$105,MATCH($B140,Pessoas!$D$6:$D$105,0)),"")</f>
        <v/>
      </c>
      <c r="D140" s="409" t="str">
        <f t="array" ref="D140">IFERROR(INDEX(Pessoas!$F$6:$F$105,MATCH($B140,Pessoas!$D$6:$D$105,0)),"")</f>
        <v/>
      </c>
      <c r="E140" s="113"/>
      <c r="F140" s="412" t="str">
        <f t="array" ref="F140">IFERROR(INDEX(Pessoas!$C$6:$C$105,MATCH($B140,Pessoas!$D$6:$D$105,0)),"")</f>
        <v/>
      </c>
      <c r="G140" s="413"/>
      <c r="H140" s="413"/>
    </row>
    <row r="141" ht="15.75" customHeight="1">
      <c r="A141" s="113"/>
      <c r="B141" s="112"/>
      <c r="C141" s="409" t="str">
        <f t="array" ref="C141">IFERROR(INDEX(Pessoas!$E$6:$E$105,MATCH($B141,Pessoas!$D$6:$D$105,0)),"")</f>
        <v/>
      </c>
      <c r="D141" s="409" t="str">
        <f t="array" ref="D141">IFERROR(INDEX(Pessoas!$F$6:$F$105,MATCH($B141,Pessoas!$D$6:$D$105,0)),"")</f>
        <v/>
      </c>
      <c r="E141" s="113"/>
      <c r="F141" s="412" t="str">
        <f t="array" ref="F141">IFERROR(INDEX(Pessoas!$C$6:$C$105,MATCH($B141,Pessoas!$D$6:$D$105,0)),"")</f>
        <v/>
      </c>
      <c r="G141" s="413"/>
      <c r="H141" s="413"/>
    </row>
    <row r="142" ht="15.75" customHeight="1">
      <c r="A142" s="113"/>
      <c r="B142" s="112"/>
      <c r="C142" s="409" t="str">
        <f t="array" ref="C142">IFERROR(INDEX(Pessoas!$E$6:$E$105,MATCH($B142,Pessoas!$D$6:$D$105,0)),"")</f>
        <v/>
      </c>
      <c r="D142" s="409" t="str">
        <f t="array" ref="D142">IFERROR(INDEX(Pessoas!$F$6:$F$105,MATCH($B142,Pessoas!$D$6:$D$105,0)),"")</f>
        <v/>
      </c>
      <c r="E142" s="113"/>
      <c r="F142" s="412" t="str">
        <f t="array" ref="F142">IFERROR(INDEX(Pessoas!$C$6:$C$105,MATCH($B142,Pessoas!$D$6:$D$105,0)),"")</f>
        <v/>
      </c>
      <c r="G142" s="413"/>
      <c r="H142" s="413"/>
    </row>
    <row r="143" ht="15.75" customHeight="1">
      <c r="A143" s="113"/>
      <c r="B143" s="112"/>
      <c r="C143" s="409" t="str">
        <f t="array" ref="C143">IFERROR(INDEX(Pessoas!$E$6:$E$105,MATCH($B143,Pessoas!$D$6:$D$105,0)),"")</f>
        <v/>
      </c>
      <c r="D143" s="409" t="str">
        <f t="array" ref="D143">IFERROR(INDEX(Pessoas!$F$6:$F$105,MATCH($B143,Pessoas!$D$6:$D$105,0)),"")</f>
        <v/>
      </c>
      <c r="E143" s="113"/>
      <c r="F143" s="412" t="str">
        <f t="array" ref="F143">IFERROR(INDEX(Pessoas!$C$6:$C$105,MATCH($B143,Pessoas!$D$6:$D$105,0)),"")</f>
        <v/>
      </c>
      <c r="G143" s="413"/>
      <c r="H143" s="413"/>
    </row>
    <row r="144" ht="15.75" customHeight="1">
      <c r="A144" s="113"/>
      <c r="B144" s="112"/>
      <c r="C144" s="409" t="str">
        <f t="array" ref="C144">IFERROR(INDEX(Pessoas!$E$6:$E$105,MATCH($B144,Pessoas!$D$6:$D$105,0)),"")</f>
        <v/>
      </c>
      <c r="D144" s="409" t="str">
        <f t="array" ref="D144">IFERROR(INDEX(Pessoas!$F$6:$F$105,MATCH($B144,Pessoas!$D$6:$D$105,0)),"")</f>
        <v/>
      </c>
      <c r="E144" s="113"/>
      <c r="F144" s="412" t="str">
        <f t="array" ref="F144">IFERROR(INDEX(Pessoas!$C$6:$C$105,MATCH($B144,Pessoas!$D$6:$D$105,0)),"")</f>
        <v/>
      </c>
      <c r="G144" s="413"/>
      <c r="H144" s="413"/>
    </row>
    <row r="145" ht="15.75" customHeight="1">
      <c r="A145" s="113"/>
      <c r="B145" s="112"/>
      <c r="C145" s="409" t="str">
        <f t="array" ref="C145">IFERROR(INDEX(Pessoas!$E$6:$E$105,MATCH($B145,Pessoas!$D$6:$D$105,0)),"")</f>
        <v/>
      </c>
      <c r="D145" s="409" t="str">
        <f t="array" ref="D145">IFERROR(INDEX(Pessoas!$F$6:$F$105,MATCH($B145,Pessoas!$D$6:$D$105,0)),"")</f>
        <v/>
      </c>
      <c r="E145" s="113"/>
      <c r="F145" s="412" t="str">
        <f t="array" ref="F145">IFERROR(INDEX(Pessoas!$C$6:$C$105,MATCH($B145,Pessoas!$D$6:$D$105,0)),"")</f>
        <v/>
      </c>
      <c r="G145" s="413"/>
      <c r="H145" s="413"/>
    </row>
    <row r="146" ht="15.75" customHeight="1">
      <c r="A146" s="113"/>
      <c r="B146" s="112"/>
      <c r="C146" s="409" t="str">
        <f t="array" ref="C146">IFERROR(INDEX(Pessoas!$E$6:$E$105,MATCH($B146,Pessoas!$D$6:$D$105,0)),"")</f>
        <v/>
      </c>
      <c r="D146" s="409" t="str">
        <f t="array" ref="D146">IFERROR(INDEX(Pessoas!$F$6:$F$105,MATCH($B146,Pessoas!$D$6:$D$105,0)),"")</f>
        <v/>
      </c>
      <c r="E146" s="113"/>
      <c r="F146" s="412" t="str">
        <f t="array" ref="F146">IFERROR(INDEX(Pessoas!$C$6:$C$105,MATCH($B146,Pessoas!$D$6:$D$105,0)),"")</f>
        <v/>
      </c>
      <c r="G146" s="413"/>
      <c r="H146" s="413"/>
    </row>
    <row r="147" ht="15.75" customHeight="1">
      <c r="A147" s="113"/>
      <c r="B147" s="112"/>
      <c r="C147" s="409" t="str">
        <f t="array" ref="C147">IFERROR(INDEX(Pessoas!$E$6:$E$105,MATCH($B147,Pessoas!$D$6:$D$105,0)),"")</f>
        <v/>
      </c>
      <c r="D147" s="409" t="str">
        <f t="array" ref="D147">IFERROR(INDEX(Pessoas!$F$6:$F$105,MATCH($B147,Pessoas!$D$6:$D$105,0)),"")</f>
        <v/>
      </c>
      <c r="E147" s="113"/>
      <c r="F147" s="412" t="str">
        <f t="array" ref="F147">IFERROR(INDEX(Pessoas!$C$6:$C$105,MATCH($B147,Pessoas!$D$6:$D$105,0)),"")</f>
        <v/>
      </c>
      <c r="G147" s="413"/>
      <c r="H147" s="413"/>
    </row>
    <row r="148" ht="15.75" customHeight="1">
      <c r="A148" s="113"/>
      <c r="B148" s="112"/>
      <c r="C148" s="409" t="str">
        <f t="array" ref="C148">IFERROR(INDEX(Pessoas!$E$6:$E$105,MATCH($B148,Pessoas!$D$6:$D$105,0)),"")</f>
        <v/>
      </c>
      <c r="D148" s="409" t="str">
        <f t="array" ref="D148">IFERROR(INDEX(Pessoas!$F$6:$F$105,MATCH($B148,Pessoas!$D$6:$D$105,0)),"")</f>
        <v/>
      </c>
      <c r="E148" s="113"/>
      <c r="F148" s="412" t="str">
        <f t="array" ref="F148">IFERROR(INDEX(Pessoas!$C$6:$C$105,MATCH($B148,Pessoas!$D$6:$D$105,0)),"")</f>
        <v/>
      </c>
      <c r="G148" s="413"/>
      <c r="H148" s="413"/>
    </row>
    <row r="149" ht="15.75" customHeight="1">
      <c r="A149" s="113"/>
      <c r="B149" s="112"/>
      <c r="C149" s="409" t="str">
        <f t="array" ref="C149">IFERROR(INDEX(Pessoas!$E$6:$E$105,MATCH($B149,Pessoas!$D$6:$D$105,0)),"")</f>
        <v/>
      </c>
      <c r="D149" s="409" t="str">
        <f t="array" ref="D149">IFERROR(INDEX(Pessoas!$F$6:$F$105,MATCH($B149,Pessoas!$D$6:$D$105,0)),"")</f>
        <v/>
      </c>
      <c r="E149" s="113"/>
      <c r="F149" s="412" t="str">
        <f t="array" ref="F149">IFERROR(INDEX(Pessoas!$C$6:$C$105,MATCH($B149,Pessoas!$D$6:$D$105,0)),"")</f>
        <v/>
      </c>
      <c r="G149" s="413"/>
      <c r="H149" s="413"/>
    </row>
    <row r="150" ht="15.75" customHeight="1">
      <c r="A150" s="113"/>
      <c r="B150" s="112"/>
      <c r="C150" s="409" t="str">
        <f t="array" ref="C150">IFERROR(INDEX(Pessoas!$E$6:$E$105,MATCH($B150,Pessoas!$D$6:$D$105,0)),"")</f>
        <v/>
      </c>
      <c r="D150" s="409" t="str">
        <f t="array" ref="D150">IFERROR(INDEX(Pessoas!$F$6:$F$105,MATCH($B150,Pessoas!$D$6:$D$105,0)),"")</f>
        <v/>
      </c>
      <c r="E150" s="113"/>
      <c r="F150" s="412" t="str">
        <f t="array" ref="F150">IFERROR(INDEX(Pessoas!$C$6:$C$105,MATCH($B150,Pessoas!$D$6:$D$105,0)),"")</f>
        <v/>
      </c>
      <c r="G150" s="413"/>
      <c r="H150" s="413"/>
    </row>
    <row r="151" ht="15.75" customHeight="1">
      <c r="A151" s="113"/>
      <c r="B151" s="112"/>
      <c r="C151" s="409" t="str">
        <f t="array" ref="C151">IFERROR(INDEX(Pessoas!$E$6:$E$105,MATCH($B151,Pessoas!$D$6:$D$105,0)),"")</f>
        <v/>
      </c>
      <c r="D151" s="409" t="str">
        <f t="array" ref="D151">IFERROR(INDEX(Pessoas!$F$6:$F$105,MATCH($B151,Pessoas!$D$6:$D$105,0)),"")</f>
        <v/>
      </c>
      <c r="E151" s="113"/>
      <c r="F151" s="412" t="str">
        <f t="array" ref="F151">IFERROR(INDEX(Pessoas!$C$6:$C$105,MATCH($B151,Pessoas!$D$6:$D$105,0)),"")</f>
        <v/>
      </c>
      <c r="G151" s="413"/>
      <c r="H151" s="413"/>
    </row>
    <row r="152" ht="15.75" customHeight="1">
      <c r="A152" s="113"/>
      <c r="B152" s="112"/>
      <c r="C152" s="409" t="str">
        <f t="array" ref="C152">IFERROR(INDEX(Pessoas!$E$6:$E$105,MATCH($B152,Pessoas!$D$6:$D$105,0)),"")</f>
        <v/>
      </c>
      <c r="D152" s="409" t="str">
        <f t="array" ref="D152">IFERROR(INDEX(Pessoas!$F$6:$F$105,MATCH($B152,Pessoas!$D$6:$D$105,0)),"")</f>
        <v/>
      </c>
      <c r="E152" s="113"/>
      <c r="F152" s="412" t="str">
        <f t="array" ref="F152">IFERROR(INDEX(Pessoas!$C$6:$C$105,MATCH($B152,Pessoas!$D$6:$D$105,0)),"")</f>
        <v/>
      </c>
      <c r="G152" s="413"/>
      <c r="H152" s="413"/>
    </row>
    <row r="153" ht="15.75" customHeight="1">
      <c r="A153" s="113"/>
      <c r="B153" s="112"/>
      <c r="C153" s="409" t="str">
        <f t="array" ref="C153">IFERROR(INDEX(Pessoas!$E$6:$E$105,MATCH($B153,Pessoas!$D$6:$D$105,0)),"")</f>
        <v/>
      </c>
      <c r="D153" s="409" t="str">
        <f t="array" ref="D153">IFERROR(INDEX(Pessoas!$F$6:$F$105,MATCH($B153,Pessoas!$D$6:$D$105,0)),"")</f>
        <v/>
      </c>
      <c r="E153" s="113"/>
      <c r="F153" s="412" t="str">
        <f t="array" ref="F153">IFERROR(INDEX(Pessoas!$C$6:$C$105,MATCH($B153,Pessoas!$D$6:$D$105,0)),"")</f>
        <v/>
      </c>
      <c r="G153" s="413"/>
      <c r="H153" s="413"/>
    </row>
    <row r="154" ht="15.75" customHeight="1">
      <c r="A154" s="113"/>
      <c r="B154" s="112"/>
      <c r="C154" s="409" t="str">
        <f t="array" ref="C154">IFERROR(INDEX(Pessoas!$E$6:$E$105,MATCH($B154,Pessoas!$D$6:$D$105,0)),"")</f>
        <v/>
      </c>
      <c r="D154" s="409" t="str">
        <f t="array" ref="D154">IFERROR(INDEX(Pessoas!$F$6:$F$105,MATCH($B154,Pessoas!$D$6:$D$105,0)),"")</f>
        <v/>
      </c>
      <c r="E154" s="113"/>
      <c r="F154" s="412" t="str">
        <f t="array" ref="F154">IFERROR(INDEX(Pessoas!$C$6:$C$105,MATCH($B154,Pessoas!$D$6:$D$105,0)),"")</f>
        <v/>
      </c>
      <c r="G154" s="413"/>
      <c r="H154" s="413"/>
    </row>
    <row r="155" ht="15.75" customHeight="1">
      <c r="A155" s="113"/>
      <c r="B155" s="112"/>
      <c r="C155" s="409" t="str">
        <f t="array" ref="C155">IFERROR(INDEX(Pessoas!$E$6:$E$105,MATCH($B155,Pessoas!$D$6:$D$105,0)),"")</f>
        <v/>
      </c>
      <c r="D155" s="409" t="str">
        <f t="array" ref="D155">IFERROR(INDEX(Pessoas!$F$6:$F$105,MATCH($B155,Pessoas!$D$6:$D$105,0)),"")</f>
        <v/>
      </c>
      <c r="E155" s="113"/>
      <c r="F155" s="412" t="str">
        <f t="array" ref="F155">IFERROR(INDEX(Pessoas!$C$6:$C$105,MATCH($B155,Pessoas!$D$6:$D$105,0)),"")</f>
        <v/>
      </c>
      <c r="G155" s="413"/>
      <c r="H155" s="413"/>
    </row>
    <row r="156" ht="15.75" customHeight="1">
      <c r="A156" s="113"/>
      <c r="B156" s="112"/>
      <c r="C156" s="409" t="str">
        <f t="array" ref="C156">IFERROR(INDEX(Pessoas!$E$6:$E$105,MATCH($B156,Pessoas!$D$6:$D$105,0)),"")</f>
        <v/>
      </c>
      <c r="D156" s="409" t="str">
        <f t="array" ref="D156">IFERROR(INDEX(Pessoas!$F$6:$F$105,MATCH($B156,Pessoas!$D$6:$D$105,0)),"")</f>
        <v/>
      </c>
      <c r="E156" s="113"/>
      <c r="F156" s="412" t="str">
        <f t="array" ref="F156">IFERROR(INDEX(Pessoas!$C$6:$C$105,MATCH($B156,Pessoas!$D$6:$D$105,0)),"")</f>
        <v/>
      </c>
      <c r="G156" s="413"/>
      <c r="H156" s="413"/>
    </row>
    <row r="157" ht="15.75" customHeight="1">
      <c r="A157" s="113"/>
      <c r="B157" s="112"/>
      <c r="C157" s="409" t="str">
        <f t="array" ref="C157">IFERROR(INDEX(Pessoas!$E$6:$E$105,MATCH($B157,Pessoas!$D$6:$D$105,0)),"")</f>
        <v/>
      </c>
      <c r="D157" s="409" t="str">
        <f t="array" ref="D157">IFERROR(INDEX(Pessoas!$F$6:$F$105,MATCH($B157,Pessoas!$D$6:$D$105,0)),"")</f>
        <v/>
      </c>
      <c r="E157" s="113"/>
      <c r="F157" s="412" t="str">
        <f t="array" ref="F157">IFERROR(INDEX(Pessoas!$C$6:$C$105,MATCH($B157,Pessoas!$D$6:$D$105,0)),"")</f>
        <v/>
      </c>
      <c r="G157" s="413"/>
      <c r="H157" s="413"/>
    </row>
    <row r="158" ht="15.75" customHeight="1">
      <c r="A158" s="113"/>
      <c r="B158" s="112"/>
      <c r="C158" s="409" t="str">
        <f t="array" ref="C158">IFERROR(INDEX(Pessoas!$E$6:$E$105,MATCH($B158,Pessoas!$D$6:$D$105,0)),"")</f>
        <v/>
      </c>
      <c r="D158" s="409" t="str">
        <f t="array" ref="D158">IFERROR(INDEX(Pessoas!$F$6:$F$105,MATCH($B158,Pessoas!$D$6:$D$105,0)),"")</f>
        <v/>
      </c>
      <c r="E158" s="113"/>
      <c r="F158" s="412" t="str">
        <f t="array" ref="F158">IFERROR(INDEX(Pessoas!$C$6:$C$105,MATCH($B158,Pessoas!$D$6:$D$105,0)),"")</f>
        <v/>
      </c>
      <c r="G158" s="413"/>
      <c r="H158" s="413"/>
    </row>
    <row r="159" ht="15.75" customHeight="1">
      <c r="A159" s="113"/>
      <c r="B159" s="112"/>
      <c r="C159" s="409" t="str">
        <f t="array" ref="C159">IFERROR(INDEX(Pessoas!$E$6:$E$105,MATCH($B159,Pessoas!$D$6:$D$105,0)),"")</f>
        <v/>
      </c>
      <c r="D159" s="409" t="str">
        <f t="array" ref="D159">IFERROR(INDEX(Pessoas!$F$6:$F$105,MATCH($B159,Pessoas!$D$6:$D$105,0)),"")</f>
        <v/>
      </c>
      <c r="E159" s="113"/>
      <c r="F159" s="412" t="str">
        <f t="array" ref="F159">IFERROR(INDEX(Pessoas!$C$6:$C$105,MATCH($B159,Pessoas!$D$6:$D$105,0)),"")</f>
        <v/>
      </c>
      <c r="G159" s="413"/>
      <c r="H159" s="413"/>
    </row>
    <row r="160" ht="15.75" customHeight="1">
      <c r="A160" s="113"/>
      <c r="B160" s="112"/>
      <c r="C160" s="409" t="str">
        <f t="array" ref="C160">IFERROR(INDEX(Pessoas!$E$6:$E$105,MATCH($B160,Pessoas!$D$6:$D$105,0)),"")</f>
        <v/>
      </c>
      <c r="D160" s="409" t="str">
        <f t="array" ref="D160">IFERROR(INDEX(Pessoas!$F$6:$F$105,MATCH($B160,Pessoas!$D$6:$D$105,0)),"")</f>
        <v/>
      </c>
      <c r="E160" s="113"/>
      <c r="F160" s="412" t="str">
        <f t="array" ref="F160">IFERROR(INDEX(Pessoas!$C$6:$C$105,MATCH($B160,Pessoas!$D$6:$D$105,0)),"")</f>
        <v/>
      </c>
      <c r="G160" s="413"/>
      <c r="H160" s="413"/>
    </row>
    <row r="161" ht="15.75" customHeight="1">
      <c r="A161" s="113"/>
      <c r="B161" s="112"/>
      <c r="C161" s="409" t="str">
        <f t="array" ref="C161">IFERROR(INDEX(Pessoas!$E$6:$E$105,MATCH($B161,Pessoas!$D$6:$D$105,0)),"")</f>
        <v/>
      </c>
      <c r="D161" s="409" t="str">
        <f t="array" ref="D161">IFERROR(INDEX(Pessoas!$F$6:$F$105,MATCH($B161,Pessoas!$D$6:$D$105,0)),"")</f>
        <v/>
      </c>
      <c r="E161" s="113"/>
      <c r="F161" s="412" t="str">
        <f t="array" ref="F161">IFERROR(INDEX(Pessoas!$C$6:$C$105,MATCH($B161,Pessoas!$D$6:$D$105,0)),"")</f>
        <v/>
      </c>
      <c r="G161" s="413"/>
      <c r="H161" s="413"/>
    </row>
    <row r="162" ht="15.75" customHeight="1">
      <c r="A162" s="113"/>
      <c r="B162" s="112"/>
      <c r="C162" s="409" t="str">
        <f t="array" ref="C162">IFERROR(INDEX(Pessoas!$E$6:$E$105,MATCH($B162,Pessoas!$D$6:$D$105,0)),"")</f>
        <v/>
      </c>
      <c r="D162" s="409" t="str">
        <f t="array" ref="D162">IFERROR(INDEX(Pessoas!$F$6:$F$105,MATCH($B162,Pessoas!$D$6:$D$105,0)),"")</f>
        <v/>
      </c>
      <c r="E162" s="113"/>
      <c r="F162" s="412" t="str">
        <f t="array" ref="F162">IFERROR(INDEX(Pessoas!$C$6:$C$105,MATCH($B162,Pessoas!$D$6:$D$105,0)),"")</f>
        <v/>
      </c>
      <c r="G162" s="413"/>
      <c r="H162" s="413"/>
    </row>
    <row r="163" ht="15.75" customHeight="1">
      <c r="A163" s="113"/>
      <c r="B163" s="112"/>
      <c r="C163" s="409" t="str">
        <f t="array" ref="C163">IFERROR(INDEX(Pessoas!$E$6:$E$105,MATCH($B163,Pessoas!$D$6:$D$105,0)),"")</f>
        <v/>
      </c>
      <c r="D163" s="409" t="str">
        <f t="array" ref="D163">IFERROR(INDEX(Pessoas!$F$6:$F$105,MATCH($B163,Pessoas!$D$6:$D$105,0)),"")</f>
        <v/>
      </c>
      <c r="E163" s="113"/>
      <c r="F163" s="412" t="str">
        <f t="array" ref="F163">IFERROR(INDEX(Pessoas!$C$6:$C$105,MATCH($B163,Pessoas!$D$6:$D$105,0)),"")</f>
        <v/>
      </c>
      <c r="G163" s="413"/>
      <c r="H163" s="413"/>
    </row>
    <row r="164" ht="15.75" customHeight="1">
      <c r="A164" s="113"/>
      <c r="B164" s="112"/>
      <c r="C164" s="409" t="str">
        <f t="array" ref="C164">IFERROR(INDEX(Pessoas!$E$6:$E$105,MATCH($B164,Pessoas!$D$6:$D$105,0)),"")</f>
        <v/>
      </c>
      <c r="D164" s="409" t="str">
        <f t="array" ref="D164">IFERROR(INDEX(Pessoas!$F$6:$F$105,MATCH($B164,Pessoas!$D$6:$D$105,0)),"")</f>
        <v/>
      </c>
      <c r="E164" s="113"/>
      <c r="F164" s="412" t="str">
        <f t="array" ref="F164">IFERROR(INDEX(Pessoas!$C$6:$C$105,MATCH($B164,Pessoas!$D$6:$D$105,0)),"")</f>
        <v/>
      </c>
      <c r="G164" s="413"/>
      <c r="H164" s="413"/>
    </row>
    <row r="165" ht="15.75" customHeight="1">
      <c r="A165" s="113"/>
      <c r="B165" s="112"/>
      <c r="C165" s="409" t="str">
        <f t="array" ref="C165">IFERROR(INDEX(Pessoas!$E$6:$E$105,MATCH($B165,Pessoas!$D$6:$D$105,0)),"")</f>
        <v/>
      </c>
      <c r="D165" s="409" t="str">
        <f t="array" ref="D165">IFERROR(INDEX(Pessoas!$F$6:$F$105,MATCH($B165,Pessoas!$D$6:$D$105,0)),"")</f>
        <v/>
      </c>
      <c r="E165" s="113"/>
      <c r="F165" s="412" t="str">
        <f t="array" ref="F165">IFERROR(INDEX(Pessoas!$C$6:$C$105,MATCH($B165,Pessoas!$D$6:$D$105,0)),"")</f>
        <v/>
      </c>
      <c r="G165" s="413"/>
      <c r="H165" s="413"/>
    </row>
    <row r="166" ht="15.75" customHeight="1">
      <c r="A166" s="113"/>
      <c r="B166" s="112"/>
      <c r="C166" s="409" t="str">
        <f t="array" ref="C166">IFERROR(INDEX(Pessoas!$E$6:$E$105,MATCH($B166,Pessoas!$D$6:$D$105,0)),"")</f>
        <v/>
      </c>
      <c r="D166" s="409" t="str">
        <f t="array" ref="D166">IFERROR(INDEX(Pessoas!$F$6:$F$105,MATCH($B166,Pessoas!$D$6:$D$105,0)),"")</f>
        <v/>
      </c>
      <c r="E166" s="113"/>
      <c r="F166" s="412" t="str">
        <f t="array" ref="F166">IFERROR(INDEX(Pessoas!$C$6:$C$105,MATCH($B166,Pessoas!$D$6:$D$105,0)),"")</f>
        <v/>
      </c>
      <c r="G166" s="413"/>
      <c r="H166" s="413"/>
    </row>
    <row r="167" ht="15.75" customHeight="1">
      <c r="A167" s="113"/>
      <c r="B167" s="112"/>
      <c r="C167" s="409" t="str">
        <f t="array" ref="C167">IFERROR(INDEX(Pessoas!$E$6:$E$105,MATCH($B167,Pessoas!$D$6:$D$105,0)),"")</f>
        <v/>
      </c>
      <c r="D167" s="409" t="str">
        <f t="array" ref="D167">IFERROR(INDEX(Pessoas!$F$6:$F$105,MATCH($B167,Pessoas!$D$6:$D$105,0)),"")</f>
        <v/>
      </c>
      <c r="E167" s="113"/>
      <c r="F167" s="412" t="str">
        <f t="array" ref="F167">IFERROR(INDEX(Pessoas!$C$6:$C$105,MATCH($B167,Pessoas!$D$6:$D$105,0)),"")</f>
        <v/>
      </c>
      <c r="G167" s="413"/>
      <c r="H167" s="413"/>
    </row>
    <row r="168" ht="15.75" customHeight="1">
      <c r="A168" s="113"/>
      <c r="B168" s="112"/>
      <c r="C168" s="409" t="str">
        <f t="array" ref="C168">IFERROR(INDEX(Pessoas!$E$6:$E$105,MATCH($B168,Pessoas!$D$6:$D$105,0)),"")</f>
        <v/>
      </c>
      <c r="D168" s="409" t="str">
        <f t="array" ref="D168">IFERROR(INDEX(Pessoas!$F$6:$F$105,MATCH($B168,Pessoas!$D$6:$D$105,0)),"")</f>
        <v/>
      </c>
      <c r="E168" s="113"/>
      <c r="F168" s="412" t="str">
        <f t="array" ref="F168">IFERROR(INDEX(Pessoas!$C$6:$C$105,MATCH($B168,Pessoas!$D$6:$D$105,0)),"")</f>
        <v/>
      </c>
      <c r="G168" s="413"/>
      <c r="H168" s="413"/>
    </row>
    <row r="169" ht="15.75" customHeight="1">
      <c r="A169" s="113"/>
      <c r="B169" s="112"/>
      <c r="C169" s="409" t="str">
        <f t="array" ref="C169">IFERROR(INDEX(Pessoas!$E$6:$E$105,MATCH($B169,Pessoas!$D$6:$D$105,0)),"")</f>
        <v/>
      </c>
      <c r="D169" s="409" t="str">
        <f t="array" ref="D169">IFERROR(INDEX(Pessoas!$F$6:$F$105,MATCH($B169,Pessoas!$D$6:$D$105,0)),"")</f>
        <v/>
      </c>
      <c r="E169" s="113"/>
      <c r="F169" s="412" t="str">
        <f t="array" ref="F169">IFERROR(INDEX(Pessoas!$C$6:$C$105,MATCH($B169,Pessoas!$D$6:$D$105,0)),"")</f>
        <v/>
      </c>
      <c r="G169" s="413"/>
      <c r="H169" s="413"/>
    </row>
    <row r="170" ht="15.75" customHeight="1">
      <c r="A170" s="113"/>
      <c r="B170" s="112"/>
      <c r="C170" s="409" t="str">
        <f t="array" ref="C170">IFERROR(INDEX(Pessoas!$E$6:$E$105,MATCH($B170,Pessoas!$D$6:$D$105,0)),"")</f>
        <v/>
      </c>
      <c r="D170" s="409" t="str">
        <f t="array" ref="D170">IFERROR(INDEX(Pessoas!$F$6:$F$105,MATCH($B170,Pessoas!$D$6:$D$105,0)),"")</f>
        <v/>
      </c>
      <c r="E170" s="113"/>
      <c r="F170" s="412" t="str">
        <f t="array" ref="F170">IFERROR(INDEX(Pessoas!$C$6:$C$105,MATCH($B170,Pessoas!$D$6:$D$105,0)),"")</f>
        <v/>
      </c>
      <c r="G170" s="413"/>
      <c r="H170" s="413"/>
    </row>
    <row r="171" ht="15.75" customHeight="1">
      <c r="A171" s="113"/>
      <c r="B171" s="112"/>
      <c r="C171" s="409" t="str">
        <f t="array" ref="C171">IFERROR(INDEX(Pessoas!$E$6:$E$105,MATCH($B171,Pessoas!$D$6:$D$105,0)),"")</f>
        <v/>
      </c>
      <c r="D171" s="409" t="str">
        <f t="array" ref="D171">IFERROR(INDEX(Pessoas!$F$6:$F$105,MATCH($B171,Pessoas!$D$6:$D$105,0)),"")</f>
        <v/>
      </c>
      <c r="E171" s="113"/>
      <c r="F171" s="412" t="str">
        <f t="array" ref="F171">IFERROR(INDEX(Pessoas!$C$6:$C$105,MATCH($B171,Pessoas!$D$6:$D$105,0)),"")</f>
        <v/>
      </c>
      <c r="G171" s="413"/>
      <c r="H171" s="413"/>
    </row>
    <row r="172" ht="15.75" customHeight="1">
      <c r="A172" s="113"/>
      <c r="B172" s="112"/>
      <c r="C172" s="409" t="str">
        <f t="array" ref="C172">IFERROR(INDEX(Pessoas!$E$6:$E$105,MATCH($B172,Pessoas!$D$6:$D$105,0)),"")</f>
        <v/>
      </c>
      <c r="D172" s="409" t="str">
        <f t="array" ref="D172">IFERROR(INDEX(Pessoas!$F$6:$F$105,MATCH($B172,Pessoas!$D$6:$D$105,0)),"")</f>
        <v/>
      </c>
      <c r="E172" s="113"/>
      <c r="F172" s="412" t="str">
        <f t="array" ref="F172">IFERROR(INDEX(Pessoas!$C$6:$C$105,MATCH($B172,Pessoas!$D$6:$D$105,0)),"")</f>
        <v/>
      </c>
      <c r="G172" s="413"/>
      <c r="H172" s="413"/>
    </row>
    <row r="173" ht="15.75" customHeight="1">
      <c r="A173" s="113"/>
      <c r="B173" s="112"/>
      <c r="C173" s="409" t="str">
        <f t="array" ref="C173">IFERROR(INDEX(Pessoas!$E$6:$E$105,MATCH($B173,Pessoas!$D$6:$D$105,0)),"")</f>
        <v/>
      </c>
      <c r="D173" s="409" t="str">
        <f t="array" ref="D173">IFERROR(INDEX(Pessoas!$F$6:$F$105,MATCH($B173,Pessoas!$D$6:$D$105,0)),"")</f>
        <v/>
      </c>
      <c r="E173" s="113"/>
      <c r="F173" s="412" t="str">
        <f t="array" ref="F173">IFERROR(INDEX(Pessoas!$C$6:$C$105,MATCH($B173,Pessoas!$D$6:$D$105,0)),"")</f>
        <v/>
      </c>
      <c r="G173" s="413"/>
      <c r="H173" s="413"/>
    </row>
    <row r="174" ht="15.75" customHeight="1">
      <c r="A174" s="113"/>
      <c r="B174" s="112"/>
      <c r="C174" s="409" t="str">
        <f t="array" ref="C174">IFERROR(INDEX(Pessoas!$E$6:$E$105,MATCH($B174,Pessoas!$D$6:$D$105,0)),"")</f>
        <v/>
      </c>
      <c r="D174" s="409" t="str">
        <f t="array" ref="D174">IFERROR(INDEX(Pessoas!$F$6:$F$105,MATCH($B174,Pessoas!$D$6:$D$105,0)),"")</f>
        <v/>
      </c>
      <c r="E174" s="113"/>
      <c r="F174" s="412" t="str">
        <f t="array" ref="F174">IFERROR(INDEX(Pessoas!$C$6:$C$105,MATCH($B174,Pessoas!$D$6:$D$105,0)),"")</f>
        <v/>
      </c>
      <c r="G174" s="413"/>
      <c r="H174" s="413"/>
    </row>
    <row r="175" ht="15.75" customHeight="1">
      <c r="A175" s="113"/>
      <c r="B175" s="112"/>
      <c r="C175" s="409" t="str">
        <f t="array" ref="C175">IFERROR(INDEX(Pessoas!$E$6:$E$105,MATCH($B175,Pessoas!$D$6:$D$105,0)),"")</f>
        <v/>
      </c>
      <c r="D175" s="409" t="str">
        <f t="array" ref="D175">IFERROR(INDEX(Pessoas!$F$6:$F$105,MATCH($B175,Pessoas!$D$6:$D$105,0)),"")</f>
        <v/>
      </c>
      <c r="E175" s="113"/>
      <c r="F175" s="412" t="str">
        <f t="array" ref="F175">IFERROR(INDEX(Pessoas!$C$6:$C$105,MATCH($B175,Pessoas!$D$6:$D$105,0)),"")</f>
        <v/>
      </c>
      <c r="G175" s="413"/>
      <c r="H175" s="413"/>
    </row>
    <row r="176" ht="15.75" customHeight="1">
      <c r="A176" s="113"/>
      <c r="B176" s="112"/>
      <c r="C176" s="409" t="str">
        <f t="array" ref="C176">IFERROR(INDEX(Pessoas!$E$6:$E$105,MATCH($B176,Pessoas!$D$6:$D$105,0)),"")</f>
        <v/>
      </c>
      <c r="D176" s="409" t="str">
        <f t="array" ref="D176">IFERROR(INDEX(Pessoas!$F$6:$F$105,MATCH($B176,Pessoas!$D$6:$D$105,0)),"")</f>
        <v/>
      </c>
      <c r="E176" s="113"/>
      <c r="F176" s="412" t="str">
        <f t="array" ref="F176">IFERROR(INDEX(Pessoas!$C$6:$C$105,MATCH($B176,Pessoas!$D$6:$D$105,0)),"")</f>
        <v/>
      </c>
      <c r="G176" s="413"/>
      <c r="H176" s="413"/>
    </row>
    <row r="177" ht="15.75" customHeight="1">
      <c r="A177" s="113"/>
      <c r="B177" s="112"/>
      <c r="C177" s="409" t="str">
        <f t="array" ref="C177">IFERROR(INDEX(Pessoas!$E$6:$E$105,MATCH($B177,Pessoas!$D$6:$D$105,0)),"")</f>
        <v/>
      </c>
      <c r="D177" s="409" t="str">
        <f t="array" ref="D177">IFERROR(INDEX(Pessoas!$F$6:$F$105,MATCH($B177,Pessoas!$D$6:$D$105,0)),"")</f>
        <v/>
      </c>
      <c r="E177" s="113"/>
      <c r="F177" s="412" t="str">
        <f t="array" ref="F177">IFERROR(INDEX(Pessoas!$C$6:$C$105,MATCH($B177,Pessoas!$D$6:$D$105,0)),"")</f>
        <v/>
      </c>
      <c r="G177" s="413"/>
      <c r="H177" s="413"/>
    </row>
    <row r="178" ht="15.75" customHeight="1">
      <c r="A178" s="113"/>
      <c r="B178" s="112"/>
      <c r="C178" s="409" t="str">
        <f t="array" ref="C178">IFERROR(INDEX(Pessoas!$E$6:$E$105,MATCH($B178,Pessoas!$D$6:$D$105,0)),"")</f>
        <v/>
      </c>
      <c r="D178" s="409" t="str">
        <f t="array" ref="D178">IFERROR(INDEX(Pessoas!$F$6:$F$105,MATCH($B178,Pessoas!$D$6:$D$105,0)),"")</f>
        <v/>
      </c>
      <c r="E178" s="113"/>
      <c r="F178" s="412" t="str">
        <f t="array" ref="F178">IFERROR(INDEX(Pessoas!$C$6:$C$105,MATCH($B178,Pessoas!$D$6:$D$105,0)),"")</f>
        <v/>
      </c>
      <c r="G178" s="413"/>
      <c r="H178" s="413"/>
    </row>
    <row r="179" ht="15.75" customHeight="1">
      <c r="A179" s="113"/>
      <c r="B179" s="112"/>
      <c r="C179" s="409" t="str">
        <f t="array" ref="C179">IFERROR(INDEX(Pessoas!$E$6:$E$105,MATCH($B179,Pessoas!$D$6:$D$105,0)),"")</f>
        <v/>
      </c>
      <c r="D179" s="409" t="str">
        <f t="array" ref="D179">IFERROR(INDEX(Pessoas!$F$6:$F$105,MATCH($B179,Pessoas!$D$6:$D$105,0)),"")</f>
        <v/>
      </c>
      <c r="E179" s="113"/>
      <c r="F179" s="412" t="str">
        <f t="array" ref="F179">IFERROR(INDEX(Pessoas!$C$6:$C$105,MATCH($B179,Pessoas!$D$6:$D$105,0)),"")</f>
        <v/>
      </c>
      <c r="G179" s="413"/>
      <c r="H179" s="413"/>
    </row>
    <row r="180" ht="15.75" customHeight="1">
      <c r="A180" s="113"/>
      <c r="B180" s="112"/>
      <c r="C180" s="409" t="str">
        <f t="array" ref="C180">IFERROR(INDEX(Pessoas!$E$6:$E$105,MATCH($B180,Pessoas!$D$6:$D$105,0)),"")</f>
        <v/>
      </c>
      <c r="D180" s="409" t="str">
        <f t="array" ref="D180">IFERROR(INDEX(Pessoas!$F$6:$F$105,MATCH($B180,Pessoas!$D$6:$D$105,0)),"")</f>
        <v/>
      </c>
      <c r="E180" s="113"/>
      <c r="F180" s="412" t="str">
        <f t="array" ref="F180">IFERROR(INDEX(Pessoas!$C$6:$C$105,MATCH($B180,Pessoas!$D$6:$D$105,0)),"")</f>
        <v/>
      </c>
      <c r="G180" s="413"/>
      <c r="H180" s="413"/>
    </row>
    <row r="181" ht="15.75" customHeight="1">
      <c r="A181" s="113"/>
      <c r="B181" s="112"/>
      <c r="C181" s="409" t="str">
        <f t="array" ref="C181">IFERROR(INDEX(Pessoas!$E$6:$E$105,MATCH($B181,Pessoas!$D$6:$D$105,0)),"")</f>
        <v/>
      </c>
      <c r="D181" s="409" t="str">
        <f t="array" ref="D181">IFERROR(INDEX(Pessoas!$F$6:$F$105,MATCH($B181,Pessoas!$D$6:$D$105,0)),"")</f>
        <v/>
      </c>
      <c r="E181" s="113"/>
      <c r="F181" s="412" t="str">
        <f t="array" ref="F181">IFERROR(INDEX(Pessoas!$C$6:$C$105,MATCH($B181,Pessoas!$D$6:$D$105,0)),"")</f>
        <v/>
      </c>
      <c r="G181" s="413"/>
      <c r="H181" s="413"/>
    </row>
    <row r="182" ht="15.75" customHeight="1">
      <c r="A182" s="113"/>
      <c r="B182" s="112"/>
      <c r="C182" s="409" t="str">
        <f t="array" ref="C182">IFERROR(INDEX(Pessoas!$E$6:$E$105,MATCH($B182,Pessoas!$D$6:$D$105,0)),"")</f>
        <v/>
      </c>
      <c r="D182" s="409" t="str">
        <f t="array" ref="D182">IFERROR(INDEX(Pessoas!$F$6:$F$105,MATCH($B182,Pessoas!$D$6:$D$105,0)),"")</f>
        <v/>
      </c>
      <c r="E182" s="113"/>
      <c r="F182" s="412" t="str">
        <f t="array" ref="F182">IFERROR(INDEX(Pessoas!$C$6:$C$105,MATCH($B182,Pessoas!$D$6:$D$105,0)),"")</f>
        <v/>
      </c>
      <c r="G182" s="413"/>
      <c r="H182" s="413"/>
    </row>
    <row r="183" ht="15.75" customHeight="1">
      <c r="A183" s="113"/>
      <c r="B183" s="112"/>
      <c r="C183" s="409" t="str">
        <f t="array" ref="C183">IFERROR(INDEX(Pessoas!$E$6:$E$105,MATCH($B183,Pessoas!$D$6:$D$105,0)),"")</f>
        <v/>
      </c>
      <c r="D183" s="409" t="str">
        <f t="array" ref="D183">IFERROR(INDEX(Pessoas!$F$6:$F$105,MATCH($B183,Pessoas!$D$6:$D$105,0)),"")</f>
        <v/>
      </c>
      <c r="E183" s="113"/>
      <c r="F183" s="412" t="str">
        <f t="array" ref="F183">IFERROR(INDEX(Pessoas!$C$6:$C$105,MATCH($B183,Pessoas!$D$6:$D$105,0)),"")</f>
        <v/>
      </c>
      <c r="G183" s="413"/>
      <c r="H183" s="413"/>
    </row>
    <row r="184" ht="15.75" customHeight="1">
      <c r="A184" s="113"/>
      <c r="B184" s="112"/>
      <c r="C184" s="409" t="str">
        <f t="array" ref="C184">IFERROR(INDEX(Pessoas!$E$6:$E$105,MATCH($B184,Pessoas!$D$6:$D$105,0)),"")</f>
        <v/>
      </c>
      <c r="D184" s="409" t="str">
        <f t="array" ref="D184">IFERROR(INDEX(Pessoas!$F$6:$F$105,MATCH($B184,Pessoas!$D$6:$D$105,0)),"")</f>
        <v/>
      </c>
      <c r="E184" s="113"/>
      <c r="F184" s="412" t="str">
        <f t="array" ref="F184">IFERROR(INDEX(Pessoas!$C$6:$C$105,MATCH($B184,Pessoas!$D$6:$D$105,0)),"")</f>
        <v/>
      </c>
      <c r="G184" s="413"/>
      <c r="H184" s="413"/>
    </row>
    <row r="185" ht="15.75" customHeight="1">
      <c r="A185" s="113"/>
      <c r="B185" s="112"/>
      <c r="C185" s="409" t="str">
        <f t="array" ref="C185">IFERROR(INDEX(Pessoas!$E$6:$E$105,MATCH($B185,Pessoas!$D$6:$D$105,0)),"")</f>
        <v/>
      </c>
      <c r="D185" s="409" t="str">
        <f t="array" ref="D185">IFERROR(INDEX(Pessoas!$F$6:$F$105,MATCH($B185,Pessoas!$D$6:$D$105,0)),"")</f>
        <v/>
      </c>
      <c r="E185" s="113"/>
      <c r="F185" s="412" t="str">
        <f t="array" ref="F185">IFERROR(INDEX(Pessoas!$C$6:$C$105,MATCH($B185,Pessoas!$D$6:$D$105,0)),"")</f>
        <v/>
      </c>
      <c r="G185" s="413"/>
      <c r="H185" s="413"/>
    </row>
    <row r="186" ht="15.75" customHeight="1">
      <c r="A186" s="113"/>
      <c r="B186" s="112"/>
      <c r="C186" s="409" t="str">
        <f t="array" ref="C186">IFERROR(INDEX(Pessoas!$E$6:$E$105,MATCH($B186,Pessoas!$D$6:$D$105,0)),"")</f>
        <v/>
      </c>
      <c r="D186" s="409" t="str">
        <f t="array" ref="D186">IFERROR(INDEX(Pessoas!$F$6:$F$105,MATCH($B186,Pessoas!$D$6:$D$105,0)),"")</f>
        <v/>
      </c>
      <c r="E186" s="113"/>
      <c r="F186" s="412" t="str">
        <f t="array" ref="F186">IFERROR(INDEX(Pessoas!$C$6:$C$105,MATCH($B186,Pessoas!$D$6:$D$105,0)),"")</f>
        <v/>
      </c>
      <c r="G186" s="413"/>
      <c r="H186" s="413"/>
    </row>
    <row r="187" ht="15.75" customHeight="1">
      <c r="A187" s="113"/>
      <c r="B187" s="112"/>
      <c r="C187" s="409" t="str">
        <f t="array" ref="C187">IFERROR(INDEX(Pessoas!$E$6:$E$105,MATCH($B187,Pessoas!$D$6:$D$105,0)),"")</f>
        <v/>
      </c>
      <c r="D187" s="409" t="str">
        <f t="array" ref="D187">IFERROR(INDEX(Pessoas!$F$6:$F$105,MATCH($B187,Pessoas!$D$6:$D$105,0)),"")</f>
        <v/>
      </c>
      <c r="E187" s="113"/>
      <c r="F187" s="412" t="str">
        <f t="array" ref="F187">IFERROR(INDEX(Pessoas!$C$6:$C$105,MATCH($B187,Pessoas!$D$6:$D$105,0)),"")</f>
        <v/>
      </c>
      <c r="G187" s="413"/>
      <c r="H187" s="413"/>
    </row>
    <row r="188" ht="15.75" customHeight="1">
      <c r="A188" s="113"/>
      <c r="B188" s="112"/>
      <c r="C188" s="409" t="str">
        <f t="array" ref="C188">IFERROR(INDEX(Pessoas!$E$6:$E$105,MATCH($B188,Pessoas!$D$6:$D$105,0)),"")</f>
        <v/>
      </c>
      <c r="D188" s="409" t="str">
        <f t="array" ref="D188">IFERROR(INDEX(Pessoas!$F$6:$F$105,MATCH($B188,Pessoas!$D$6:$D$105,0)),"")</f>
        <v/>
      </c>
      <c r="E188" s="113"/>
      <c r="F188" s="412" t="str">
        <f t="array" ref="F188">IFERROR(INDEX(Pessoas!$C$6:$C$105,MATCH($B188,Pessoas!$D$6:$D$105,0)),"")</f>
        <v/>
      </c>
      <c r="G188" s="413"/>
      <c r="H188" s="413"/>
    </row>
    <row r="189" ht="15.75" customHeight="1">
      <c r="A189" s="113"/>
      <c r="B189" s="112"/>
      <c r="C189" s="409" t="str">
        <f t="array" ref="C189">IFERROR(INDEX(Pessoas!$E$6:$E$105,MATCH($B189,Pessoas!$D$6:$D$105,0)),"")</f>
        <v/>
      </c>
      <c r="D189" s="409" t="str">
        <f t="array" ref="D189">IFERROR(INDEX(Pessoas!$F$6:$F$105,MATCH($B189,Pessoas!$D$6:$D$105,0)),"")</f>
        <v/>
      </c>
      <c r="E189" s="113"/>
      <c r="F189" s="412" t="str">
        <f t="array" ref="F189">IFERROR(INDEX(Pessoas!$C$6:$C$105,MATCH($B189,Pessoas!$D$6:$D$105,0)),"")</f>
        <v/>
      </c>
      <c r="G189" s="413"/>
      <c r="H189" s="413"/>
    </row>
    <row r="190" ht="15.75" customHeight="1">
      <c r="A190" s="113"/>
      <c r="B190" s="112"/>
      <c r="C190" s="409" t="str">
        <f t="array" ref="C190">IFERROR(INDEX(Pessoas!$E$6:$E$105,MATCH($B190,Pessoas!$D$6:$D$105,0)),"")</f>
        <v/>
      </c>
      <c r="D190" s="409" t="str">
        <f t="array" ref="D190">IFERROR(INDEX(Pessoas!$F$6:$F$105,MATCH($B190,Pessoas!$D$6:$D$105,0)),"")</f>
        <v/>
      </c>
      <c r="E190" s="113"/>
      <c r="F190" s="412" t="str">
        <f t="array" ref="F190">IFERROR(INDEX(Pessoas!$C$6:$C$105,MATCH($B190,Pessoas!$D$6:$D$105,0)),"")</f>
        <v/>
      </c>
      <c r="G190" s="413"/>
      <c r="H190" s="413"/>
    </row>
    <row r="191" ht="15.75" customHeight="1">
      <c r="A191" s="113"/>
      <c r="B191" s="112"/>
      <c r="C191" s="409" t="str">
        <f t="array" ref="C191">IFERROR(INDEX(Pessoas!$E$6:$E$105,MATCH($B191,Pessoas!$D$6:$D$105,0)),"")</f>
        <v/>
      </c>
      <c r="D191" s="409" t="str">
        <f t="array" ref="D191">IFERROR(INDEX(Pessoas!$F$6:$F$105,MATCH($B191,Pessoas!$D$6:$D$105,0)),"")</f>
        <v/>
      </c>
      <c r="E191" s="113"/>
      <c r="F191" s="412" t="str">
        <f t="array" ref="F191">IFERROR(INDEX(Pessoas!$C$6:$C$105,MATCH($B191,Pessoas!$D$6:$D$105,0)),"")</f>
        <v/>
      </c>
      <c r="G191" s="413"/>
      <c r="H191" s="413"/>
    </row>
    <row r="192" ht="15.75" customHeight="1">
      <c r="A192" s="113"/>
      <c r="B192" s="112"/>
      <c r="C192" s="409" t="str">
        <f t="array" ref="C192">IFERROR(INDEX(Pessoas!$E$6:$E$105,MATCH($B192,Pessoas!$D$6:$D$105,0)),"")</f>
        <v/>
      </c>
      <c r="D192" s="409" t="str">
        <f t="array" ref="D192">IFERROR(INDEX(Pessoas!$F$6:$F$105,MATCH($B192,Pessoas!$D$6:$D$105,0)),"")</f>
        <v/>
      </c>
      <c r="E192" s="113"/>
      <c r="F192" s="412" t="str">
        <f t="array" ref="F192">IFERROR(INDEX(Pessoas!$C$6:$C$105,MATCH($B192,Pessoas!$D$6:$D$105,0)),"")</f>
        <v/>
      </c>
      <c r="G192" s="413"/>
      <c r="H192" s="413"/>
    </row>
    <row r="193" ht="15.75" customHeight="1">
      <c r="A193" s="113"/>
      <c r="B193" s="112"/>
      <c r="C193" s="409" t="str">
        <f t="array" ref="C193">IFERROR(INDEX(Pessoas!$E$6:$E$105,MATCH($B193,Pessoas!$D$6:$D$105,0)),"")</f>
        <v/>
      </c>
      <c r="D193" s="409" t="str">
        <f t="array" ref="D193">IFERROR(INDEX(Pessoas!$F$6:$F$105,MATCH($B193,Pessoas!$D$6:$D$105,0)),"")</f>
        <v/>
      </c>
      <c r="E193" s="113"/>
      <c r="F193" s="412" t="str">
        <f t="array" ref="F193">IFERROR(INDEX(Pessoas!$C$6:$C$105,MATCH($B193,Pessoas!$D$6:$D$105,0)),"")</f>
        <v/>
      </c>
      <c r="G193" s="413"/>
      <c r="H193" s="413"/>
    </row>
    <row r="194" ht="15.75" customHeight="1">
      <c r="A194" s="113"/>
      <c r="B194" s="112"/>
      <c r="C194" s="409" t="str">
        <f t="array" ref="C194">IFERROR(INDEX(Pessoas!$E$6:$E$105,MATCH($B194,Pessoas!$D$6:$D$105,0)),"")</f>
        <v/>
      </c>
      <c r="D194" s="409" t="str">
        <f t="array" ref="D194">IFERROR(INDEX(Pessoas!$F$6:$F$105,MATCH($B194,Pessoas!$D$6:$D$105,0)),"")</f>
        <v/>
      </c>
      <c r="E194" s="113"/>
      <c r="F194" s="412" t="str">
        <f t="array" ref="F194">IFERROR(INDEX(Pessoas!$C$6:$C$105,MATCH($B194,Pessoas!$D$6:$D$105,0)),"")</f>
        <v/>
      </c>
      <c r="G194" s="413"/>
      <c r="H194" s="413"/>
    </row>
    <row r="195" ht="15.75" customHeight="1">
      <c r="A195" s="113"/>
      <c r="B195" s="112"/>
      <c r="C195" s="409" t="str">
        <f t="array" ref="C195">IFERROR(INDEX(Pessoas!$E$6:$E$105,MATCH($B195,Pessoas!$D$6:$D$105,0)),"")</f>
        <v/>
      </c>
      <c r="D195" s="409" t="str">
        <f t="array" ref="D195">IFERROR(INDEX(Pessoas!$F$6:$F$105,MATCH($B195,Pessoas!$D$6:$D$105,0)),"")</f>
        <v/>
      </c>
      <c r="E195" s="113"/>
      <c r="F195" s="412" t="str">
        <f t="array" ref="F195">IFERROR(INDEX(Pessoas!$C$6:$C$105,MATCH($B195,Pessoas!$D$6:$D$105,0)),"")</f>
        <v/>
      </c>
      <c r="G195" s="413"/>
      <c r="H195" s="413"/>
    </row>
    <row r="196" ht="15.75" customHeight="1">
      <c r="A196" s="113"/>
      <c r="B196" s="112"/>
      <c r="C196" s="409" t="str">
        <f t="array" ref="C196">IFERROR(INDEX(Pessoas!$E$6:$E$105,MATCH($B196,Pessoas!$D$6:$D$105,0)),"")</f>
        <v/>
      </c>
      <c r="D196" s="409" t="str">
        <f t="array" ref="D196">IFERROR(INDEX(Pessoas!$F$6:$F$105,MATCH($B196,Pessoas!$D$6:$D$105,0)),"")</f>
        <v/>
      </c>
      <c r="E196" s="113"/>
      <c r="F196" s="412" t="str">
        <f t="array" ref="F196">IFERROR(INDEX(Pessoas!$C$6:$C$105,MATCH($B196,Pessoas!$D$6:$D$105,0)),"")</f>
        <v/>
      </c>
      <c r="G196" s="413"/>
      <c r="H196" s="413"/>
    </row>
    <row r="197" ht="15.75" customHeight="1">
      <c r="A197" s="113"/>
      <c r="B197" s="112"/>
      <c r="C197" s="409" t="str">
        <f t="array" ref="C197">IFERROR(INDEX(Pessoas!$E$6:$E$105,MATCH($B197,Pessoas!$D$6:$D$105,0)),"")</f>
        <v/>
      </c>
      <c r="D197" s="409" t="str">
        <f t="array" ref="D197">IFERROR(INDEX(Pessoas!$F$6:$F$105,MATCH($B197,Pessoas!$D$6:$D$105,0)),"")</f>
        <v/>
      </c>
      <c r="E197" s="113"/>
      <c r="F197" s="412" t="str">
        <f t="array" ref="F197">IFERROR(INDEX(Pessoas!$C$6:$C$105,MATCH($B197,Pessoas!$D$6:$D$105,0)),"")</f>
        <v/>
      </c>
      <c r="G197" s="413"/>
      <c r="H197" s="413"/>
    </row>
    <row r="198" ht="15.75" customHeight="1">
      <c r="A198" s="113"/>
      <c r="B198" s="112"/>
      <c r="C198" s="409" t="str">
        <f t="array" ref="C198">IFERROR(INDEX(Pessoas!$E$6:$E$105,MATCH($B198,Pessoas!$D$6:$D$105,0)),"")</f>
        <v/>
      </c>
      <c r="D198" s="409" t="str">
        <f t="array" ref="D198">IFERROR(INDEX(Pessoas!$F$6:$F$105,MATCH($B198,Pessoas!$D$6:$D$105,0)),"")</f>
        <v/>
      </c>
      <c r="E198" s="113"/>
      <c r="F198" s="412" t="str">
        <f t="array" ref="F198">IFERROR(INDEX(Pessoas!$C$6:$C$105,MATCH($B198,Pessoas!$D$6:$D$105,0)),"")</f>
        <v/>
      </c>
      <c r="G198" s="413"/>
      <c r="H198" s="413"/>
    </row>
    <row r="199" ht="15.75" customHeight="1">
      <c r="A199" s="113"/>
      <c r="B199" s="112"/>
      <c r="C199" s="409" t="str">
        <f t="array" ref="C199">IFERROR(INDEX(Pessoas!$E$6:$E$105,MATCH($B199,Pessoas!$D$6:$D$105,0)),"")</f>
        <v/>
      </c>
      <c r="D199" s="409" t="str">
        <f t="array" ref="D199">IFERROR(INDEX(Pessoas!$F$6:$F$105,MATCH($B199,Pessoas!$D$6:$D$105,0)),"")</f>
        <v/>
      </c>
      <c r="E199" s="113"/>
      <c r="F199" s="412" t="str">
        <f t="array" ref="F199">IFERROR(INDEX(Pessoas!$C$6:$C$105,MATCH($B199,Pessoas!$D$6:$D$105,0)),"")</f>
        <v/>
      </c>
      <c r="G199" s="413"/>
      <c r="H199" s="413"/>
    </row>
    <row r="200" ht="15.75" customHeight="1">
      <c r="A200" s="113"/>
      <c r="B200" s="112"/>
      <c r="C200" s="409" t="str">
        <f t="array" ref="C200">IFERROR(INDEX(Pessoas!$E$6:$E$105,MATCH($B200,Pessoas!$D$6:$D$105,0)),"")</f>
        <v/>
      </c>
      <c r="D200" s="409" t="str">
        <f t="array" ref="D200">IFERROR(INDEX(Pessoas!$F$6:$F$105,MATCH($B200,Pessoas!$D$6:$D$105,0)),"")</f>
        <v/>
      </c>
      <c r="E200" s="113"/>
      <c r="F200" s="412" t="str">
        <f t="array" ref="F200">IFERROR(INDEX(Pessoas!$C$6:$C$105,MATCH($B200,Pessoas!$D$6:$D$105,0)),"")</f>
        <v/>
      </c>
      <c r="G200" s="413"/>
      <c r="H200" s="413"/>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F$200"/>
  <mergeCells count="7">
    <mergeCell ref="A1:C2"/>
    <mergeCell ref="D1:F1"/>
    <mergeCell ref="D2:F2"/>
    <mergeCell ref="A4:C4"/>
    <mergeCell ref="D4:F4"/>
    <mergeCell ref="A5:C5"/>
    <mergeCell ref="D5:F5"/>
  </mergeCells>
  <conditionalFormatting sqref="A8:H200">
    <cfRule type="expression" dxfId="22" priority="1">
      <formula>ISEVEN(ROW())</formula>
    </cfRule>
  </conditionalFormatting>
  <dataValidations>
    <dataValidation type="list" allowBlank="1" sqref="A8:A200">
      <formula1>"PJ,PF,MEI,Outro"</formula1>
    </dataValidation>
    <dataValidation type="list" allowBlank="1" sqref="G8:H200">
      <formula1>"Liberado,Pendente,N/A"</formula1>
    </dataValidation>
    <dataValidation type="list" allowBlank="1" sqref="B8:B200">
      <formula1>AUX_Pessoas!$A$2:$A$200</formula1>
    </dataValidation>
    <dataValidation type="list" allowBlank="1" sqref="F8:F200">
      <formula1>"Alvenaria,Estrutura,Eletrica,Hidraulica,Pintura,Gesso,Forro,Piso,Ar-condicionado,Vidracaria,Marcenaria,Serralheria,Limpeza,Geral,Outro"</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9.0"/>
    <col customWidth="1" min="2" max="2" width="18.0"/>
    <col customWidth="1" min="3" max="3" width="16.0"/>
    <col customWidth="1" min="4" max="4" width="36.0"/>
    <col customWidth="1" min="5" max="5" width="22.0"/>
    <col customWidth="1" min="6" max="6" width="18.14"/>
    <col customWidth="1" min="7" max="7" width="15.0"/>
    <col customWidth="1" min="8" max="8" width="16.57"/>
    <col customWidth="1" min="9" max="9" width="18.43"/>
    <col customWidth="1" min="10" max="11" width="22.0"/>
    <col customWidth="1" min="12" max="12" width="8.71"/>
    <col customWidth="1" min="13" max="13" width="4.0"/>
    <col customWidth="1" min="14" max="14" width="28.0"/>
    <col customWidth="1" min="15" max="18" width="14.0"/>
    <col customWidth="1" min="19" max="19" width="14.43"/>
    <col customWidth="1" min="20" max="24" width="8.71"/>
  </cols>
  <sheetData>
    <row r="1" ht="27.75" customHeight="1">
      <c r="A1" s="89" t="s">
        <v>211</v>
      </c>
      <c r="B1" s="90"/>
      <c r="C1" s="90"/>
      <c r="D1" s="91" t="s">
        <v>212</v>
      </c>
      <c r="E1" s="92"/>
      <c r="F1" s="92"/>
      <c r="G1" s="92"/>
      <c r="H1" s="92"/>
      <c r="I1" s="92"/>
      <c r="J1" s="92"/>
      <c r="K1" s="92"/>
    </row>
    <row r="2" ht="21.75" customHeight="1">
      <c r="A2" s="93"/>
      <c r="D2" s="94" t="s">
        <v>1798</v>
      </c>
      <c r="E2" s="92"/>
      <c r="F2" s="92"/>
      <c r="G2" s="92"/>
      <c r="H2" s="92"/>
      <c r="I2" s="92"/>
      <c r="J2" s="92"/>
      <c r="K2" s="92"/>
    </row>
    <row r="3" ht="3.75" customHeight="1">
      <c r="A3" s="95"/>
      <c r="B3" s="95"/>
      <c r="C3" s="95"/>
      <c r="D3" s="95"/>
      <c r="E3" s="95"/>
      <c r="F3" s="414"/>
      <c r="G3" s="414"/>
      <c r="H3" s="414"/>
      <c r="I3" s="414"/>
      <c r="J3" s="95"/>
      <c r="K3" s="95"/>
    </row>
    <row r="4" ht="25.5" customHeight="1">
      <c r="F4" s="369"/>
      <c r="G4" s="369"/>
      <c r="H4" s="369"/>
      <c r="I4" s="369"/>
      <c r="N4" s="415" t="s">
        <v>1799</v>
      </c>
      <c r="O4" s="92"/>
      <c r="P4" s="92"/>
      <c r="Q4" s="92"/>
      <c r="R4" s="92"/>
    </row>
    <row r="5" ht="30.0" customHeight="1">
      <c r="A5" s="109" t="s">
        <v>36</v>
      </c>
      <c r="B5" s="416" t="s">
        <v>10</v>
      </c>
      <c r="C5" s="109" t="s">
        <v>38</v>
      </c>
      <c r="D5" s="109" t="s">
        <v>11</v>
      </c>
      <c r="E5" s="109" t="s">
        <v>1670</v>
      </c>
      <c r="F5" s="109" t="s">
        <v>1800</v>
      </c>
      <c r="G5" s="109" t="s">
        <v>1801</v>
      </c>
      <c r="H5" s="109" t="s">
        <v>1802</v>
      </c>
      <c r="I5" s="109" t="s">
        <v>1803</v>
      </c>
      <c r="J5" s="109" t="s">
        <v>1733</v>
      </c>
      <c r="K5" s="109" t="s">
        <v>227</v>
      </c>
      <c r="N5" s="109" t="s">
        <v>1804</v>
      </c>
      <c r="O5" s="109" t="s">
        <v>1805</v>
      </c>
      <c r="P5" s="109" t="s">
        <v>1806</v>
      </c>
      <c r="Q5" s="109" t="s">
        <v>1807</v>
      </c>
      <c r="R5" s="109" t="s">
        <v>1808</v>
      </c>
      <c r="S5" s="417"/>
    </row>
    <row r="6" ht="24.0" customHeight="1">
      <c r="A6" s="122"/>
      <c r="B6" s="418" t="str">
        <f>IFERROR(VLOOKUP(A6,Gestao!A:B,2,FALSE),"")</f>
        <v/>
      </c>
      <c r="C6" s="113"/>
      <c r="D6" s="113"/>
      <c r="E6" s="113"/>
      <c r="F6" s="419"/>
      <c r="G6" s="419"/>
      <c r="H6" s="420">
        <f t="shared" ref="H6:H1005" si="2">IFERROR($G6-$F6,"")</f>
        <v>0</v>
      </c>
      <c r="I6" s="420" t="str">
        <f t="shared" ref="I6:I1005" si="3">IFERROR($G6/$F6,"")</f>
        <v/>
      </c>
      <c r="J6" s="113"/>
      <c r="K6" s="114"/>
      <c r="L6" s="15"/>
      <c r="M6" s="13"/>
      <c r="N6" s="421" t="s">
        <v>1809</v>
      </c>
      <c r="O6" s="422">
        <f t="shared" ref="O6:Q6" si="1">IFERROR(SUM(#REF!),0)</f>
        <v>0</v>
      </c>
      <c r="P6" s="422">
        <f t="shared" si="1"/>
        <v>0</v>
      </c>
      <c r="Q6" s="422">
        <f t="shared" si="1"/>
        <v>0</v>
      </c>
      <c r="R6" s="423">
        <f t="shared" ref="R6:R9" si="4">O6-Q6</f>
        <v>0</v>
      </c>
    </row>
    <row r="7" ht="24.0" customHeight="1">
      <c r="A7" s="122"/>
      <c r="B7" s="418" t="str">
        <f>IFERROR(VLOOKUP(A7,Gestao!A:B,2,FALSE),"")</f>
        <v/>
      </c>
      <c r="C7" s="113"/>
      <c r="D7" s="113"/>
      <c r="E7" s="113"/>
      <c r="F7" s="419"/>
      <c r="G7" s="419"/>
      <c r="H7" s="420">
        <f t="shared" si="2"/>
        <v>0</v>
      </c>
      <c r="I7" s="420" t="str">
        <f t="shared" si="3"/>
        <v/>
      </c>
      <c r="J7" s="113"/>
      <c r="K7" s="114"/>
      <c r="L7" s="15"/>
      <c r="M7" s="13"/>
      <c r="N7" s="421" t="s">
        <v>1810</v>
      </c>
      <c r="O7" s="422">
        <f>IFERROR(SUM(SC_Materiais!$H$6:$H$205),0)</f>
        <v>0</v>
      </c>
      <c r="P7" s="422">
        <f>IFERROR(SUMPRODUCT((SC_Materiais!$I$6:$I$205="Entregue")*SC_Materiais!$C$6:$C$205*SC_Materiais!$G$6:$G$205),0)</f>
        <v>0</v>
      </c>
      <c r="Q7" s="422" t="s">
        <v>1811</v>
      </c>
      <c r="R7" s="423">
        <f t="shared" si="4"/>
        <v>0</v>
      </c>
    </row>
    <row r="8" ht="24.0" customHeight="1">
      <c r="A8" s="122"/>
      <c r="B8" s="418" t="str">
        <f>IFERROR(VLOOKUP(A8,Gestao!A:B,2,FALSE),"")</f>
        <v/>
      </c>
      <c r="C8" s="113"/>
      <c r="D8" s="113"/>
      <c r="E8" s="113"/>
      <c r="F8" s="419"/>
      <c r="G8" s="419"/>
      <c r="H8" s="420">
        <f t="shared" si="2"/>
        <v>0</v>
      </c>
      <c r="I8" s="420" t="str">
        <f t="shared" si="3"/>
        <v/>
      </c>
      <c r="J8" s="113"/>
      <c r="K8" s="114"/>
      <c r="L8" s="15"/>
      <c r="M8" s="13"/>
      <c r="N8" s="421" t="s">
        <v>1812</v>
      </c>
      <c r="O8" s="422">
        <f t="shared" ref="O8:P8" si="5">IFERROR(SUMPRODUCT((SC_Ferramentas!$I$6:$I$105="Entregue")*SC_Ferramentas!$C$6:$C$105*SC_Ferramentas!$G$6:$G$105)+SUMPRODUCT((SC_Equipamentos!$I$6:$I$85="Entregue")*SC_Equipamentos!$C$6:$C$85*SC_Equipamentos!$G$6:$G$85),0)</f>
        <v>0</v>
      </c>
      <c r="P8" s="422">
        <f t="shared" si="5"/>
        <v>0</v>
      </c>
      <c r="Q8" s="422" t="s">
        <v>1811</v>
      </c>
      <c r="R8" s="423">
        <f t="shared" si="4"/>
        <v>0</v>
      </c>
    </row>
    <row r="9" ht="24.0" customHeight="1">
      <c r="A9" s="122"/>
      <c r="B9" s="418" t="str">
        <f>IFERROR(VLOOKUP(A9,Gestao!A:B,2,FALSE),"")</f>
        <v/>
      </c>
      <c r="C9" s="113"/>
      <c r="D9" s="113"/>
      <c r="E9" s="113"/>
      <c r="F9" s="419"/>
      <c r="G9" s="419"/>
      <c r="H9" s="420">
        <f t="shared" si="2"/>
        <v>0</v>
      </c>
      <c r="I9" s="420" t="str">
        <f t="shared" si="3"/>
        <v/>
      </c>
      <c r="J9" s="113"/>
      <c r="K9" s="114"/>
      <c r="L9" s="15"/>
      <c r="M9" s="13"/>
      <c r="N9" s="421" t="s">
        <v>1813</v>
      </c>
      <c r="O9" s="422">
        <f>IFERROR(SUM($F$6:$F$1005),0)</f>
        <v>0</v>
      </c>
      <c r="P9" s="422">
        <f>IFERROR(SUM($G$6:$G$1005),0)</f>
        <v>0</v>
      </c>
      <c r="Q9" s="422">
        <f>IFERROR(SUMIFS($G$6:$G$1005,#REF!,"Pago"),0)</f>
        <v>0</v>
      </c>
      <c r="R9" s="423">
        <f t="shared" si="4"/>
        <v>0</v>
      </c>
    </row>
    <row r="10" ht="25.5" customHeight="1">
      <c r="A10" s="122"/>
      <c r="B10" s="418" t="str">
        <f>IFERROR(VLOOKUP(A10,Gestao!A:B,2,FALSE),"")</f>
        <v/>
      </c>
      <c r="C10" s="113"/>
      <c r="D10" s="113"/>
      <c r="E10" s="113"/>
      <c r="F10" s="419"/>
      <c r="G10" s="419"/>
      <c r="H10" s="420">
        <f t="shared" si="2"/>
        <v>0</v>
      </c>
      <c r="I10" s="420" t="str">
        <f t="shared" si="3"/>
        <v/>
      </c>
      <c r="J10" s="113"/>
      <c r="K10" s="114"/>
      <c r="L10" s="15"/>
      <c r="M10" s="13"/>
      <c r="N10" s="424" t="s">
        <v>1814</v>
      </c>
      <c r="O10" s="425">
        <f t="shared" ref="O10:R10" si="6">SUM(O6:O9)</f>
        <v>0</v>
      </c>
      <c r="P10" s="425">
        <f t="shared" si="6"/>
        <v>0</v>
      </c>
      <c r="Q10" s="425">
        <f t="shared" si="6"/>
        <v>0</v>
      </c>
      <c r="R10" s="425">
        <f t="shared" si="6"/>
        <v>0</v>
      </c>
    </row>
    <row r="11" ht="24.0" customHeight="1">
      <c r="A11" s="122"/>
      <c r="B11" s="418" t="str">
        <f>IFERROR(VLOOKUP(A11,Gestao!A:B,2,FALSE),"")</f>
        <v/>
      </c>
      <c r="C11" s="113"/>
      <c r="D11" s="113"/>
      <c r="E11" s="113"/>
      <c r="F11" s="419"/>
      <c r="G11" s="419"/>
      <c r="H11" s="420">
        <f t="shared" si="2"/>
        <v>0</v>
      </c>
      <c r="I11" s="420" t="str">
        <f t="shared" si="3"/>
        <v/>
      </c>
      <c r="J11" s="113"/>
      <c r="K11" s="114"/>
      <c r="L11" s="15"/>
      <c r="M11" s="13"/>
      <c r="N11" s="15"/>
      <c r="O11" s="15"/>
      <c r="P11" s="15"/>
      <c r="Q11" s="15"/>
      <c r="R11" s="15"/>
    </row>
    <row r="12" ht="24.0" customHeight="1">
      <c r="A12" s="122"/>
      <c r="B12" s="418" t="str">
        <f>IFERROR(VLOOKUP(A12,Gestao!A:B,2,FALSE),"")</f>
        <v/>
      </c>
      <c r="C12" s="113"/>
      <c r="D12" s="113"/>
      <c r="E12" s="113"/>
      <c r="F12" s="419"/>
      <c r="G12" s="419"/>
      <c r="H12" s="420">
        <f t="shared" si="2"/>
        <v>0</v>
      </c>
      <c r="I12" s="420" t="str">
        <f t="shared" si="3"/>
        <v/>
      </c>
      <c r="J12" s="113"/>
      <c r="K12" s="114"/>
      <c r="L12" s="15"/>
      <c r="M12" s="13"/>
      <c r="N12" s="15"/>
      <c r="O12" s="15"/>
      <c r="P12" s="15"/>
      <c r="Q12" s="15"/>
      <c r="R12" s="15"/>
    </row>
    <row r="13" ht="24.0" customHeight="1">
      <c r="A13" s="122"/>
      <c r="B13" s="418" t="str">
        <f>IFERROR(VLOOKUP(A13,Gestao!A:B,2,FALSE),"")</f>
        <v/>
      </c>
      <c r="C13" s="113"/>
      <c r="D13" s="113"/>
      <c r="E13" s="113"/>
      <c r="F13" s="419"/>
      <c r="G13" s="419"/>
      <c r="H13" s="420">
        <f t="shared" si="2"/>
        <v>0</v>
      </c>
      <c r="I13" s="420" t="str">
        <f t="shared" si="3"/>
        <v/>
      </c>
      <c r="J13" s="113"/>
      <c r="K13" s="114"/>
      <c r="L13" s="15"/>
      <c r="M13" s="13"/>
      <c r="N13" s="15"/>
      <c r="O13" s="15"/>
      <c r="P13" s="15"/>
      <c r="Q13" s="15"/>
      <c r="R13" s="15"/>
    </row>
    <row r="14" ht="24.0" customHeight="1">
      <c r="A14" s="122"/>
      <c r="B14" s="418" t="str">
        <f>IFERROR(VLOOKUP(A14,Gestao!A:B,2,FALSE),"")</f>
        <v/>
      </c>
      <c r="C14" s="113"/>
      <c r="D14" s="113"/>
      <c r="E14" s="113"/>
      <c r="F14" s="419"/>
      <c r="G14" s="419"/>
      <c r="H14" s="420">
        <f t="shared" si="2"/>
        <v>0</v>
      </c>
      <c r="I14" s="420" t="str">
        <f t="shared" si="3"/>
        <v/>
      </c>
      <c r="J14" s="113"/>
      <c r="K14" s="114"/>
      <c r="L14" s="15"/>
      <c r="M14" s="13"/>
      <c r="N14" s="15"/>
      <c r="O14" s="15"/>
      <c r="P14" s="15"/>
      <c r="Q14" s="15"/>
      <c r="R14" s="15"/>
    </row>
    <row r="15" ht="24.0" customHeight="1">
      <c r="A15" s="122"/>
      <c r="B15" s="418" t="str">
        <f>IFERROR(VLOOKUP(A15,Gestao!A:B,2,FALSE),"")</f>
        <v/>
      </c>
      <c r="C15" s="113"/>
      <c r="D15" s="113"/>
      <c r="E15" s="113"/>
      <c r="F15" s="419"/>
      <c r="G15" s="419"/>
      <c r="H15" s="420">
        <f t="shared" si="2"/>
        <v>0</v>
      </c>
      <c r="I15" s="420" t="str">
        <f t="shared" si="3"/>
        <v/>
      </c>
      <c r="J15" s="113"/>
      <c r="K15" s="114"/>
      <c r="L15" s="15"/>
      <c r="M15" s="13"/>
      <c r="N15" s="15"/>
      <c r="O15" s="15"/>
      <c r="P15" s="15"/>
      <c r="Q15" s="15"/>
      <c r="R15" s="15"/>
    </row>
    <row r="16" ht="24.0" customHeight="1">
      <c r="A16" s="122"/>
      <c r="B16" s="418" t="str">
        <f>IFERROR(VLOOKUP(A16,Gestao!A:B,2,FALSE),"")</f>
        <v/>
      </c>
      <c r="C16" s="113"/>
      <c r="D16" s="113"/>
      <c r="E16" s="113"/>
      <c r="F16" s="419"/>
      <c r="G16" s="419"/>
      <c r="H16" s="420">
        <f t="shared" si="2"/>
        <v>0</v>
      </c>
      <c r="I16" s="420" t="str">
        <f t="shared" si="3"/>
        <v/>
      </c>
      <c r="J16" s="113"/>
      <c r="K16" s="114"/>
      <c r="L16" s="15"/>
      <c r="M16" s="13"/>
      <c r="N16" s="15"/>
      <c r="O16" s="15"/>
      <c r="P16" s="15"/>
      <c r="Q16" s="15"/>
      <c r="R16" s="15"/>
    </row>
    <row r="17" ht="24.0" customHeight="1">
      <c r="A17" s="122"/>
      <c r="B17" s="418" t="str">
        <f>IFERROR(VLOOKUP(A17,Gestao!A:B,2,FALSE),"")</f>
        <v/>
      </c>
      <c r="C17" s="113"/>
      <c r="D17" s="113"/>
      <c r="E17" s="113"/>
      <c r="F17" s="419"/>
      <c r="G17" s="419"/>
      <c r="H17" s="420">
        <f t="shared" si="2"/>
        <v>0</v>
      </c>
      <c r="I17" s="420" t="str">
        <f t="shared" si="3"/>
        <v/>
      </c>
      <c r="J17" s="113"/>
      <c r="K17" s="114"/>
      <c r="L17" s="15"/>
      <c r="M17" s="13"/>
      <c r="N17" s="15"/>
      <c r="O17" s="15"/>
      <c r="P17" s="15"/>
      <c r="Q17" s="15"/>
      <c r="R17" s="15"/>
    </row>
    <row r="18" ht="24.0" customHeight="1">
      <c r="A18" s="122"/>
      <c r="B18" s="418" t="str">
        <f>IFERROR(VLOOKUP(A18,Gestao!A:B,2,FALSE),"")</f>
        <v/>
      </c>
      <c r="C18" s="113"/>
      <c r="D18" s="113"/>
      <c r="E18" s="113"/>
      <c r="F18" s="419"/>
      <c r="G18" s="419"/>
      <c r="H18" s="420">
        <f t="shared" si="2"/>
        <v>0</v>
      </c>
      <c r="I18" s="420" t="str">
        <f t="shared" si="3"/>
        <v/>
      </c>
      <c r="J18" s="113"/>
      <c r="K18" s="114"/>
      <c r="L18" s="15"/>
      <c r="M18" s="13"/>
      <c r="N18" s="15"/>
      <c r="O18" s="15"/>
      <c r="P18" s="15"/>
      <c r="Q18" s="15"/>
      <c r="R18" s="15"/>
    </row>
    <row r="19" ht="24.0" customHeight="1">
      <c r="A19" s="122"/>
      <c r="B19" s="418" t="str">
        <f>IFERROR(VLOOKUP(A19,Gestao!A:B,2,FALSE),"")</f>
        <v/>
      </c>
      <c r="C19" s="113"/>
      <c r="D19" s="113"/>
      <c r="E19" s="113"/>
      <c r="F19" s="419"/>
      <c r="G19" s="419"/>
      <c r="H19" s="420">
        <f t="shared" si="2"/>
        <v>0</v>
      </c>
      <c r="I19" s="420" t="str">
        <f t="shared" si="3"/>
        <v/>
      </c>
      <c r="J19" s="113"/>
      <c r="K19" s="114"/>
      <c r="L19" s="15"/>
      <c r="M19" s="13"/>
      <c r="N19" s="15"/>
      <c r="O19" s="15"/>
      <c r="P19" s="15"/>
      <c r="Q19" s="15"/>
      <c r="R19" s="15"/>
    </row>
    <row r="20" ht="24.0" customHeight="1">
      <c r="A20" s="122"/>
      <c r="B20" s="418" t="str">
        <f>IFERROR(VLOOKUP(A20,Gestao!A:B,2,FALSE),"")</f>
        <v/>
      </c>
      <c r="C20" s="113"/>
      <c r="D20" s="113"/>
      <c r="E20" s="113"/>
      <c r="F20" s="419"/>
      <c r="G20" s="419"/>
      <c r="H20" s="420">
        <f t="shared" si="2"/>
        <v>0</v>
      </c>
      <c r="I20" s="420" t="str">
        <f t="shared" si="3"/>
        <v/>
      </c>
      <c r="J20" s="113"/>
      <c r="K20" s="114"/>
      <c r="L20" s="15"/>
      <c r="M20" s="13"/>
      <c r="N20" s="15"/>
      <c r="O20" s="15"/>
      <c r="P20" s="15"/>
      <c r="Q20" s="15"/>
      <c r="R20" s="15"/>
    </row>
    <row r="21" ht="24.0" customHeight="1">
      <c r="A21" s="122"/>
      <c r="B21" s="418" t="str">
        <f>IFERROR(VLOOKUP(A21,Gestao!A:B,2,FALSE),"")</f>
        <v/>
      </c>
      <c r="C21" s="113"/>
      <c r="D21" s="113"/>
      <c r="E21" s="113"/>
      <c r="F21" s="419"/>
      <c r="G21" s="419"/>
      <c r="H21" s="420">
        <f t="shared" si="2"/>
        <v>0</v>
      </c>
      <c r="I21" s="420" t="str">
        <f t="shared" si="3"/>
        <v/>
      </c>
      <c r="J21" s="113"/>
      <c r="K21" s="114"/>
      <c r="L21" s="15"/>
      <c r="M21" s="13"/>
      <c r="N21" s="15"/>
      <c r="O21" s="15"/>
      <c r="P21" s="15"/>
      <c r="Q21" s="15"/>
      <c r="R21" s="15"/>
    </row>
    <row r="22" ht="24.0" customHeight="1">
      <c r="A22" s="122"/>
      <c r="B22" s="418" t="str">
        <f>IFERROR(VLOOKUP(A22,Gestao!A:B,2,FALSE),"")</f>
        <v/>
      </c>
      <c r="C22" s="113"/>
      <c r="D22" s="113"/>
      <c r="E22" s="113"/>
      <c r="F22" s="419"/>
      <c r="G22" s="419"/>
      <c r="H22" s="420">
        <f t="shared" si="2"/>
        <v>0</v>
      </c>
      <c r="I22" s="420" t="str">
        <f t="shared" si="3"/>
        <v/>
      </c>
      <c r="J22" s="113"/>
      <c r="K22" s="114"/>
      <c r="L22" s="15"/>
      <c r="M22" s="13"/>
      <c r="N22" s="15"/>
      <c r="O22" s="15"/>
      <c r="P22" s="15"/>
      <c r="Q22" s="15"/>
      <c r="R22" s="15"/>
    </row>
    <row r="23" ht="24.0" customHeight="1">
      <c r="A23" s="122"/>
      <c r="B23" s="418" t="str">
        <f>IFERROR(VLOOKUP(A23,Gestao!A:B,2,FALSE),"")</f>
        <v/>
      </c>
      <c r="C23" s="113"/>
      <c r="D23" s="113"/>
      <c r="E23" s="113"/>
      <c r="F23" s="419"/>
      <c r="G23" s="419"/>
      <c r="H23" s="420">
        <f t="shared" si="2"/>
        <v>0</v>
      </c>
      <c r="I23" s="420" t="str">
        <f t="shared" si="3"/>
        <v/>
      </c>
      <c r="J23" s="113"/>
      <c r="K23" s="114"/>
      <c r="L23" s="15"/>
      <c r="M23" s="13"/>
      <c r="N23" s="15"/>
      <c r="O23" s="15"/>
      <c r="P23" s="15"/>
      <c r="Q23" s="15"/>
      <c r="R23" s="15"/>
    </row>
    <row r="24" ht="24.0" customHeight="1">
      <c r="A24" s="122"/>
      <c r="B24" s="418" t="str">
        <f>IFERROR(VLOOKUP(A24,Gestao!A:B,2,FALSE),"")</f>
        <v/>
      </c>
      <c r="C24" s="113"/>
      <c r="D24" s="113"/>
      <c r="E24" s="113"/>
      <c r="F24" s="419"/>
      <c r="G24" s="419"/>
      <c r="H24" s="420">
        <f t="shared" si="2"/>
        <v>0</v>
      </c>
      <c r="I24" s="420" t="str">
        <f t="shared" si="3"/>
        <v/>
      </c>
      <c r="J24" s="113"/>
      <c r="K24" s="114"/>
      <c r="L24" s="15"/>
      <c r="M24" s="13"/>
      <c r="N24" s="15"/>
      <c r="O24" s="15"/>
      <c r="P24" s="15"/>
      <c r="Q24" s="15"/>
      <c r="R24" s="15"/>
    </row>
    <row r="25" ht="24.0" customHeight="1">
      <c r="A25" s="122"/>
      <c r="B25" s="418" t="str">
        <f>IFERROR(VLOOKUP(A25,Gestao!A:B,2,FALSE),"")</f>
        <v/>
      </c>
      <c r="C25" s="113"/>
      <c r="D25" s="113"/>
      <c r="E25" s="113"/>
      <c r="F25" s="419"/>
      <c r="G25" s="419"/>
      <c r="H25" s="420">
        <f t="shared" si="2"/>
        <v>0</v>
      </c>
      <c r="I25" s="420" t="str">
        <f t="shared" si="3"/>
        <v/>
      </c>
      <c r="J25" s="113"/>
      <c r="K25" s="114"/>
      <c r="L25" s="15"/>
      <c r="M25" s="13"/>
      <c r="N25" s="15"/>
      <c r="O25" s="15"/>
      <c r="P25" s="15"/>
      <c r="Q25" s="15"/>
      <c r="R25" s="15"/>
    </row>
    <row r="26" ht="24.0" customHeight="1">
      <c r="A26" s="122"/>
      <c r="B26" s="418" t="str">
        <f>IFERROR(VLOOKUP(A26,Gestao!A:B,2,FALSE),"")</f>
        <v/>
      </c>
      <c r="C26" s="113"/>
      <c r="D26" s="113"/>
      <c r="E26" s="113"/>
      <c r="F26" s="419"/>
      <c r="G26" s="419"/>
      <c r="H26" s="420">
        <f t="shared" si="2"/>
        <v>0</v>
      </c>
      <c r="I26" s="420" t="str">
        <f t="shared" si="3"/>
        <v/>
      </c>
      <c r="J26" s="113"/>
      <c r="K26" s="114"/>
      <c r="L26" s="15"/>
      <c r="M26" s="13"/>
      <c r="N26" s="15"/>
      <c r="O26" s="15"/>
      <c r="P26" s="15"/>
      <c r="Q26" s="15"/>
      <c r="R26" s="15"/>
    </row>
    <row r="27" ht="24.0" customHeight="1">
      <c r="A27" s="122"/>
      <c r="B27" s="418" t="str">
        <f>IFERROR(VLOOKUP(A27,Gestao!A:B,2,FALSE),"")</f>
        <v/>
      </c>
      <c r="C27" s="113"/>
      <c r="D27" s="113"/>
      <c r="E27" s="113"/>
      <c r="F27" s="419"/>
      <c r="G27" s="419"/>
      <c r="H27" s="420">
        <f t="shared" si="2"/>
        <v>0</v>
      </c>
      <c r="I27" s="420" t="str">
        <f t="shared" si="3"/>
        <v/>
      </c>
      <c r="J27" s="113"/>
      <c r="K27" s="114"/>
      <c r="L27" s="15"/>
      <c r="M27" s="13"/>
      <c r="N27" s="15"/>
      <c r="O27" s="15"/>
      <c r="P27" s="15"/>
      <c r="Q27" s="15"/>
      <c r="R27" s="15"/>
    </row>
    <row r="28" ht="24.0" customHeight="1">
      <c r="A28" s="122"/>
      <c r="B28" s="418" t="str">
        <f>IFERROR(VLOOKUP(A28,Gestao!A:B,2,FALSE),"")</f>
        <v/>
      </c>
      <c r="C28" s="113"/>
      <c r="D28" s="113"/>
      <c r="E28" s="113"/>
      <c r="F28" s="419"/>
      <c r="G28" s="419"/>
      <c r="H28" s="420">
        <f t="shared" si="2"/>
        <v>0</v>
      </c>
      <c r="I28" s="420" t="str">
        <f t="shared" si="3"/>
        <v/>
      </c>
      <c r="J28" s="113"/>
      <c r="K28" s="114"/>
      <c r="L28" s="15"/>
      <c r="M28" s="13"/>
      <c r="N28" s="15"/>
      <c r="O28" s="15"/>
      <c r="P28" s="15"/>
      <c r="Q28" s="15"/>
      <c r="R28" s="15"/>
    </row>
    <row r="29" ht="24.0" customHeight="1">
      <c r="A29" s="122"/>
      <c r="B29" s="418" t="str">
        <f>IFERROR(VLOOKUP(A29,Gestao!A:B,2,FALSE),"")</f>
        <v/>
      </c>
      <c r="C29" s="113"/>
      <c r="D29" s="113"/>
      <c r="E29" s="113"/>
      <c r="F29" s="419"/>
      <c r="G29" s="419"/>
      <c r="H29" s="420">
        <f t="shared" si="2"/>
        <v>0</v>
      </c>
      <c r="I29" s="420" t="str">
        <f t="shared" si="3"/>
        <v/>
      </c>
      <c r="J29" s="113"/>
      <c r="K29" s="114"/>
      <c r="L29" s="15"/>
      <c r="M29" s="13"/>
      <c r="N29" s="15"/>
      <c r="O29" s="15"/>
      <c r="P29" s="15"/>
      <c r="Q29" s="15"/>
      <c r="R29" s="15"/>
    </row>
    <row r="30" ht="24.0" customHeight="1">
      <c r="A30" s="122"/>
      <c r="B30" s="418" t="str">
        <f>IFERROR(VLOOKUP(A30,Gestao!A:B,2,FALSE),"")</f>
        <v/>
      </c>
      <c r="C30" s="113"/>
      <c r="D30" s="113"/>
      <c r="E30" s="113"/>
      <c r="F30" s="419"/>
      <c r="G30" s="419"/>
      <c r="H30" s="420">
        <f t="shared" si="2"/>
        <v>0</v>
      </c>
      <c r="I30" s="420" t="str">
        <f t="shared" si="3"/>
        <v/>
      </c>
      <c r="J30" s="113"/>
      <c r="K30" s="114"/>
      <c r="L30" s="15"/>
      <c r="M30" s="13"/>
      <c r="N30" s="15"/>
      <c r="O30" s="15"/>
      <c r="P30" s="15"/>
      <c r="Q30" s="15"/>
      <c r="R30" s="15"/>
    </row>
    <row r="31" ht="24.0" customHeight="1">
      <c r="A31" s="122"/>
      <c r="B31" s="418" t="str">
        <f>IFERROR(VLOOKUP(A31,Gestao!A:B,2,FALSE),"")</f>
        <v/>
      </c>
      <c r="C31" s="113"/>
      <c r="D31" s="113"/>
      <c r="E31" s="113"/>
      <c r="F31" s="419"/>
      <c r="G31" s="419"/>
      <c r="H31" s="420">
        <f t="shared" si="2"/>
        <v>0</v>
      </c>
      <c r="I31" s="420" t="str">
        <f t="shared" si="3"/>
        <v/>
      </c>
      <c r="J31" s="113"/>
      <c r="K31" s="114"/>
      <c r="L31" s="15"/>
      <c r="M31" s="13"/>
      <c r="N31" s="15"/>
      <c r="O31" s="15"/>
      <c r="P31" s="15"/>
      <c r="Q31" s="15"/>
      <c r="R31" s="15"/>
    </row>
    <row r="32" ht="24.0" customHeight="1">
      <c r="A32" s="122"/>
      <c r="B32" s="418" t="str">
        <f>IFERROR(VLOOKUP(A32,Gestao!A:B,2,FALSE),"")</f>
        <v/>
      </c>
      <c r="C32" s="113"/>
      <c r="D32" s="113"/>
      <c r="E32" s="113"/>
      <c r="F32" s="419"/>
      <c r="G32" s="419"/>
      <c r="H32" s="420">
        <f t="shared" si="2"/>
        <v>0</v>
      </c>
      <c r="I32" s="420" t="str">
        <f t="shared" si="3"/>
        <v/>
      </c>
      <c r="J32" s="113"/>
      <c r="K32" s="114"/>
      <c r="L32" s="15"/>
      <c r="M32" s="13"/>
      <c r="N32" s="15"/>
      <c r="O32" s="15"/>
      <c r="P32" s="15"/>
      <c r="Q32" s="15"/>
      <c r="R32" s="15"/>
    </row>
    <row r="33" ht="24.0" customHeight="1">
      <c r="A33" s="122"/>
      <c r="B33" s="418" t="str">
        <f>IFERROR(VLOOKUP(A33,Gestao!A:B,2,FALSE),"")</f>
        <v/>
      </c>
      <c r="C33" s="113"/>
      <c r="D33" s="113"/>
      <c r="E33" s="113"/>
      <c r="F33" s="419"/>
      <c r="G33" s="419"/>
      <c r="H33" s="420">
        <f t="shared" si="2"/>
        <v>0</v>
      </c>
      <c r="I33" s="420" t="str">
        <f t="shared" si="3"/>
        <v/>
      </c>
      <c r="J33" s="113"/>
      <c r="K33" s="114"/>
      <c r="L33" s="15"/>
      <c r="M33" s="13"/>
      <c r="N33" s="15"/>
      <c r="O33" s="15"/>
      <c r="P33" s="15"/>
      <c r="Q33" s="15"/>
      <c r="R33" s="15"/>
    </row>
    <row r="34" ht="24.0" customHeight="1">
      <c r="A34" s="122"/>
      <c r="B34" s="418" t="str">
        <f>IFERROR(VLOOKUP(A34,Gestao!A:B,2,FALSE),"")</f>
        <v/>
      </c>
      <c r="C34" s="113"/>
      <c r="D34" s="113"/>
      <c r="E34" s="113"/>
      <c r="F34" s="419"/>
      <c r="G34" s="419"/>
      <c r="H34" s="420">
        <f t="shared" si="2"/>
        <v>0</v>
      </c>
      <c r="I34" s="420" t="str">
        <f t="shared" si="3"/>
        <v/>
      </c>
      <c r="J34" s="113"/>
      <c r="K34" s="114"/>
      <c r="L34" s="15"/>
      <c r="M34" s="13"/>
      <c r="N34" s="15"/>
      <c r="O34" s="15"/>
      <c r="P34" s="15"/>
      <c r="Q34" s="15"/>
      <c r="R34" s="15"/>
    </row>
    <row r="35" ht="24.0" customHeight="1">
      <c r="A35" s="122"/>
      <c r="B35" s="418" t="str">
        <f>IFERROR(VLOOKUP(A35,Gestao!A:B,2,FALSE),"")</f>
        <v/>
      </c>
      <c r="C35" s="113"/>
      <c r="D35" s="113"/>
      <c r="E35" s="113"/>
      <c r="F35" s="419"/>
      <c r="G35" s="419"/>
      <c r="H35" s="420">
        <f t="shared" si="2"/>
        <v>0</v>
      </c>
      <c r="I35" s="420" t="str">
        <f t="shared" si="3"/>
        <v/>
      </c>
      <c r="J35" s="113"/>
      <c r="K35" s="114"/>
      <c r="L35" s="15"/>
      <c r="M35" s="13"/>
      <c r="N35" s="15"/>
      <c r="O35" s="15"/>
      <c r="P35" s="15"/>
      <c r="Q35" s="15"/>
      <c r="R35" s="15"/>
    </row>
    <row r="36" ht="24.0" customHeight="1">
      <c r="A36" s="122"/>
      <c r="B36" s="418" t="str">
        <f>IFERROR(VLOOKUP(A36,Gestao!A:B,2,FALSE),"")</f>
        <v/>
      </c>
      <c r="C36" s="113"/>
      <c r="D36" s="113"/>
      <c r="E36" s="113"/>
      <c r="F36" s="419"/>
      <c r="G36" s="419"/>
      <c r="H36" s="420">
        <f t="shared" si="2"/>
        <v>0</v>
      </c>
      <c r="I36" s="420" t="str">
        <f t="shared" si="3"/>
        <v/>
      </c>
      <c r="J36" s="113"/>
      <c r="K36" s="114"/>
      <c r="L36" s="15"/>
      <c r="M36" s="13"/>
      <c r="N36" s="15"/>
      <c r="O36" s="15"/>
      <c r="P36" s="15"/>
      <c r="Q36" s="15"/>
      <c r="R36" s="15"/>
    </row>
    <row r="37" ht="24.0" customHeight="1">
      <c r="A37" s="122"/>
      <c r="B37" s="418" t="str">
        <f>IFERROR(VLOOKUP(A37,Gestao!A:B,2,FALSE),"")</f>
        <v/>
      </c>
      <c r="C37" s="113"/>
      <c r="D37" s="113"/>
      <c r="E37" s="113"/>
      <c r="F37" s="419"/>
      <c r="G37" s="419"/>
      <c r="H37" s="420">
        <f t="shared" si="2"/>
        <v>0</v>
      </c>
      <c r="I37" s="420" t="str">
        <f t="shared" si="3"/>
        <v/>
      </c>
      <c r="J37" s="113"/>
      <c r="K37" s="114"/>
      <c r="L37" s="15"/>
      <c r="M37" s="13"/>
      <c r="N37" s="15"/>
      <c r="O37" s="15"/>
      <c r="P37" s="15"/>
      <c r="Q37" s="15"/>
      <c r="R37" s="15"/>
    </row>
    <row r="38" ht="24.0" customHeight="1">
      <c r="A38" s="122"/>
      <c r="B38" s="418" t="str">
        <f>IFERROR(VLOOKUP(A38,Gestao!A:B,2,FALSE),"")</f>
        <v/>
      </c>
      <c r="C38" s="113"/>
      <c r="D38" s="113"/>
      <c r="E38" s="113"/>
      <c r="F38" s="419"/>
      <c r="G38" s="419"/>
      <c r="H38" s="420">
        <f t="shared" si="2"/>
        <v>0</v>
      </c>
      <c r="I38" s="420" t="str">
        <f t="shared" si="3"/>
        <v/>
      </c>
      <c r="J38" s="113"/>
      <c r="K38" s="114"/>
      <c r="L38" s="15"/>
      <c r="M38" s="13"/>
      <c r="N38" s="15"/>
      <c r="O38" s="15"/>
      <c r="P38" s="15"/>
      <c r="Q38" s="15"/>
      <c r="R38" s="15"/>
    </row>
    <row r="39" ht="24.0" customHeight="1">
      <c r="A39" s="122"/>
      <c r="B39" s="418" t="str">
        <f>IFERROR(VLOOKUP(A39,Gestao!A:B,2,FALSE),"")</f>
        <v/>
      </c>
      <c r="C39" s="113"/>
      <c r="D39" s="113"/>
      <c r="E39" s="113"/>
      <c r="F39" s="419"/>
      <c r="G39" s="419"/>
      <c r="H39" s="420">
        <f t="shared" si="2"/>
        <v>0</v>
      </c>
      <c r="I39" s="420" t="str">
        <f t="shared" si="3"/>
        <v/>
      </c>
      <c r="J39" s="113"/>
      <c r="K39" s="114"/>
      <c r="L39" s="15"/>
      <c r="M39" s="13"/>
      <c r="N39" s="15"/>
      <c r="O39" s="15"/>
      <c r="P39" s="15"/>
      <c r="Q39" s="15"/>
      <c r="R39" s="15"/>
    </row>
    <row r="40" ht="24.0" customHeight="1">
      <c r="A40" s="122"/>
      <c r="B40" s="418" t="str">
        <f>IFERROR(VLOOKUP(A40,Gestao!A:B,2,FALSE),"")</f>
        <v/>
      </c>
      <c r="C40" s="113"/>
      <c r="D40" s="113"/>
      <c r="E40" s="113"/>
      <c r="F40" s="419"/>
      <c r="G40" s="419"/>
      <c r="H40" s="420">
        <f t="shared" si="2"/>
        <v>0</v>
      </c>
      <c r="I40" s="420" t="str">
        <f t="shared" si="3"/>
        <v/>
      </c>
      <c r="J40" s="113"/>
      <c r="K40" s="114"/>
      <c r="L40" s="15"/>
      <c r="M40" s="13"/>
      <c r="N40" s="15"/>
      <c r="O40" s="15"/>
      <c r="P40" s="15"/>
      <c r="Q40" s="15"/>
      <c r="R40" s="15"/>
    </row>
    <row r="41" ht="24.0" customHeight="1">
      <c r="A41" s="122"/>
      <c r="B41" s="418" t="str">
        <f>IFERROR(VLOOKUP(A41,Gestao!A:B,2,FALSE),"")</f>
        <v/>
      </c>
      <c r="C41" s="113"/>
      <c r="D41" s="113"/>
      <c r="E41" s="113"/>
      <c r="F41" s="419"/>
      <c r="G41" s="419"/>
      <c r="H41" s="420">
        <f t="shared" si="2"/>
        <v>0</v>
      </c>
      <c r="I41" s="420" t="str">
        <f t="shared" si="3"/>
        <v/>
      </c>
      <c r="J41" s="113"/>
      <c r="K41" s="114"/>
      <c r="L41" s="15"/>
      <c r="M41" s="13"/>
      <c r="N41" s="15"/>
      <c r="O41" s="15"/>
      <c r="P41" s="15"/>
      <c r="Q41" s="15"/>
      <c r="R41" s="15"/>
    </row>
    <row r="42" ht="24.0" customHeight="1">
      <c r="A42" s="122"/>
      <c r="B42" s="418" t="str">
        <f>IFERROR(VLOOKUP(A42,Gestao!A:B,2,FALSE),"")</f>
        <v/>
      </c>
      <c r="C42" s="113"/>
      <c r="D42" s="113"/>
      <c r="E42" s="113"/>
      <c r="F42" s="419"/>
      <c r="G42" s="419"/>
      <c r="H42" s="420">
        <f t="shared" si="2"/>
        <v>0</v>
      </c>
      <c r="I42" s="420" t="str">
        <f t="shared" si="3"/>
        <v/>
      </c>
      <c r="J42" s="113"/>
      <c r="K42" s="114"/>
      <c r="L42" s="15"/>
      <c r="M42" s="13"/>
      <c r="N42" s="15"/>
      <c r="O42" s="15"/>
      <c r="P42" s="15"/>
      <c r="Q42" s="15"/>
      <c r="R42" s="15"/>
    </row>
    <row r="43" ht="24.0" customHeight="1">
      <c r="A43" s="122"/>
      <c r="B43" s="418" t="str">
        <f>IFERROR(VLOOKUP(A43,Gestao!A:B,2,FALSE),"")</f>
        <v/>
      </c>
      <c r="C43" s="113"/>
      <c r="D43" s="113"/>
      <c r="E43" s="113"/>
      <c r="F43" s="419"/>
      <c r="G43" s="419"/>
      <c r="H43" s="420">
        <f t="shared" si="2"/>
        <v>0</v>
      </c>
      <c r="I43" s="420" t="str">
        <f t="shared" si="3"/>
        <v/>
      </c>
      <c r="J43" s="113"/>
      <c r="K43" s="114"/>
      <c r="L43" s="15"/>
      <c r="M43" s="13"/>
      <c r="N43" s="15"/>
      <c r="O43" s="15"/>
      <c r="P43" s="15"/>
      <c r="Q43" s="15"/>
      <c r="R43" s="15"/>
    </row>
    <row r="44" ht="24.0" customHeight="1">
      <c r="A44" s="122"/>
      <c r="B44" s="418" t="str">
        <f>IFERROR(VLOOKUP(A44,Gestao!A:B,2,FALSE),"")</f>
        <v/>
      </c>
      <c r="C44" s="113"/>
      <c r="D44" s="113"/>
      <c r="E44" s="113"/>
      <c r="F44" s="419"/>
      <c r="G44" s="419"/>
      <c r="H44" s="420">
        <f t="shared" si="2"/>
        <v>0</v>
      </c>
      <c r="I44" s="420" t="str">
        <f t="shared" si="3"/>
        <v/>
      </c>
      <c r="J44" s="113"/>
      <c r="K44" s="114"/>
      <c r="L44" s="15"/>
      <c r="M44" s="13"/>
      <c r="N44" s="15"/>
      <c r="O44" s="15"/>
      <c r="P44" s="15"/>
      <c r="Q44" s="15"/>
      <c r="R44" s="15"/>
    </row>
    <row r="45" ht="24.0" customHeight="1">
      <c r="A45" s="122"/>
      <c r="B45" s="418" t="str">
        <f>IFERROR(VLOOKUP(A45,Gestao!A:B,2,FALSE),"")</f>
        <v/>
      </c>
      <c r="C45" s="113"/>
      <c r="D45" s="113"/>
      <c r="E45" s="113"/>
      <c r="F45" s="419"/>
      <c r="G45" s="419"/>
      <c r="H45" s="420">
        <f t="shared" si="2"/>
        <v>0</v>
      </c>
      <c r="I45" s="420" t="str">
        <f t="shared" si="3"/>
        <v/>
      </c>
      <c r="J45" s="113"/>
      <c r="K45" s="114"/>
      <c r="L45" s="15"/>
      <c r="M45" s="13"/>
      <c r="N45" s="15"/>
      <c r="O45" s="15"/>
      <c r="P45" s="15"/>
      <c r="Q45" s="15"/>
      <c r="R45" s="15"/>
    </row>
    <row r="46" ht="24.0" customHeight="1">
      <c r="A46" s="122"/>
      <c r="B46" s="418" t="str">
        <f>IFERROR(VLOOKUP(A46,Gestao!A:B,2,FALSE),"")</f>
        <v/>
      </c>
      <c r="C46" s="113"/>
      <c r="D46" s="113"/>
      <c r="E46" s="113"/>
      <c r="F46" s="419"/>
      <c r="G46" s="419"/>
      <c r="H46" s="420">
        <f t="shared" si="2"/>
        <v>0</v>
      </c>
      <c r="I46" s="420" t="str">
        <f t="shared" si="3"/>
        <v/>
      </c>
      <c r="J46" s="113"/>
      <c r="K46" s="114"/>
      <c r="L46" s="15"/>
      <c r="M46" s="13"/>
      <c r="N46" s="15"/>
      <c r="O46" s="15"/>
      <c r="P46" s="15"/>
      <c r="Q46" s="15"/>
      <c r="R46" s="15"/>
    </row>
    <row r="47" ht="24.0" customHeight="1">
      <c r="A47" s="122"/>
      <c r="B47" s="418" t="str">
        <f>IFERROR(VLOOKUP(A47,Gestao!A:B,2,FALSE),"")</f>
        <v/>
      </c>
      <c r="C47" s="113"/>
      <c r="D47" s="113"/>
      <c r="E47" s="113"/>
      <c r="F47" s="419"/>
      <c r="G47" s="419"/>
      <c r="H47" s="420">
        <f t="shared" si="2"/>
        <v>0</v>
      </c>
      <c r="I47" s="420" t="str">
        <f t="shared" si="3"/>
        <v/>
      </c>
      <c r="J47" s="113"/>
      <c r="K47" s="114"/>
      <c r="L47" s="15"/>
      <c r="M47" s="13"/>
      <c r="N47" s="15"/>
      <c r="O47" s="15"/>
      <c r="P47" s="15"/>
      <c r="Q47" s="15"/>
      <c r="R47" s="15"/>
    </row>
    <row r="48" ht="24.0" customHeight="1">
      <c r="A48" s="122"/>
      <c r="B48" s="418" t="str">
        <f>IFERROR(VLOOKUP(A48,Gestao!A:B,2,FALSE),"")</f>
        <v/>
      </c>
      <c r="C48" s="113"/>
      <c r="D48" s="113"/>
      <c r="E48" s="113"/>
      <c r="F48" s="419"/>
      <c r="G48" s="419"/>
      <c r="H48" s="420">
        <f t="shared" si="2"/>
        <v>0</v>
      </c>
      <c r="I48" s="420" t="str">
        <f t="shared" si="3"/>
        <v/>
      </c>
      <c r="J48" s="113"/>
      <c r="K48" s="114"/>
      <c r="L48" s="15"/>
      <c r="M48" s="13"/>
      <c r="N48" s="15"/>
      <c r="O48" s="15"/>
      <c r="P48" s="15"/>
      <c r="Q48" s="15"/>
      <c r="R48" s="15"/>
    </row>
    <row r="49" ht="24.0" customHeight="1">
      <c r="A49" s="122"/>
      <c r="B49" s="418" t="str">
        <f>IFERROR(VLOOKUP(A49,Gestao!A:B,2,FALSE),"")</f>
        <v/>
      </c>
      <c r="C49" s="113"/>
      <c r="D49" s="113"/>
      <c r="E49" s="113"/>
      <c r="F49" s="419"/>
      <c r="G49" s="419"/>
      <c r="H49" s="420">
        <f t="shared" si="2"/>
        <v>0</v>
      </c>
      <c r="I49" s="420" t="str">
        <f t="shared" si="3"/>
        <v/>
      </c>
      <c r="J49" s="113"/>
      <c r="K49" s="114"/>
      <c r="L49" s="15"/>
      <c r="M49" s="13"/>
      <c r="N49" s="15"/>
      <c r="O49" s="15"/>
      <c r="P49" s="15"/>
      <c r="Q49" s="15"/>
      <c r="R49" s="15"/>
    </row>
    <row r="50" ht="24.0" customHeight="1">
      <c r="A50" s="122"/>
      <c r="B50" s="418" t="str">
        <f>IFERROR(VLOOKUP(A50,Gestao!A:B,2,FALSE),"")</f>
        <v/>
      </c>
      <c r="C50" s="113"/>
      <c r="D50" s="113"/>
      <c r="E50" s="113"/>
      <c r="F50" s="419"/>
      <c r="G50" s="419"/>
      <c r="H50" s="420">
        <f t="shared" si="2"/>
        <v>0</v>
      </c>
      <c r="I50" s="420" t="str">
        <f t="shared" si="3"/>
        <v/>
      </c>
      <c r="J50" s="113"/>
      <c r="K50" s="114"/>
      <c r="L50" s="15"/>
      <c r="M50" s="13"/>
      <c r="N50" s="15"/>
      <c r="O50" s="15"/>
      <c r="P50" s="15"/>
      <c r="Q50" s="15"/>
      <c r="R50" s="15"/>
    </row>
    <row r="51" ht="24.0" customHeight="1">
      <c r="A51" s="122"/>
      <c r="B51" s="418" t="str">
        <f>IFERROR(VLOOKUP(A51,Gestao!A:B,2,FALSE),"")</f>
        <v/>
      </c>
      <c r="C51" s="113"/>
      <c r="D51" s="113"/>
      <c r="E51" s="113"/>
      <c r="F51" s="419"/>
      <c r="G51" s="419"/>
      <c r="H51" s="420">
        <f t="shared" si="2"/>
        <v>0</v>
      </c>
      <c r="I51" s="420" t="str">
        <f t="shared" si="3"/>
        <v/>
      </c>
      <c r="J51" s="113"/>
      <c r="K51" s="114"/>
      <c r="L51" s="15"/>
      <c r="M51" s="13"/>
      <c r="N51" s="15"/>
      <c r="O51" s="15"/>
      <c r="P51" s="15"/>
      <c r="Q51" s="15"/>
      <c r="R51" s="15"/>
    </row>
    <row r="52" ht="24.0" customHeight="1">
      <c r="A52" s="122"/>
      <c r="B52" s="418" t="str">
        <f>IFERROR(VLOOKUP(A52,Gestao!A:B,2,FALSE),"")</f>
        <v/>
      </c>
      <c r="C52" s="113"/>
      <c r="D52" s="113"/>
      <c r="E52" s="113"/>
      <c r="F52" s="419"/>
      <c r="G52" s="419"/>
      <c r="H52" s="420">
        <f t="shared" si="2"/>
        <v>0</v>
      </c>
      <c r="I52" s="420" t="str">
        <f t="shared" si="3"/>
        <v/>
      </c>
      <c r="J52" s="113"/>
      <c r="K52" s="114"/>
      <c r="L52" s="15"/>
      <c r="M52" s="13"/>
      <c r="N52" s="15"/>
      <c r="O52" s="15"/>
      <c r="P52" s="15"/>
      <c r="Q52" s="15"/>
      <c r="R52" s="15"/>
    </row>
    <row r="53" ht="24.0" customHeight="1">
      <c r="A53" s="122"/>
      <c r="B53" s="418" t="str">
        <f>IFERROR(VLOOKUP(A53,Gestao!A:B,2,FALSE),"")</f>
        <v/>
      </c>
      <c r="C53" s="113"/>
      <c r="D53" s="113"/>
      <c r="E53" s="113"/>
      <c r="F53" s="419"/>
      <c r="G53" s="419"/>
      <c r="H53" s="420">
        <f t="shared" si="2"/>
        <v>0</v>
      </c>
      <c r="I53" s="420" t="str">
        <f t="shared" si="3"/>
        <v/>
      </c>
      <c r="J53" s="113"/>
      <c r="K53" s="114"/>
      <c r="L53" s="15"/>
      <c r="M53" s="13"/>
      <c r="N53" s="15"/>
      <c r="O53" s="15"/>
      <c r="P53" s="15"/>
      <c r="Q53" s="15"/>
      <c r="R53" s="15"/>
    </row>
    <row r="54" ht="24.0" customHeight="1">
      <c r="A54" s="122"/>
      <c r="B54" s="418" t="str">
        <f>IFERROR(VLOOKUP(A54,Gestao!A:B,2,FALSE),"")</f>
        <v/>
      </c>
      <c r="C54" s="113"/>
      <c r="D54" s="113"/>
      <c r="E54" s="113"/>
      <c r="F54" s="419"/>
      <c r="G54" s="419"/>
      <c r="H54" s="420">
        <f t="shared" si="2"/>
        <v>0</v>
      </c>
      <c r="I54" s="420" t="str">
        <f t="shared" si="3"/>
        <v/>
      </c>
      <c r="J54" s="113"/>
      <c r="K54" s="114"/>
      <c r="L54" s="15"/>
      <c r="M54" s="13"/>
      <c r="N54" s="15"/>
      <c r="O54" s="15"/>
      <c r="P54" s="15"/>
      <c r="Q54" s="15"/>
      <c r="R54" s="15"/>
    </row>
    <row r="55" ht="24.0" customHeight="1">
      <c r="A55" s="122"/>
      <c r="B55" s="418" t="str">
        <f>IFERROR(VLOOKUP(A55,Gestao!A:B,2,FALSE),"")</f>
        <v/>
      </c>
      <c r="C55" s="113"/>
      <c r="D55" s="113"/>
      <c r="E55" s="113"/>
      <c r="F55" s="419"/>
      <c r="G55" s="419"/>
      <c r="H55" s="420">
        <f t="shared" si="2"/>
        <v>0</v>
      </c>
      <c r="I55" s="420" t="str">
        <f t="shared" si="3"/>
        <v/>
      </c>
      <c r="J55" s="113"/>
      <c r="K55" s="114"/>
      <c r="L55" s="15"/>
      <c r="M55" s="13"/>
      <c r="N55" s="15"/>
      <c r="O55" s="15"/>
      <c r="P55" s="15"/>
      <c r="Q55" s="15"/>
      <c r="R55" s="15"/>
    </row>
    <row r="56" ht="24.0" customHeight="1">
      <c r="A56" s="122"/>
      <c r="B56" s="418" t="str">
        <f>IFERROR(VLOOKUP(A56,Gestao!A:B,2,FALSE),"")</f>
        <v/>
      </c>
      <c r="C56" s="113"/>
      <c r="D56" s="113"/>
      <c r="E56" s="113"/>
      <c r="F56" s="419"/>
      <c r="G56" s="419"/>
      <c r="H56" s="420">
        <f t="shared" si="2"/>
        <v>0</v>
      </c>
      <c r="I56" s="420" t="str">
        <f t="shared" si="3"/>
        <v/>
      </c>
      <c r="J56" s="113"/>
      <c r="K56" s="114"/>
      <c r="L56" s="15"/>
      <c r="M56" s="13"/>
      <c r="N56" s="15"/>
      <c r="O56" s="15"/>
      <c r="P56" s="15"/>
      <c r="Q56" s="15"/>
      <c r="R56" s="15"/>
    </row>
    <row r="57" ht="24.0" customHeight="1">
      <c r="A57" s="122"/>
      <c r="B57" s="418" t="str">
        <f>IFERROR(VLOOKUP(A57,Gestao!A:B,2,FALSE),"")</f>
        <v/>
      </c>
      <c r="C57" s="113"/>
      <c r="D57" s="113"/>
      <c r="E57" s="113"/>
      <c r="F57" s="419"/>
      <c r="G57" s="419"/>
      <c r="H57" s="420">
        <f t="shared" si="2"/>
        <v>0</v>
      </c>
      <c r="I57" s="420" t="str">
        <f t="shared" si="3"/>
        <v/>
      </c>
      <c r="J57" s="113"/>
      <c r="K57" s="114"/>
      <c r="L57" s="15"/>
      <c r="M57" s="13"/>
      <c r="N57" s="15"/>
      <c r="O57" s="15"/>
      <c r="P57" s="15"/>
      <c r="Q57" s="15"/>
      <c r="R57" s="15"/>
    </row>
    <row r="58" ht="24.0" customHeight="1">
      <c r="A58" s="122"/>
      <c r="B58" s="418" t="str">
        <f>IFERROR(VLOOKUP(A58,Gestao!A:B,2,FALSE),"")</f>
        <v/>
      </c>
      <c r="C58" s="113"/>
      <c r="D58" s="113"/>
      <c r="E58" s="113"/>
      <c r="F58" s="419"/>
      <c r="G58" s="419"/>
      <c r="H58" s="420">
        <f t="shared" si="2"/>
        <v>0</v>
      </c>
      <c r="I58" s="420" t="str">
        <f t="shared" si="3"/>
        <v/>
      </c>
      <c r="J58" s="113"/>
      <c r="K58" s="114"/>
      <c r="L58" s="15"/>
      <c r="M58" s="13"/>
      <c r="N58" s="15"/>
      <c r="O58" s="15"/>
      <c r="P58" s="15"/>
      <c r="Q58" s="15"/>
      <c r="R58" s="15"/>
    </row>
    <row r="59" ht="24.0" customHeight="1">
      <c r="A59" s="122"/>
      <c r="B59" s="418" t="str">
        <f>IFERROR(VLOOKUP(A59,Gestao!A:B,2,FALSE),"")</f>
        <v/>
      </c>
      <c r="C59" s="113"/>
      <c r="D59" s="113"/>
      <c r="E59" s="113"/>
      <c r="F59" s="419"/>
      <c r="G59" s="419"/>
      <c r="H59" s="420">
        <f t="shared" si="2"/>
        <v>0</v>
      </c>
      <c r="I59" s="420" t="str">
        <f t="shared" si="3"/>
        <v/>
      </c>
      <c r="J59" s="113"/>
      <c r="K59" s="114"/>
      <c r="L59" s="15"/>
      <c r="M59" s="13"/>
      <c r="N59" s="15"/>
      <c r="O59" s="15"/>
      <c r="P59" s="15"/>
      <c r="Q59" s="15"/>
      <c r="R59" s="15"/>
    </row>
    <row r="60" ht="24.0" customHeight="1">
      <c r="A60" s="122"/>
      <c r="B60" s="418" t="str">
        <f>IFERROR(VLOOKUP(A60,Gestao!A:B,2,FALSE),"")</f>
        <v/>
      </c>
      <c r="C60" s="113"/>
      <c r="D60" s="113"/>
      <c r="E60" s="113"/>
      <c r="F60" s="419"/>
      <c r="G60" s="419"/>
      <c r="H60" s="420">
        <f t="shared" si="2"/>
        <v>0</v>
      </c>
      <c r="I60" s="420" t="str">
        <f t="shared" si="3"/>
        <v/>
      </c>
      <c r="J60" s="113"/>
      <c r="K60" s="114"/>
      <c r="L60" s="15"/>
      <c r="M60" s="13"/>
      <c r="N60" s="15"/>
      <c r="O60" s="15"/>
      <c r="P60" s="15"/>
      <c r="Q60" s="15"/>
      <c r="R60" s="15"/>
    </row>
    <row r="61" ht="24.0" customHeight="1">
      <c r="A61" s="122"/>
      <c r="B61" s="418" t="str">
        <f>IFERROR(VLOOKUP(A61,Gestao!A:B,2,FALSE),"")</f>
        <v/>
      </c>
      <c r="C61" s="113"/>
      <c r="D61" s="113"/>
      <c r="E61" s="113"/>
      <c r="F61" s="419"/>
      <c r="G61" s="419"/>
      <c r="H61" s="420">
        <f t="shared" si="2"/>
        <v>0</v>
      </c>
      <c r="I61" s="420" t="str">
        <f t="shared" si="3"/>
        <v/>
      </c>
      <c r="J61" s="113"/>
      <c r="K61" s="114"/>
      <c r="L61" s="15"/>
      <c r="M61" s="13"/>
      <c r="N61" s="15"/>
      <c r="O61" s="15"/>
      <c r="P61" s="15"/>
      <c r="Q61" s="15"/>
      <c r="R61" s="15"/>
    </row>
    <row r="62" ht="24.0" customHeight="1">
      <c r="A62" s="122"/>
      <c r="B62" s="418" t="str">
        <f>IFERROR(VLOOKUP(A62,Gestao!A:B,2,FALSE),"")</f>
        <v/>
      </c>
      <c r="C62" s="113"/>
      <c r="D62" s="113"/>
      <c r="E62" s="113"/>
      <c r="F62" s="419"/>
      <c r="G62" s="419"/>
      <c r="H62" s="420">
        <f t="shared" si="2"/>
        <v>0</v>
      </c>
      <c r="I62" s="420" t="str">
        <f t="shared" si="3"/>
        <v/>
      </c>
      <c r="J62" s="113"/>
      <c r="K62" s="114"/>
      <c r="L62" s="15"/>
      <c r="M62" s="13"/>
      <c r="N62" s="15"/>
      <c r="O62" s="15"/>
      <c r="P62" s="15"/>
      <c r="Q62" s="15"/>
      <c r="R62" s="15"/>
    </row>
    <row r="63" ht="24.0" customHeight="1">
      <c r="A63" s="122"/>
      <c r="B63" s="418" t="str">
        <f>IFERROR(VLOOKUP(A63,Gestao!A:B,2,FALSE),"")</f>
        <v/>
      </c>
      <c r="C63" s="113"/>
      <c r="D63" s="113"/>
      <c r="E63" s="113"/>
      <c r="F63" s="419"/>
      <c r="G63" s="419"/>
      <c r="H63" s="420">
        <f t="shared" si="2"/>
        <v>0</v>
      </c>
      <c r="I63" s="420" t="str">
        <f t="shared" si="3"/>
        <v/>
      </c>
      <c r="J63" s="113"/>
      <c r="K63" s="114"/>
      <c r="L63" s="15"/>
      <c r="M63" s="13"/>
      <c r="N63" s="15"/>
      <c r="O63" s="15"/>
      <c r="P63" s="15"/>
      <c r="Q63" s="15"/>
      <c r="R63" s="15"/>
    </row>
    <row r="64" ht="24.0" customHeight="1">
      <c r="A64" s="122"/>
      <c r="B64" s="418" t="str">
        <f>IFERROR(VLOOKUP(A64,Gestao!A:B,2,FALSE),"")</f>
        <v/>
      </c>
      <c r="C64" s="113"/>
      <c r="D64" s="113"/>
      <c r="E64" s="113"/>
      <c r="F64" s="419"/>
      <c r="G64" s="419"/>
      <c r="H64" s="420">
        <f t="shared" si="2"/>
        <v>0</v>
      </c>
      <c r="I64" s="420" t="str">
        <f t="shared" si="3"/>
        <v/>
      </c>
      <c r="J64" s="113"/>
      <c r="K64" s="114"/>
      <c r="L64" s="15"/>
      <c r="M64" s="13"/>
      <c r="N64" s="15"/>
      <c r="O64" s="15"/>
      <c r="P64" s="15"/>
      <c r="Q64" s="15"/>
      <c r="R64" s="15"/>
    </row>
    <row r="65" ht="24.0" customHeight="1">
      <c r="A65" s="122"/>
      <c r="B65" s="418" t="str">
        <f>IFERROR(VLOOKUP(A65,Gestao!A:B,2,FALSE),"")</f>
        <v/>
      </c>
      <c r="C65" s="113"/>
      <c r="D65" s="113"/>
      <c r="E65" s="113"/>
      <c r="F65" s="419"/>
      <c r="G65" s="419"/>
      <c r="H65" s="420">
        <f t="shared" si="2"/>
        <v>0</v>
      </c>
      <c r="I65" s="420" t="str">
        <f t="shared" si="3"/>
        <v/>
      </c>
      <c r="J65" s="113"/>
      <c r="K65" s="114"/>
      <c r="L65" s="15"/>
      <c r="M65" s="13"/>
      <c r="N65" s="15"/>
      <c r="O65" s="15"/>
      <c r="P65" s="15"/>
      <c r="Q65" s="15"/>
      <c r="R65" s="15"/>
    </row>
    <row r="66" ht="24.0" customHeight="1">
      <c r="A66" s="122"/>
      <c r="B66" s="418" t="str">
        <f>IFERROR(VLOOKUP(A66,Gestao!A:B,2,FALSE),"")</f>
        <v/>
      </c>
      <c r="C66" s="113"/>
      <c r="D66" s="113"/>
      <c r="E66" s="113"/>
      <c r="F66" s="419"/>
      <c r="G66" s="419"/>
      <c r="H66" s="420">
        <f t="shared" si="2"/>
        <v>0</v>
      </c>
      <c r="I66" s="420" t="str">
        <f t="shared" si="3"/>
        <v/>
      </c>
      <c r="J66" s="113"/>
      <c r="K66" s="114"/>
      <c r="L66" s="15"/>
      <c r="M66" s="13"/>
      <c r="N66" s="15"/>
      <c r="O66" s="15"/>
      <c r="P66" s="15"/>
      <c r="Q66" s="15"/>
      <c r="R66" s="15"/>
    </row>
    <row r="67" ht="15.75" customHeight="1">
      <c r="A67" s="122"/>
      <c r="B67" s="418" t="str">
        <f>IFERROR(VLOOKUP(A67,Gestao!A:B,2,FALSE),"")</f>
        <v/>
      </c>
      <c r="C67" s="113"/>
      <c r="D67" s="113"/>
      <c r="E67" s="113"/>
      <c r="F67" s="419"/>
      <c r="G67" s="419"/>
      <c r="H67" s="420">
        <f t="shared" si="2"/>
        <v>0</v>
      </c>
      <c r="I67" s="420" t="str">
        <f t="shared" si="3"/>
        <v/>
      </c>
      <c r="J67" s="113"/>
      <c r="K67" s="114"/>
      <c r="L67" s="15"/>
      <c r="M67" s="13"/>
      <c r="N67" s="15"/>
      <c r="O67" s="15"/>
      <c r="P67" s="15"/>
      <c r="Q67" s="15"/>
      <c r="R67" s="15"/>
    </row>
    <row r="68" ht="15.75" customHeight="1">
      <c r="A68" s="122"/>
      <c r="B68" s="418" t="str">
        <f>IFERROR(VLOOKUP(A68,Gestao!A:B,2,FALSE),"")</f>
        <v/>
      </c>
      <c r="C68" s="113"/>
      <c r="D68" s="113"/>
      <c r="E68" s="113"/>
      <c r="F68" s="419"/>
      <c r="G68" s="419"/>
      <c r="H68" s="420">
        <f t="shared" si="2"/>
        <v>0</v>
      </c>
      <c r="I68" s="420" t="str">
        <f t="shared" si="3"/>
        <v/>
      </c>
      <c r="J68" s="113"/>
      <c r="K68" s="114"/>
      <c r="L68" s="15"/>
      <c r="M68" s="13"/>
      <c r="N68" s="15"/>
      <c r="O68" s="15"/>
      <c r="P68" s="15"/>
      <c r="Q68" s="15"/>
      <c r="R68" s="15"/>
    </row>
    <row r="69" ht="15.75" customHeight="1">
      <c r="A69" s="122"/>
      <c r="B69" s="418" t="str">
        <f>IFERROR(VLOOKUP(A69,Gestao!A:B,2,FALSE),"")</f>
        <v/>
      </c>
      <c r="C69" s="113"/>
      <c r="D69" s="113"/>
      <c r="E69" s="113"/>
      <c r="F69" s="419"/>
      <c r="G69" s="419"/>
      <c r="H69" s="420">
        <f t="shared" si="2"/>
        <v>0</v>
      </c>
      <c r="I69" s="420" t="str">
        <f t="shared" si="3"/>
        <v/>
      </c>
      <c r="J69" s="113"/>
      <c r="K69" s="114"/>
      <c r="L69" s="15"/>
      <c r="M69" s="13"/>
      <c r="N69" s="15"/>
      <c r="O69" s="15"/>
      <c r="P69" s="15"/>
      <c r="Q69" s="15"/>
      <c r="R69" s="15"/>
    </row>
    <row r="70" ht="15.75" customHeight="1">
      <c r="A70" s="122"/>
      <c r="B70" s="418" t="str">
        <f>IFERROR(VLOOKUP(A70,Gestao!A:B,2,FALSE),"")</f>
        <v/>
      </c>
      <c r="C70" s="113"/>
      <c r="D70" s="113"/>
      <c r="E70" s="113"/>
      <c r="F70" s="419"/>
      <c r="G70" s="419"/>
      <c r="H70" s="420">
        <f t="shared" si="2"/>
        <v>0</v>
      </c>
      <c r="I70" s="420" t="str">
        <f t="shared" si="3"/>
        <v/>
      </c>
      <c r="J70" s="113"/>
      <c r="K70" s="114"/>
      <c r="L70" s="15"/>
      <c r="M70" s="13"/>
      <c r="N70" s="15"/>
      <c r="O70" s="15"/>
      <c r="P70" s="15"/>
      <c r="Q70" s="15"/>
      <c r="R70" s="15"/>
    </row>
    <row r="71" ht="15.75" customHeight="1">
      <c r="A71" s="122"/>
      <c r="B71" s="418" t="str">
        <f>IFERROR(VLOOKUP(A71,Gestao!A:B,2,FALSE),"")</f>
        <v/>
      </c>
      <c r="C71" s="113"/>
      <c r="D71" s="113"/>
      <c r="E71" s="113"/>
      <c r="F71" s="419"/>
      <c r="G71" s="419"/>
      <c r="H71" s="420">
        <f t="shared" si="2"/>
        <v>0</v>
      </c>
      <c r="I71" s="420" t="str">
        <f t="shared" si="3"/>
        <v/>
      </c>
      <c r="J71" s="113"/>
      <c r="K71" s="114"/>
      <c r="L71" s="15"/>
      <c r="M71" s="13"/>
      <c r="N71" s="15"/>
      <c r="O71" s="15"/>
      <c r="P71" s="15"/>
      <c r="Q71" s="15"/>
      <c r="R71" s="15"/>
    </row>
    <row r="72" ht="15.75" customHeight="1">
      <c r="A72" s="122"/>
      <c r="B72" s="418" t="str">
        <f>IFERROR(VLOOKUP(A72,Gestao!A:B,2,FALSE),"")</f>
        <v/>
      </c>
      <c r="C72" s="113"/>
      <c r="D72" s="113"/>
      <c r="E72" s="113"/>
      <c r="F72" s="419"/>
      <c r="G72" s="419"/>
      <c r="H72" s="420">
        <f t="shared" si="2"/>
        <v>0</v>
      </c>
      <c r="I72" s="420" t="str">
        <f t="shared" si="3"/>
        <v/>
      </c>
      <c r="J72" s="113"/>
      <c r="K72" s="114"/>
      <c r="L72" s="15"/>
      <c r="M72" s="13"/>
      <c r="N72" s="15"/>
      <c r="O72" s="15"/>
      <c r="P72" s="15"/>
      <c r="Q72" s="15"/>
      <c r="R72" s="15"/>
    </row>
    <row r="73" ht="15.75" customHeight="1">
      <c r="A73" s="122"/>
      <c r="B73" s="418" t="str">
        <f>IFERROR(VLOOKUP(A73,Gestao!A:B,2,FALSE),"")</f>
        <v/>
      </c>
      <c r="C73" s="113"/>
      <c r="D73" s="113"/>
      <c r="E73" s="113"/>
      <c r="F73" s="419"/>
      <c r="G73" s="419"/>
      <c r="H73" s="420">
        <f t="shared" si="2"/>
        <v>0</v>
      </c>
      <c r="I73" s="420" t="str">
        <f t="shared" si="3"/>
        <v/>
      </c>
      <c r="J73" s="113"/>
      <c r="K73" s="114"/>
      <c r="L73" s="15"/>
      <c r="M73" s="13"/>
      <c r="N73" s="15"/>
      <c r="O73" s="15"/>
      <c r="P73" s="15"/>
      <c r="Q73" s="15"/>
      <c r="R73" s="15"/>
    </row>
    <row r="74" ht="15.75" customHeight="1">
      <c r="A74" s="122"/>
      <c r="B74" s="418" t="str">
        <f>IFERROR(VLOOKUP(A74,Gestao!A:B,2,FALSE),"")</f>
        <v/>
      </c>
      <c r="C74" s="113"/>
      <c r="D74" s="113"/>
      <c r="E74" s="113"/>
      <c r="F74" s="419"/>
      <c r="G74" s="419"/>
      <c r="H74" s="420">
        <f t="shared" si="2"/>
        <v>0</v>
      </c>
      <c r="I74" s="420" t="str">
        <f t="shared" si="3"/>
        <v/>
      </c>
      <c r="J74" s="113"/>
      <c r="K74" s="114"/>
      <c r="L74" s="15"/>
      <c r="M74" s="13"/>
      <c r="N74" s="15"/>
      <c r="O74" s="15"/>
      <c r="P74" s="15"/>
      <c r="Q74" s="15"/>
      <c r="R74" s="15"/>
    </row>
    <row r="75" ht="15.75" customHeight="1">
      <c r="A75" s="122"/>
      <c r="B75" s="418" t="str">
        <f>IFERROR(VLOOKUP(A75,Gestao!A:B,2,FALSE),"")</f>
        <v/>
      </c>
      <c r="C75" s="113"/>
      <c r="D75" s="113"/>
      <c r="E75" s="113"/>
      <c r="F75" s="419"/>
      <c r="G75" s="419"/>
      <c r="H75" s="420">
        <f t="shared" si="2"/>
        <v>0</v>
      </c>
      <c r="I75" s="420" t="str">
        <f t="shared" si="3"/>
        <v/>
      </c>
      <c r="J75" s="113"/>
      <c r="K75" s="114"/>
      <c r="L75" s="15"/>
      <c r="M75" s="13"/>
      <c r="N75" s="15"/>
      <c r="O75" s="15"/>
      <c r="P75" s="15"/>
      <c r="Q75" s="15"/>
      <c r="R75" s="15"/>
    </row>
    <row r="76" ht="15.75" customHeight="1">
      <c r="A76" s="122"/>
      <c r="B76" s="418" t="str">
        <f>IFERROR(VLOOKUP(A76,Gestao!A:B,2,FALSE),"")</f>
        <v/>
      </c>
      <c r="C76" s="113"/>
      <c r="D76" s="113"/>
      <c r="E76" s="113"/>
      <c r="F76" s="419"/>
      <c r="G76" s="419"/>
      <c r="H76" s="420">
        <f t="shared" si="2"/>
        <v>0</v>
      </c>
      <c r="I76" s="420" t="str">
        <f t="shared" si="3"/>
        <v/>
      </c>
      <c r="J76" s="113"/>
      <c r="K76" s="114"/>
      <c r="L76" s="15"/>
      <c r="M76" s="13"/>
      <c r="N76" s="15"/>
      <c r="O76" s="15"/>
      <c r="P76" s="15"/>
      <c r="Q76" s="15"/>
      <c r="R76" s="15"/>
    </row>
    <row r="77" ht="15.75" customHeight="1">
      <c r="A77" s="122"/>
      <c r="B77" s="418" t="str">
        <f>IFERROR(VLOOKUP(A77,Gestao!A:B,2,FALSE),"")</f>
        <v/>
      </c>
      <c r="C77" s="113"/>
      <c r="D77" s="113"/>
      <c r="E77" s="113"/>
      <c r="F77" s="419"/>
      <c r="G77" s="419"/>
      <c r="H77" s="420">
        <f t="shared" si="2"/>
        <v>0</v>
      </c>
      <c r="I77" s="420" t="str">
        <f t="shared" si="3"/>
        <v/>
      </c>
      <c r="J77" s="113"/>
      <c r="K77" s="114"/>
      <c r="L77" s="15"/>
      <c r="M77" s="13"/>
      <c r="N77" s="15"/>
      <c r="O77" s="15"/>
      <c r="P77" s="15"/>
      <c r="Q77" s="15"/>
      <c r="R77" s="15"/>
    </row>
    <row r="78" ht="15.75" customHeight="1">
      <c r="A78" s="122"/>
      <c r="B78" s="418" t="str">
        <f>IFERROR(VLOOKUP(A78,Gestao!A:B,2,FALSE),"")</f>
        <v/>
      </c>
      <c r="C78" s="113"/>
      <c r="D78" s="113"/>
      <c r="E78" s="113"/>
      <c r="F78" s="419"/>
      <c r="G78" s="419"/>
      <c r="H78" s="420">
        <f t="shared" si="2"/>
        <v>0</v>
      </c>
      <c r="I78" s="420" t="str">
        <f t="shared" si="3"/>
        <v/>
      </c>
      <c r="J78" s="113"/>
      <c r="K78" s="114"/>
      <c r="L78" s="15"/>
      <c r="M78" s="13"/>
      <c r="N78" s="15"/>
      <c r="O78" s="15"/>
      <c r="P78" s="15"/>
      <c r="Q78" s="15"/>
      <c r="R78" s="15"/>
    </row>
    <row r="79" ht="15.75" customHeight="1">
      <c r="A79" s="122"/>
      <c r="B79" s="418" t="str">
        <f>IFERROR(VLOOKUP(A79,Gestao!A:B,2,FALSE),"")</f>
        <v/>
      </c>
      <c r="C79" s="113"/>
      <c r="D79" s="113"/>
      <c r="E79" s="113"/>
      <c r="F79" s="419"/>
      <c r="G79" s="419"/>
      <c r="H79" s="420">
        <f t="shared" si="2"/>
        <v>0</v>
      </c>
      <c r="I79" s="420" t="str">
        <f t="shared" si="3"/>
        <v/>
      </c>
      <c r="J79" s="113"/>
      <c r="K79" s="114"/>
      <c r="L79" s="15"/>
      <c r="M79" s="13"/>
      <c r="N79" s="15"/>
      <c r="O79" s="15"/>
      <c r="P79" s="15"/>
      <c r="Q79" s="15"/>
      <c r="R79" s="15"/>
    </row>
    <row r="80" ht="15.75" customHeight="1">
      <c r="A80" s="122"/>
      <c r="B80" s="418" t="str">
        <f>IFERROR(VLOOKUP(A80,Gestao!A:B,2,FALSE),"")</f>
        <v/>
      </c>
      <c r="C80" s="113"/>
      <c r="D80" s="113"/>
      <c r="E80" s="113"/>
      <c r="F80" s="419"/>
      <c r="G80" s="419"/>
      <c r="H80" s="420">
        <f t="shared" si="2"/>
        <v>0</v>
      </c>
      <c r="I80" s="420" t="str">
        <f t="shared" si="3"/>
        <v/>
      </c>
      <c r="J80" s="113"/>
      <c r="K80" s="114"/>
      <c r="L80" s="15"/>
      <c r="M80" s="13"/>
      <c r="N80" s="15"/>
      <c r="O80" s="15"/>
      <c r="P80" s="15"/>
      <c r="Q80" s="15"/>
      <c r="R80" s="15"/>
    </row>
    <row r="81" ht="15.75" customHeight="1">
      <c r="A81" s="122"/>
      <c r="B81" s="418" t="str">
        <f>IFERROR(VLOOKUP(A81,Gestao!A:B,2,FALSE),"")</f>
        <v/>
      </c>
      <c r="C81" s="113"/>
      <c r="D81" s="113"/>
      <c r="E81" s="113"/>
      <c r="F81" s="419"/>
      <c r="G81" s="419"/>
      <c r="H81" s="420">
        <f t="shared" si="2"/>
        <v>0</v>
      </c>
      <c r="I81" s="420" t="str">
        <f t="shared" si="3"/>
        <v/>
      </c>
      <c r="J81" s="113"/>
      <c r="K81" s="114"/>
      <c r="L81" s="15"/>
      <c r="M81" s="13"/>
      <c r="N81" s="15"/>
      <c r="O81" s="15"/>
      <c r="P81" s="15"/>
      <c r="Q81" s="15"/>
      <c r="R81" s="15"/>
    </row>
    <row r="82" ht="15.75" customHeight="1">
      <c r="A82" s="122"/>
      <c r="B82" s="418" t="str">
        <f>IFERROR(VLOOKUP(A82,Gestao!A:B,2,FALSE),"")</f>
        <v/>
      </c>
      <c r="C82" s="113"/>
      <c r="D82" s="113"/>
      <c r="E82" s="113"/>
      <c r="F82" s="419"/>
      <c r="G82" s="419"/>
      <c r="H82" s="420">
        <f t="shared" si="2"/>
        <v>0</v>
      </c>
      <c r="I82" s="420" t="str">
        <f t="shared" si="3"/>
        <v/>
      </c>
      <c r="J82" s="113"/>
      <c r="K82" s="114"/>
      <c r="L82" s="15"/>
      <c r="M82" s="13"/>
      <c r="N82" s="15"/>
      <c r="O82" s="15"/>
      <c r="P82" s="15"/>
      <c r="Q82" s="15"/>
      <c r="R82" s="15"/>
    </row>
    <row r="83" ht="15.75" customHeight="1">
      <c r="A83" s="122"/>
      <c r="B83" s="418" t="str">
        <f>IFERROR(VLOOKUP(A83,Gestao!A:B,2,FALSE),"")</f>
        <v/>
      </c>
      <c r="C83" s="113"/>
      <c r="D83" s="113"/>
      <c r="E83" s="113"/>
      <c r="F83" s="419"/>
      <c r="G83" s="419"/>
      <c r="H83" s="420">
        <f t="shared" si="2"/>
        <v>0</v>
      </c>
      <c r="I83" s="420" t="str">
        <f t="shared" si="3"/>
        <v/>
      </c>
      <c r="J83" s="113"/>
      <c r="K83" s="114"/>
      <c r="L83" s="15"/>
      <c r="M83" s="13"/>
      <c r="N83" s="15"/>
      <c r="O83" s="15"/>
      <c r="P83" s="15"/>
      <c r="Q83" s="15"/>
      <c r="R83" s="15"/>
    </row>
    <row r="84" ht="15.75" customHeight="1">
      <c r="A84" s="122"/>
      <c r="B84" s="418" t="str">
        <f>IFERROR(VLOOKUP(A84,Gestao!A:B,2,FALSE),"")</f>
        <v/>
      </c>
      <c r="C84" s="113"/>
      <c r="D84" s="113"/>
      <c r="E84" s="113"/>
      <c r="F84" s="419"/>
      <c r="G84" s="419"/>
      <c r="H84" s="420">
        <f t="shared" si="2"/>
        <v>0</v>
      </c>
      <c r="I84" s="420" t="str">
        <f t="shared" si="3"/>
        <v/>
      </c>
      <c r="J84" s="113"/>
      <c r="K84" s="114"/>
      <c r="L84" s="15"/>
      <c r="M84" s="13"/>
      <c r="N84" s="15"/>
      <c r="O84" s="15"/>
      <c r="P84" s="15"/>
      <c r="Q84" s="15"/>
      <c r="R84" s="15"/>
    </row>
    <row r="85" ht="15.75" customHeight="1">
      <c r="A85" s="122"/>
      <c r="B85" s="418" t="str">
        <f>IFERROR(VLOOKUP(A85,Gestao!A:B,2,FALSE),"")</f>
        <v/>
      </c>
      <c r="C85" s="113"/>
      <c r="D85" s="113"/>
      <c r="E85" s="113"/>
      <c r="F85" s="419"/>
      <c r="G85" s="419"/>
      <c r="H85" s="420">
        <f t="shared" si="2"/>
        <v>0</v>
      </c>
      <c r="I85" s="420" t="str">
        <f t="shared" si="3"/>
        <v/>
      </c>
      <c r="J85" s="113"/>
      <c r="K85" s="114"/>
      <c r="L85" s="15"/>
      <c r="M85" s="13"/>
      <c r="N85" s="15"/>
      <c r="O85" s="15"/>
      <c r="P85" s="15"/>
      <c r="Q85" s="15"/>
      <c r="R85" s="15"/>
    </row>
    <row r="86" ht="15.75" customHeight="1">
      <c r="A86" s="122"/>
      <c r="B86" s="418" t="str">
        <f>IFERROR(VLOOKUP(A86,Gestao!A:B,2,FALSE),"")</f>
        <v/>
      </c>
      <c r="C86" s="113"/>
      <c r="D86" s="113"/>
      <c r="E86" s="113"/>
      <c r="F86" s="419"/>
      <c r="G86" s="419"/>
      <c r="H86" s="420">
        <f t="shared" si="2"/>
        <v>0</v>
      </c>
      <c r="I86" s="420" t="str">
        <f t="shared" si="3"/>
        <v/>
      </c>
      <c r="J86" s="113"/>
      <c r="K86" s="114"/>
      <c r="L86" s="15"/>
      <c r="M86" s="13"/>
      <c r="N86" s="15"/>
      <c r="O86" s="15"/>
      <c r="P86" s="15"/>
      <c r="Q86" s="15"/>
      <c r="R86" s="15"/>
    </row>
    <row r="87" ht="15.75" customHeight="1">
      <c r="A87" s="122"/>
      <c r="B87" s="418" t="str">
        <f>IFERROR(VLOOKUP(A87,Gestao!A:B,2,FALSE),"")</f>
        <v/>
      </c>
      <c r="C87" s="113"/>
      <c r="D87" s="113"/>
      <c r="E87" s="113"/>
      <c r="F87" s="419"/>
      <c r="G87" s="419"/>
      <c r="H87" s="420">
        <f t="shared" si="2"/>
        <v>0</v>
      </c>
      <c r="I87" s="420" t="str">
        <f t="shared" si="3"/>
        <v/>
      </c>
      <c r="J87" s="113"/>
      <c r="K87" s="114"/>
      <c r="L87" s="15"/>
      <c r="M87" s="13"/>
      <c r="N87" s="15"/>
      <c r="O87" s="15"/>
      <c r="P87" s="15"/>
      <c r="Q87" s="15"/>
      <c r="R87" s="15"/>
    </row>
    <row r="88" ht="15.75" customHeight="1">
      <c r="A88" s="122"/>
      <c r="B88" s="418" t="str">
        <f>IFERROR(VLOOKUP(A88,Gestao!A:B,2,FALSE),"")</f>
        <v/>
      </c>
      <c r="C88" s="113"/>
      <c r="D88" s="113"/>
      <c r="E88" s="113"/>
      <c r="F88" s="419"/>
      <c r="G88" s="419"/>
      <c r="H88" s="420">
        <f t="shared" si="2"/>
        <v>0</v>
      </c>
      <c r="I88" s="420" t="str">
        <f t="shared" si="3"/>
        <v/>
      </c>
      <c r="J88" s="113"/>
      <c r="K88" s="114"/>
      <c r="L88" s="15"/>
      <c r="M88" s="13"/>
      <c r="N88" s="15"/>
      <c r="O88" s="15"/>
      <c r="P88" s="15"/>
      <c r="Q88" s="15"/>
      <c r="R88" s="15"/>
    </row>
    <row r="89" ht="15.75" customHeight="1">
      <c r="A89" s="122"/>
      <c r="B89" s="418" t="str">
        <f>IFERROR(VLOOKUP(A89,Gestao!A:B,2,FALSE),"")</f>
        <v/>
      </c>
      <c r="C89" s="113"/>
      <c r="D89" s="113"/>
      <c r="E89" s="113"/>
      <c r="F89" s="419"/>
      <c r="G89" s="419"/>
      <c r="H89" s="420">
        <f t="shared" si="2"/>
        <v>0</v>
      </c>
      <c r="I89" s="420" t="str">
        <f t="shared" si="3"/>
        <v/>
      </c>
      <c r="J89" s="113"/>
      <c r="K89" s="114"/>
      <c r="L89" s="15"/>
      <c r="M89" s="13"/>
      <c r="N89" s="15"/>
      <c r="O89" s="15"/>
      <c r="P89" s="15"/>
      <c r="Q89" s="15"/>
      <c r="R89" s="15"/>
    </row>
    <row r="90" ht="15.75" customHeight="1">
      <c r="A90" s="122"/>
      <c r="B90" s="418" t="str">
        <f>IFERROR(VLOOKUP(A90,Gestao!A:B,2,FALSE),"")</f>
        <v/>
      </c>
      <c r="C90" s="113"/>
      <c r="D90" s="113"/>
      <c r="E90" s="113"/>
      <c r="F90" s="419"/>
      <c r="G90" s="419"/>
      <c r="H90" s="420">
        <f t="shared" si="2"/>
        <v>0</v>
      </c>
      <c r="I90" s="420" t="str">
        <f t="shared" si="3"/>
        <v/>
      </c>
      <c r="J90" s="113"/>
      <c r="K90" s="114"/>
      <c r="L90" s="15"/>
      <c r="M90" s="13"/>
      <c r="N90" s="15"/>
      <c r="O90" s="15"/>
      <c r="P90" s="15"/>
      <c r="Q90" s="15"/>
      <c r="R90" s="15"/>
    </row>
    <row r="91" ht="15.75" customHeight="1">
      <c r="A91" s="122"/>
      <c r="B91" s="418" t="str">
        <f>IFERROR(VLOOKUP(A91,Gestao!A:B,2,FALSE),"")</f>
        <v/>
      </c>
      <c r="C91" s="113"/>
      <c r="D91" s="113"/>
      <c r="E91" s="113"/>
      <c r="F91" s="419"/>
      <c r="G91" s="419"/>
      <c r="H91" s="420">
        <f t="shared" si="2"/>
        <v>0</v>
      </c>
      <c r="I91" s="420" t="str">
        <f t="shared" si="3"/>
        <v/>
      </c>
      <c r="J91" s="113"/>
      <c r="K91" s="114"/>
      <c r="L91" s="15"/>
      <c r="M91" s="13"/>
      <c r="N91" s="15"/>
      <c r="O91" s="15"/>
      <c r="P91" s="15"/>
      <c r="Q91" s="15"/>
      <c r="R91" s="15"/>
    </row>
    <row r="92" ht="15.75" customHeight="1">
      <c r="A92" s="122"/>
      <c r="B92" s="418" t="str">
        <f>IFERROR(VLOOKUP(A92,Gestao!A:B,2,FALSE),"")</f>
        <v/>
      </c>
      <c r="C92" s="113"/>
      <c r="D92" s="113"/>
      <c r="E92" s="113"/>
      <c r="F92" s="419"/>
      <c r="G92" s="419"/>
      <c r="H92" s="420">
        <f t="shared" si="2"/>
        <v>0</v>
      </c>
      <c r="I92" s="420" t="str">
        <f t="shared" si="3"/>
        <v/>
      </c>
      <c r="J92" s="113"/>
      <c r="K92" s="114"/>
      <c r="L92" s="15"/>
      <c r="M92" s="13"/>
      <c r="N92" s="15"/>
      <c r="O92" s="15"/>
      <c r="P92" s="15"/>
      <c r="Q92" s="15"/>
      <c r="R92" s="15"/>
    </row>
    <row r="93" ht="15.75" customHeight="1">
      <c r="A93" s="122"/>
      <c r="B93" s="418" t="str">
        <f>IFERROR(VLOOKUP(A93,Gestao!A:B,2,FALSE),"")</f>
        <v/>
      </c>
      <c r="C93" s="113"/>
      <c r="D93" s="113"/>
      <c r="E93" s="113"/>
      <c r="F93" s="419"/>
      <c r="G93" s="419"/>
      <c r="H93" s="420">
        <f t="shared" si="2"/>
        <v>0</v>
      </c>
      <c r="I93" s="420" t="str">
        <f t="shared" si="3"/>
        <v/>
      </c>
      <c r="J93" s="113"/>
      <c r="K93" s="114"/>
      <c r="L93" s="15"/>
      <c r="M93" s="13"/>
      <c r="N93" s="15"/>
      <c r="O93" s="15"/>
      <c r="P93" s="15"/>
      <c r="Q93" s="15"/>
      <c r="R93" s="15"/>
    </row>
    <row r="94" ht="15.75" customHeight="1">
      <c r="A94" s="122"/>
      <c r="B94" s="418" t="str">
        <f>IFERROR(VLOOKUP(A94,Gestao!A:B,2,FALSE),"")</f>
        <v/>
      </c>
      <c r="C94" s="113"/>
      <c r="D94" s="113"/>
      <c r="E94" s="113"/>
      <c r="F94" s="419"/>
      <c r="G94" s="419"/>
      <c r="H94" s="420">
        <f t="shared" si="2"/>
        <v>0</v>
      </c>
      <c r="I94" s="420" t="str">
        <f t="shared" si="3"/>
        <v/>
      </c>
      <c r="J94" s="113"/>
      <c r="K94" s="114"/>
      <c r="L94" s="15"/>
      <c r="M94" s="13"/>
      <c r="N94" s="15"/>
      <c r="O94" s="15"/>
      <c r="P94" s="15"/>
      <c r="Q94" s="15"/>
      <c r="R94" s="15"/>
    </row>
    <row r="95" ht="15.75" customHeight="1">
      <c r="A95" s="122"/>
      <c r="B95" s="418" t="str">
        <f>IFERROR(VLOOKUP(A95,Gestao!A:B,2,FALSE),"")</f>
        <v/>
      </c>
      <c r="C95" s="113"/>
      <c r="D95" s="113"/>
      <c r="E95" s="113"/>
      <c r="F95" s="419"/>
      <c r="G95" s="419"/>
      <c r="H95" s="420">
        <f t="shared" si="2"/>
        <v>0</v>
      </c>
      <c r="I95" s="420" t="str">
        <f t="shared" si="3"/>
        <v/>
      </c>
      <c r="J95" s="113"/>
      <c r="K95" s="114"/>
      <c r="L95" s="15"/>
      <c r="M95" s="13"/>
      <c r="N95" s="15"/>
      <c r="O95" s="15"/>
      <c r="P95" s="15"/>
      <c r="Q95" s="15"/>
      <c r="R95" s="15"/>
    </row>
    <row r="96" ht="15.75" customHeight="1">
      <c r="A96" s="122"/>
      <c r="B96" s="418" t="str">
        <f>IFERROR(VLOOKUP(A96,Gestao!A:B,2,FALSE),"")</f>
        <v/>
      </c>
      <c r="C96" s="113"/>
      <c r="D96" s="113"/>
      <c r="E96" s="113"/>
      <c r="F96" s="419"/>
      <c r="G96" s="419"/>
      <c r="H96" s="420">
        <f t="shared" si="2"/>
        <v>0</v>
      </c>
      <c r="I96" s="420" t="str">
        <f t="shared" si="3"/>
        <v/>
      </c>
      <c r="J96" s="113"/>
      <c r="K96" s="114"/>
      <c r="L96" s="15"/>
      <c r="M96" s="13"/>
      <c r="N96" s="15"/>
      <c r="O96" s="15"/>
      <c r="P96" s="15"/>
      <c r="Q96" s="15"/>
      <c r="R96" s="15"/>
    </row>
    <row r="97" ht="15.75" customHeight="1">
      <c r="A97" s="122"/>
      <c r="B97" s="418" t="str">
        <f>IFERROR(VLOOKUP(A97,Gestao!A:B,2,FALSE),"")</f>
        <v/>
      </c>
      <c r="C97" s="113"/>
      <c r="D97" s="113"/>
      <c r="E97" s="113"/>
      <c r="F97" s="419"/>
      <c r="G97" s="419"/>
      <c r="H97" s="420">
        <f t="shared" si="2"/>
        <v>0</v>
      </c>
      <c r="I97" s="420" t="str">
        <f t="shared" si="3"/>
        <v/>
      </c>
      <c r="J97" s="113"/>
      <c r="K97" s="114"/>
      <c r="L97" s="15"/>
      <c r="M97" s="13"/>
      <c r="N97" s="15"/>
      <c r="O97" s="15"/>
      <c r="P97" s="15"/>
      <c r="Q97" s="15"/>
      <c r="R97" s="15"/>
    </row>
    <row r="98" ht="15.75" customHeight="1">
      <c r="A98" s="122"/>
      <c r="B98" s="418" t="str">
        <f>IFERROR(VLOOKUP(A98,Gestao!A:B,2,FALSE),"")</f>
        <v/>
      </c>
      <c r="C98" s="113"/>
      <c r="D98" s="113"/>
      <c r="E98" s="113"/>
      <c r="F98" s="419"/>
      <c r="G98" s="419"/>
      <c r="H98" s="420">
        <f t="shared" si="2"/>
        <v>0</v>
      </c>
      <c r="I98" s="420" t="str">
        <f t="shared" si="3"/>
        <v/>
      </c>
      <c r="J98" s="113"/>
      <c r="K98" s="114"/>
      <c r="L98" s="15"/>
      <c r="M98" s="13"/>
      <c r="N98" s="15"/>
      <c r="O98" s="15"/>
      <c r="P98" s="15"/>
      <c r="Q98" s="15"/>
      <c r="R98" s="15"/>
    </row>
    <row r="99" ht="15.75" customHeight="1">
      <c r="A99" s="122"/>
      <c r="B99" s="418" t="str">
        <f>IFERROR(VLOOKUP(A99,Gestao!A:B,2,FALSE),"")</f>
        <v/>
      </c>
      <c r="C99" s="113"/>
      <c r="D99" s="113"/>
      <c r="E99" s="113"/>
      <c r="F99" s="419"/>
      <c r="G99" s="419"/>
      <c r="H99" s="420">
        <f t="shared" si="2"/>
        <v>0</v>
      </c>
      <c r="I99" s="420" t="str">
        <f t="shared" si="3"/>
        <v/>
      </c>
      <c r="J99" s="113"/>
      <c r="K99" s="114"/>
      <c r="L99" s="15"/>
      <c r="M99" s="13"/>
      <c r="N99" s="15"/>
      <c r="O99" s="15"/>
      <c r="P99" s="15"/>
      <c r="Q99" s="15"/>
      <c r="R99" s="15"/>
    </row>
    <row r="100" ht="15.75" customHeight="1">
      <c r="A100" s="122"/>
      <c r="B100" s="418" t="str">
        <f>IFERROR(VLOOKUP(A100,Gestao!A:B,2,FALSE),"")</f>
        <v/>
      </c>
      <c r="C100" s="113"/>
      <c r="D100" s="113"/>
      <c r="E100" s="113"/>
      <c r="F100" s="419"/>
      <c r="G100" s="419"/>
      <c r="H100" s="420">
        <f t="shared" si="2"/>
        <v>0</v>
      </c>
      <c r="I100" s="420" t="str">
        <f t="shared" si="3"/>
        <v/>
      </c>
      <c r="J100" s="113"/>
      <c r="K100" s="114"/>
      <c r="L100" s="15"/>
      <c r="M100" s="13"/>
      <c r="N100" s="15"/>
      <c r="O100" s="15"/>
      <c r="P100" s="15"/>
      <c r="Q100" s="15"/>
      <c r="R100" s="15"/>
    </row>
    <row r="101" ht="15.75" customHeight="1">
      <c r="A101" s="122"/>
      <c r="B101" s="418" t="str">
        <f>IFERROR(VLOOKUP(A101,Gestao!A:B,2,FALSE),"")</f>
        <v/>
      </c>
      <c r="C101" s="113"/>
      <c r="D101" s="113"/>
      <c r="E101" s="113"/>
      <c r="F101" s="419"/>
      <c r="G101" s="419"/>
      <c r="H101" s="420">
        <f t="shared" si="2"/>
        <v>0</v>
      </c>
      <c r="I101" s="420" t="str">
        <f t="shared" si="3"/>
        <v/>
      </c>
      <c r="J101" s="113"/>
      <c r="K101" s="114"/>
      <c r="L101" s="15"/>
      <c r="M101" s="13"/>
      <c r="N101" s="15"/>
      <c r="O101" s="15"/>
      <c r="P101" s="15"/>
      <c r="Q101" s="15"/>
      <c r="R101" s="15"/>
    </row>
    <row r="102" ht="15.75" customHeight="1">
      <c r="A102" s="122"/>
      <c r="B102" s="418" t="str">
        <f>IFERROR(VLOOKUP(A102,Gestao!A:B,2,FALSE),"")</f>
        <v/>
      </c>
      <c r="C102" s="113"/>
      <c r="D102" s="113"/>
      <c r="E102" s="113"/>
      <c r="F102" s="419"/>
      <c r="G102" s="419"/>
      <c r="H102" s="420">
        <f t="shared" si="2"/>
        <v>0</v>
      </c>
      <c r="I102" s="420" t="str">
        <f t="shared" si="3"/>
        <v/>
      </c>
      <c r="J102" s="113"/>
      <c r="K102" s="114"/>
      <c r="L102" s="15"/>
      <c r="M102" s="13"/>
      <c r="N102" s="15"/>
      <c r="O102" s="15"/>
      <c r="P102" s="15"/>
      <c r="Q102" s="15"/>
      <c r="R102" s="15"/>
    </row>
    <row r="103" ht="15.75" customHeight="1">
      <c r="A103" s="122"/>
      <c r="B103" s="418" t="str">
        <f>IFERROR(VLOOKUP(A103,Gestao!A:B,2,FALSE),"")</f>
        <v/>
      </c>
      <c r="C103" s="113"/>
      <c r="D103" s="113"/>
      <c r="E103" s="113"/>
      <c r="F103" s="419"/>
      <c r="G103" s="419"/>
      <c r="H103" s="420">
        <f t="shared" si="2"/>
        <v>0</v>
      </c>
      <c r="I103" s="420" t="str">
        <f t="shared" si="3"/>
        <v/>
      </c>
      <c r="J103" s="113"/>
      <c r="K103" s="114"/>
      <c r="L103" s="15"/>
      <c r="M103" s="13"/>
      <c r="N103" s="15"/>
      <c r="O103" s="15"/>
      <c r="P103" s="15"/>
      <c r="Q103" s="15"/>
      <c r="R103" s="15"/>
    </row>
    <row r="104" ht="15.75" customHeight="1">
      <c r="A104" s="122"/>
      <c r="B104" s="418" t="str">
        <f>IFERROR(VLOOKUP(A104,Gestao!A:B,2,FALSE),"")</f>
        <v/>
      </c>
      <c r="C104" s="113"/>
      <c r="D104" s="113"/>
      <c r="E104" s="113"/>
      <c r="F104" s="419"/>
      <c r="G104" s="419"/>
      <c r="H104" s="420">
        <f t="shared" si="2"/>
        <v>0</v>
      </c>
      <c r="I104" s="420" t="str">
        <f t="shared" si="3"/>
        <v/>
      </c>
      <c r="J104" s="113"/>
      <c r="K104" s="114"/>
      <c r="L104" s="15"/>
      <c r="M104" s="13"/>
      <c r="N104" s="15"/>
      <c r="O104" s="15"/>
      <c r="P104" s="15"/>
      <c r="Q104" s="15"/>
      <c r="R104" s="15"/>
    </row>
    <row r="105" ht="15.75" customHeight="1">
      <c r="A105" s="122"/>
      <c r="B105" s="418" t="str">
        <f>IFERROR(VLOOKUP(A105,Gestao!A:B,2,FALSE),"")</f>
        <v/>
      </c>
      <c r="C105" s="113"/>
      <c r="D105" s="113"/>
      <c r="E105" s="113"/>
      <c r="F105" s="419"/>
      <c r="G105" s="419"/>
      <c r="H105" s="420">
        <f t="shared" si="2"/>
        <v>0</v>
      </c>
      <c r="I105" s="420" t="str">
        <f t="shared" si="3"/>
        <v/>
      </c>
      <c r="J105" s="113"/>
      <c r="K105" s="114"/>
      <c r="L105" s="15"/>
      <c r="M105" s="13"/>
      <c r="N105" s="15"/>
      <c r="O105" s="15"/>
      <c r="P105" s="15"/>
      <c r="Q105" s="15"/>
      <c r="R105" s="15"/>
    </row>
    <row r="106" ht="15.75" customHeight="1">
      <c r="A106" s="122"/>
      <c r="B106" s="112"/>
      <c r="C106" s="113"/>
      <c r="D106" s="113"/>
      <c r="E106" s="113"/>
      <c r="F106" s="419"/>
      <c r="G106" s="419"/>
      <c r="H106" s="420">
        <f t="shared" si="2"/>
        <v>0</v>
      </c>
      <c r="I106" s="420" t="str">
        <f t="shared" si="3"/>
        <v/>
      </c>
      <c r="J106" s="113"/>
      <c r="K106" s="114"/>
      <c r="L106" s="15"/>
      <c r="M106" s="13"/>
      <c r="N106" s="15"/>
      <c r="O106" s="15"/>
      <c r="P106" s="15"/>
      <c r="Q106" s="15"/>
      <c r="R106" s="15"/>
    </row>
    <row r="107" ht="15.75" customHeight="1">
      <c r="A107" s="122"/>
      <c r="B107" s="112"/>
      <c r="C107" s="113"/>
      <c r="D107" s="113"/>
      <c r="E107" s="113"/>
      <c r="F107" s="419"/>
      <c r="G107" s="419"/>
      <c r="H107" s="420">
        <f t="shared" si="2"/>
        <v>0</v>
      </c>
      <c r="I107" s="420" t="str">
        <f t="shared" si="3"/>
        <v/>
      </c>
      <c r="J107" s="113"/>
      <c r="K107" s="114"/>
      <c r="L107" s="15"/>
      <c r="M107" s="13"/>
      <c r="N107" s="15"/>
      <c r="O107" s="15"/>
      <c r="P107" s="15"/>
      <c r="Q107" s="15"/>
      <c r="R107" s="15"/>
    </row>
    <row r="108" ht="15.75" customHeight="1">
      <c r="A108" s="122"/>
      <c r="B108" s="112"/>
      <c r="C108" s="113"/>
      <c r="D108" s="113"/>
      <c r="E108" s="113"/>
      <c r="F108" s="419"/>
      <c r="G108" s="419"/>
      <c r="H108" s="420">
        <f t="shared" si="2"/>
        <v>0</v>
      </c>
      <c r="I108" s="420" t="str">
        <f t="shared" si="3"/>
        <v/>
      </c>
      <c r="J108" s="113"/>
      <c r="K108" s="114"/>
      <c r="L108" s="15"/>
      <c r="M108" s="13"/>
      <c r="N108" s="15"/>
      <c r="O108" s="15"/>
      <c r="P108" s="15"/>
      <c r="Q108" s="15"/>
      <c r="R108" s="15"/>
    </row>
    <row r="109" ht="15.75" customHeight="1">
      <c r="A109" s="122"/>
      <c r="B109" s="112"/>
      <c r="C109" s="113"/>
      <c r="D109" s="113"/>
      <c r="E109" s="113"/>
      <c r="F109" s="419"/>
      <c r="G109" s="419"/>
      <c r="H109" s="420">
        <f t="shared" si="2"/>
        <v>0</v>
      </c>
      <c r="I109" s="420" t="str">
        <f t="shared" si="3"/>
        <v/>
      </c>
      <c r="J109" s="113"/>
      <c r="K109" s="114"/>
      <c r="L109" s="15"/>
      <c r="M109" s="13"/>
      <c r="N109" s="15"/>
      <c r="O109" s="15"/>
      <c r="P109" s="15"/>
      <c r="Q109" s="15"/>
      <c r="R109" s="15"/>
    </row>
    <row r="110" ht="15.75" customHeight="1">
      <c r="A110" s="122"/>
      <c r="B110" s="112"/>
      <c r="C110" s="113"/>
      <c r="D110" s="113"/>
      <c r="E110" s="113"/>
      <c r="F110" s="419"/>
      <c r="G110" s="419"/>
      <c r="H110" s="420">
        <f t="shared" si="2"/>
        <v>0</v>
      </c>
      <c r="I110" s="420" t="str">
        <f t="shared" si="3"/>
        <v/>
      </c>
      <c r="J110" s="113"/>
      <c r="K110" s="114"/>
      <c r="L110" s="15"/>
      <c r="M110" s="13"/>
      <c r="N110" s="15"/>
      <c r="O110" s="15"/>
      <c r="P110" s="15"/>
      <c r="Q110" s="15"/>
      <c r="R110" s="15"/>
    </row>
    <row r="111" ht="15.75" customHeight="1">
      <c r="A111" s="122"/>
      <c r="B111" s="112"/>
      <c r="C111" s="113"/>
      <c r="D111" s="113"/>
      <c r="E111" s="113"/>
      <c r="F111" s="419"/>
      <c r="G111" s="419"/>
      <c r="H111" s="420">
        <f t="shared" si="2"/>
        <v>0</v>
      </c>
      <c r="I111" s="420" t="str">
        <f t="shared" si="3"/>
        <v/>
      </c>
      <c r="J111" s="113"/>
      <c r="K111" s="114"/>
      <c r="L111" s="15"/>
      <c r="M111" s="13"/>
      <c r="N111" s="15"/>
      <c r="O111" s="15"/>
      <c r="P111" s="15"/>
      <c r="Q111" s="15"/>
      <c r="R111" s="15"/>
    </row>
    <row r="112" ht="15.75" customHeight="1">
      <c r="A112" s="122"/>
      <c r="B112" s="112"/>
      <c r="C112" s="113"/>
      <c r="D112" s="113"/>
      <c r="E112" s="113"/>
      <c r="F112" s="419"/>
      <c r="G112" s="419"/>
      <c r="H112" s="420">
        <f t="shared" si="2"/>
        <v>0</v>
      </c>
      <c r="I112" s="420" t="str">
        <f t="shared" si="3"/>
        <v/>
      </c>
      <c r="J112" s="113"/>
      <c r="K112" s="114"/>
      <c r="L112" s="15"/>
      <c r="M112" s="13"/>
      <c r="N112" s="15"/>
      <c r="O112" s="15"/>
      <c r="P112" s="15"/>
      <c r="Q112" s="15"/>
      <c r="R112" s="15"/>
    </row>
    <row r="113" ht="15.75" customHeight="1">
      <c r="A113" s="122"/>
      <c r="B113" s="112"/>
      <c r="C113" s="113"/>
      <c r="D113" s="113"/>
      <c r="E113" s="113"/>
      <c r="F113" s="419"/>
      <c r="G113" s="419"/>
      <c r="H113" s="420">
        <f t="shared" si="2"/>
        <v>0</v>
      </c>
      <c r="I113" s="420" t="str">
        <f t="shared" si="3"/>
        <v/>
      </c>
      <c r="J113" s="113"/>
      <c r="K113" s="114"/>
      <c r="L113" s="15"/>
      <c r="M113" s="13"/>
      <c r="N113" s="15"/>
      <c r="O113" s="15"/>
      <c r="P113" s="15"/>
      <c r="Q113" s="15"/>
      <c r="R113" s="15"/>
    </row>
    <row r="114" ht="15.75" customHeight="1">
      <c r="A114" s="122"/>
      <c r="B114" s="112"/>
      <c r="C114" s="113"/>
      <c r="D114" s="113"/>
      <c r="E114" s="113"/>
      <c r="F114" s="419"/>
      <c r="G114" s="419"/>
      <c r="H114" s="420">
        <f t="shared" si="2"/>
        <v>0</v>
      </c>
      <c r="I114" s="420" t="str">
        <f t="shared" si="3"/>
        <v/>
      </c>
      <c r="J114" s="113"/>
      <c r="K114" s="114"/>
      <c r="L114" s="15"/>
      <c r="M114" s="13"/>
      <c r="N114" s="15"/>
      <c r="O114" s="15"/>
      <c r="P114" s="15"/>
      <c r="Q114" s="15"/>
      <c r="R114" s="15"/>
    </row>
    <row r="115" ht="15.75" customHeight="1">
      <c r="A115" s="122"/>
      <c r="B115" s="112"/>
      <c r="C115" s="113"/>
      <c r="D115" s="113"/>
      <c r="E115" s="113"/>
      <c r="F115" s="419"/>
      <c r="G115" s="419"/>
      <c r="H115" s="420">
        <f t="shared" si="2"/>
        <v>0</v>
      </c>
      <c r="I115" s="420" t="str">
        <f t="shared" si="3"/>
        <v/>
      </c>
      <c r="J115" s="113"/>
      <c r="K115" s="114"/>
      <c r="L115" s="15"/>
      <c r="M115" s="13"/>
      <c r="N115" s="15"/>
      <c r="O115" s="15"/>
      <c r="P115" s="15"/>
      <c r="Q115" s="15"/>
      <c r="R115" s="15"/>
    </row>
    <row r="116" ht="15.75" customHeight="1">
      <c r="A116" s="122"/>
      <c r="B116" s="112"/>
      <c r="C116" s="113"/>
      <c r="D116" s="113"/>
      <c r="E116" s="113"/>
      <c r="F116" s="419"/>
      <c r="G116" s="419"/>
      <c r="H116" s="420">
        <f t="shared" si="2"/>
        <v>0</v>
      </c>
      <c r="I116" s="420" t="str">
        <f t="shared" si="3"/>
        <v/>
      </c>
      <c r="J116" s="113"/>
      <c r="K116" s="114"/>
      <c r="L116" s="15"/>
      <c r="M116" s="13"/>
      <c r="N116" s="15"/>
      <c r="O116" s="15"/>
      <c r="P116" s="15"/>
      <c r="Q116" s="15"/>
      <c r="R116" s="15"/>
    </row>
    <row r="117" ht="15.75" customHeight="1">
      <c r="A117" s="122"/>
      <c r="B117" s="112"/>
      <c r="C117" s="113"/>
      <c r="D117" s="113"/>
      <c r="E117" s="113"/>
      <c r="F117" s="419"/>
      <c r="G117" s="419"/>
      <c r="H117" s="420">
        <f t="shared" si="2"/>
        <v>0</v>
      </c>
      <c r="I117" s="420" t="str">
        <f t="shared" si="3"/>
        <v/>
      </c>
      <c r="J117" s="113"/>
      <c r="K117" s="114"/>
      <c r="L117" s="15"/>
      <c r="M117" s="13"/>
      <c r="N117" s="15"/>
      <c r="O117" s="15"/>
      <c r="P117" s="15"/>
      <c r="Q117" s="15"/>
      <c r="R117" s="15"/>
    </row>
    <row r="118" ht="15.75" customHeight="1">
      <c r="A118" s="122"/>
      <c r="B118" s="112"/>
      <c r="C118" s="113"/>
      <c r="D118" s="113"/>
      <c r="E118" s="113"/>
      <c r="F118" s="419"/>
      <c r="G118" s="419"/>
      <c r="H118" s="420">
        <f t="shared" si="2"/>
        <v>0</v>
      </c>
      <c r="I118" s="420" t="str">
        <f t="shared" si="3"/>
        <v/>
      </c>
      <c r="J118" s="113"/>
      <c r="K118" s="114"/>
      <c r="L118" s="15"/>
      <c r="M118" s="13"/>
      <c r="N118" s="15"/>
      <c r="O118" s="15"/>
      <c r="P118" s="15"/>
      <c r="Q118" s="15"/>
      <c r="R118" s="15"/>
    </row>
    <row r="119" ht="15.75" customHeight="1">
      <c r="A119" s="122"/>
      <c r="B119" s="112"/>
      <c r="C119" s="113"/>
      <c r="D119" s="113"/>
      <c r="E119" s="113"/>
      <c r="F119" s="419"/>
      <c r="G119" s="419"/>
      <c r="H119" s="420">
        <f t="shared" si="2"/>
        <v>0</v>
      </c>
      <c r="I119" s="420" t="str">
        <f t="shared" si="3"/>
        <v/>
      </c>
      <c r="J119" s="113"/>
      <c r="K119" s="114"/>
      <c r="L119" s="15"/>
      <c r="M119" s="13"/>
      <c r="N119" s="15"/>
      <c r="O119" s="15"/>
      <c r="P119" s="15"/>
      <c r="Q119" s="15"/>
      <c r="R119" s="15"/>
    </row>
    <row r="120" ht="15.75" customHeight="1">
      <c r="A120" s="122"/>
      <c r="B120" s="112"/>
      <c r="C120" s="113"/>
      <c r="D120" s="113"/>
      <c r="E120" s="113"/>
      <c r="F120" s="419"/>
      <c r="G120" s="419"/>
      <c r="H120" s="420">
        <f t="shared" si="2"/>
        <v>0</v>
      </c>
      <c r="I120" s="420" t="str">
        <f t="shared" si="3"/>
        <v/>
      </c>
      <c r="J120" s="113"/>
      <c r="K120" s="114"/>
      <c r="L120" s="15"/>
      <c r="M120" s="13"/>
      <c r="N120" s="15"/>
      <c r="O120" s="15"/>
      <c r="P120" s="15"/>
      <c r="Q120" s="15"/>
      <c r="R120" s="15"/>
    </row>
    <row r="121" ht="15.75" customHeight="1">
      <c r="A121" s="122"/>
      <c r="B121" s="112"/>
      <c r="C121" s="113"/>
      <c r="D121" s="113"/>
      <c r="E121" s="113"/>
      <c r="F121" s="419"/>
      <c r="G121" s="419"/>
      <c r="H121" s="420">
        <f t="shared" si="2"/>
        <v>0</v>
      </c>
      <c r="I121" s="420" t="str">
        <f t="shared" si="3"/>
        <v/>
      </c>
      <c r="J121" s="113"/>
      <c r="K121" s="114"/>
      <c r="L121" s="15"/>
      <c r="M121" s="13"/>
      <c r="N121" s="15"/>
      <c r="O121" s="15"/>
      <c r="P121" s="15"/>
      <c r="Q121" s="15"/>
      <c r="R121" s="15"/>
    </row>
    <row r="122" ht="15.75" customHeight="1">
      <c r="A122" s="122"/>
      <c r="B122" s="112"/>
      <c r="C122" s="113"/>
      <c r="D122" s="113"/>
      <c r="E122" s="113"/>
      <c r="F122" s="419"/>
      <c r="G122" s="419"/>
      <c r="H122" s="420">
        <f t="shared" si="2"/>
        <v>0</v>
      </c>
      <c r="I122" s="420" t="str">
        <f t="shared" si="3"/>
        <v/>
      </c>
      <c r="J122" s="113"/>
      <c r="K122" s="114"/>
      <c r="L122" s="15"/>
      <c r="M122" s="13"/>
      <c r="N122" s="15"/>
      <c r="O122" s="15"/>
      <c r="P122" s="15"/>
      <c r="Q122" s="15"/>
      <c r="R122" s="15"/>
    </row>
    <row r="123" ht="15.75" customHeight="1">
      <c r="A123" s="122"/>
      <c r="B123" s="112"/>
      <c r="C123" s="113"/>
      <c r="D123" s="113"/>
      <c r="E123" s="113"/>
      <c r="F123" s="419"/>
      <c r="G123" s="419"/>
      <c r="H123" s="420">
        <f t="shared" si="2"/>
        <v>0</v>
      </c>
      <c r="I123" s="420" t="str">
        <f t="shared" si="3"/>
        <v/>
      </c>
      <c r="J123" s="113"/>
      <c r="K123" s="114"/>
      <c r="L123" s="15"/>
      <c r="M123" s="13"/>
      <c r="N123" s="15"/>
      <c r="O123" s="15"/>
      <c r="P123" s="15"/>
      <c r="Q123" s="15"/>
      <c r="R123" s="15"/>
    </row>
    <row r="124" ht="15.75" customHeight="1">
      <c r="A124" s="122"/>
      <c r="B124" s="112"/>
      <c r="C124" s="113"/>
      <c r="D124" s="113"/>
      <c r="E124" s="113"/>
      <c r="F124" s="419"/>
      <c r="G124" s="419"/>
      <c r="H124" s="420">
        <f t="shared" si="2"/>
        <v>0</v>
      </c>
      <c r="I124" s="420" t="str">
        <f t="shared" si="3"/>
        <v/>
      </c>
      <c r="J124" s="113"/>
      <c r="K124" s="114"/>
      <c r="L124" s="15"/>
      <c r="M124" s="13"/>
      <c r="N124" s="15"/>
      <c r="O124" s="15"/>
      <c r="P124" s="15"/>
      <c r="Q124" s="15"/>
      <c r="R124" s="15"/>
    </row>
    <row r="125" ht="15.75" customHeight="1">
      <c r="A125" s="122"/>
      <c r="B125" s="112"/>
      <c r="C125" s="113"/>
      <c r="D125" s="113"/>
      <c r="E125" s="113"/>
      <c r="F125" s="419"/>
      <c r="G125" s="419"/>
      <c r="H125" s="420">
        <f t="shared" si="2"/>
        <v>0</v>
      </c>
      <c r="I125" s="420" t="str">
        <f t="shared" si="3"/>
        <v/>
      </c>
      <c r="J125" s="113"/>
      <c r="K125" s="114"/>
      <c r="L125" s="15"/>
      <c r="M125" s="13"/>
      <c r="N125" s="15"/>
      <c r="O125" s="15"/>
      <c r="P125" s="15"/>
      <c r="Q125" s="15"/>
      <c r="R125" s="15"/>
    </row>
    <row r="126" ht="15.75" customHeight="1">
      <c r="A126" s="122"/>
      <c r="B126" s="112"/>
      <c r="C126" s="113"/>
      <c r="D126" s="113"/>
      <c r="E126" s="113"/>
      <c r="F126" s="419"/>
      <c r="G126" s="419"/>
      <c r="H126" s="420">
        <f t="shared" si="2"/>
        <v>0</v>
      </c>
      <c r="I126" s="420" t="str">
        <f t="shared" si="3"/>
        <v/>
      </c>
      <c r="J126" s="113"/>
      <c r="K126" s="114"/>
      <c r="L126" s="15"/>
      <c r="M126" s="13"/>
      <c r="N126" s="15"/>
      <c r="O126" s="15"/>
      <c r="P126" s="15"/>
      <c r="Q126" s="15"/>
      <c r="R126" s="15"/>
    </row>
    <row r="127" ht="15.75" customHeight="1">
      <c r="A127" s="122"/>
      <c r="B127" s="112"/>
      <c r="C127" s="113"/>
      <c r="D127" s="113"/>
      <c r="E127" s="113"/>
      <c r="F127" s="419"/>
      <c r="G127" s="419"/>
      <c r="H127" s="420">
        <f t="shared" si="2"/>
        <v>0</v>
      </c>
      <c r="I127" s="420" t="str">
        <f t="shared" si="3"/>
        <v/>
      </c>
      <c r="J127" s="113"/>
      <c r="K127" s="114"/>
      <c r="L127" s="15"/>
      <c r="M127" s="13"/>
      <c r="N127" s="15"/>
      <c r="O127" s="15"/>
      <c r="P127" s="15"/>
      <c r="Q127" s="15"/>
      <c r="R127" s="15"/>
    </row>
    <row r="128" ht="15.75" customHeight="1">
      <c r="A128" s="122"/>
      <c r="B128" s="112"/>
      <c r="C128" s="113"/>
      <c r="D128" s="113"/>
      <c r="E128" s="113"/>
      <c r="F128" s="419"/>
      <c r="G128" s="419"/>
      <c r="H128" s="420">
        <f t="shared" si="2"/>
        <v>0</v>
      </c>
      <c r="I128" s="420" t="str">
        <f t="shared" si="3"/>
        <v/>
      </c>
      <c r="J128" s="113"/>
      <c r="K128" s="114"/>
      <c r="L128" s="15"/>
      <c r="M128" s="13"/>
      <c r="N128" s="15"/>
      <c r="O128" s="15"/>
      <c r="P128" s="15"/>
      <c r="Q128" s="15"/>
      <c r="R128" s="15"/>
    </row>
    <row r="129" ht="15.75" customHeight="1">
      <c r="A129" s="122"/>
      <c r="B129" s="112"/>
      <c r="C129" s="113"/>
      <c r="D129" s="113"/>
      <c r="E129" s="113"/>
      <c r="F129" s="419"/>
      <c r="G129" s="419"/>
      <c r="H129" s="420">
        <f t="shared" si="2"/>
        <v>0</v>
      </c>
      <c r="I129" s="420" t="str">
        <f t="shared" si="3"/>
        <v/>
      </c>
      <c r="J129" s="113"/>
      <c r="K129" s="114"/>
      <c r="L129" s="15"/>
      <c r="M129" s="13"/>
      <c r="N129" s="15"/>
      <c r="O129" s="15"/>
      <c r="P129" s="15"/>
      <c r="Q129" s="15"/>
      <c r="R129" s="15"/>
    </row>
    <row r="130" ht="15.75" customHeight="1">
      <c r="A130" s="122"/>
      <c r="B130" s="112"/>
      <c r="C130" s="113"/>
      <c r="D130" s="113"/>
      <c r="E130" s="113"/>
      <c r="F130" s="419"/>
      <c r="G130" s="419"/>
      <c r="H130" s="420">
        <f t="shared" si="2"/>
        <v>0</v>
      </c>
      <c r="I130" s="420" t="str">
        <f t="shared" si="3"/>
        <v/>
      </c>
      <c r="J130" s="113"/>
      <c r="K130" s="114"/>
      <c r="L130" s="15"/>
      <c r="M130" s="13"/>
      <c r="N130" s="15"/>
      <c r="O130" s="15"/>
      <c r="P130" s="15"/>
      <c r="Q130" s="15"/>
      <c r="R130" s="15"/>
    </row>
    <row r="131" ht="15.75" customHeight="1">
      <c r="A131" s="122"/>
      <c r="B131" s="112"/>
      <c r="C131" s="113"/>
      <c r="D131" s="113"/>
      <c r="E131" s="113"/>
      <c r="F131" s="419"/>
      <c r="G131" s="419"/>
      <c r="H131" s="420">
        <f t="shared" si="2"/>
        <v>0</v>
      </c>
      <c r="I131" s="420" t="str">
        <f t="shared" si="3"/>
        <v/>
      </c>
      <c r="J131" s="113"/>
      <c r="K131" s="114"/>
      <c r="L131" s="15"/>
      <c r="M131" s="13"/>
      <c r="N131" s="15"/>
      <c r="O131" s="15"/>
      <c r="P131" s="15"/>
      <c r="Q131" s="15"/>
      <c r="R131" s="15"/>
    </row>
    <row r="132" ht="15.75" customHeight="1">
      <c r="A132" s="122"/>
      <c r="B132" s="112"/>
      <c r="C132" s="113"/>
      <c r="D132" s="113"/>
      <c r="E132" s="113"/>
      <c r="F132" s="419"/>
      <c r="G132" s="419"/>
      <c r="H132" s="420">
        <f t="shared" si="2"/>
        <v>0</v>
      </c>
      <c r="I132" s="420" t="str">
        <f t="shared" si="3"/>
        <v/>
      </c>
      <c r="J132" s="113"/>
      <c r="K132" s="114"/>
      <c r="L132" s="15"/>
      <c r="M132" s="13"/>
      <c r="N132" s="15"/>
      <c r="O132" s="15"/>
      <c r="P132" s="15"/>
      <c r="Q132" s="15"/>
      <c r="R132" s="15"/>
    </row>
    <row r="133" ht="15.75" customHeight="1">
      <c r="A133" s="122"/>
      <c r="B133" s="112"/>
      <c r="C133" s="113"/>
      <c r="D133" s="113"/>
      <c r="E133" s="113"/>
      <c r="F133" s="419"/>
      <c r="G133" s="419"/>
      <c r="H133" s="420">
        <f t="shared" si="2"/>
        <v>0</v>
      </c>
      <c r="I133" s="420" t="str">
        <f t="shared" si="3"/>
        <v/>
      </c>
      <c r="J133" s="113"/>
      <c r="K133" s="114"/>
      <c r="L133" s="15"/>
      <c r="M133" s="13"/>
      <c r="N133" s="15"/>
      <c r="O133" s="15"/>
      <c r="P133" s="15"/>
      <c r="Q133" s="15"/>
      <c r="R133" s="15"/>
    </row>
    <row r="134" ht="15.75" customHeight="1">
      <c r="A134" s="122"/>
      <c r="B134" s="112"/>
      <c r="C134" s="113"/>
      <c r="D134" s="113"/>
      <c r="E134" s="113"/>
      <c r="F134" s="419"/>
      <c r="G134" s="419"/>
      <c r="H134" s="420">
        <f t="shared" si="2"/>
        <v>0</v>
      </c>
      <c r="I134" s="420" t="str">
        <f t="shared" si="3"/>
        <v/>
      </c>
      <c r="J134" s="113"/>
      <c r="K134" s="114"/>
      <c r="L134" s="15"/>
      <c r="M134" s="13"/>
      <c r="N134" s="15"/>
      <c r="O134" s="15"/>
      <c r="P134" s="15"/>
      <c r="Q134" s="15"/>
      <c r="R134" s="15"/>
    </row>
    <row r="135" ht="15.75" customHeight="1">
      <c r="A135" s="122"/>
      <c r="B135" s="112"/>
      <c r="C135" s="113"/>
      <c r="D135" s="113"/>
      <c r="E135" s="113"/>
      <c r="F135" s="419"/>
      <c r="G135" s="419"/>
      <c r="H135" s="420">
        <f t="shared" si="2"/>
        <v>0</v>
      </c>
      <c r="I135" s="420" t="str">
        <f t="shared" si="3"/>
        <v/>
      </c>
      <c r="J135" s="113"/>
      <c r="K135" s="114"/>
      <c r="L135" s="15"/>
      <c r="M135" s="13"/>
      <c r="N135" s="15"/>
      <c r="O135" s="15"/>
      <c r="P135" s="15"/>
      <c r="Q135" s="15"/>
      <c r="R135" s="15"/>
    </row>
    <row r="136" ht="15.75" customHeight="1">
      <c r="A136" s="122"/>
      <c r="B136" s="112"/>
      <c r="C136" s="113"/>
      <c r="D136" s="113"/>
      <c r="E136" s="113"/>
      <c r="F136" s="419"/>
      <c r="G136" s="419"/>
      <c r="H136" s="420">
        <f t="shared" si="2"/>
        <v>0</v>
      </c>
      <c r="I136" s="420" t="str">
        <f t="shared" si="3"/>
        <v/>
      </c>
      <c r="J136" s="113"/>
      <c r="K136" s="114"/>
      <c r="L136" s="15"/>
      <c r="M136" s="13"/>
      <c r="N136" s="15"/>
      <c r="O136" s="15"/>
      <c r="P136" s="15"/>
      <c r="Q136" s="15"/>
      <c r="R136" s="15"/>
    </row>
    <row r="137" ht="15.75" customHeight="1">
      <c r="A137" s="122"/>
      <c r="B137" s="112"/>
      <c r="C137" s="113"/>
      <c r="D137" s="113"/>
      <c r="E137" s="113"/>
      <c r="F137" s="419"/>
      <c r="G137" s="419"/>
      <c r="H137" s="420">
        <f t="shared" si="2"/>
        <v>0</v>
      </c>
      <c r="I137" s="420" t="str">
        <f t="shared" si="3"/>
        <v/>
      </c>
      <c r="J137" s="113"/>
      <c r="K137" s="114"/>
      <c r="L137" s="15"/>
      <c r="M137" s="13"/>
      <c r="N137" s="15"/>
      <c r="O137" s="15"/>
      <c r="P137" s="15"/>
      <c r="Q137" s="15"/>
      <c r="R137" s="15"/>
    </row>
    <row r="138" ht="15.75" customHeight="1">
      <c r="A138" s="122"/>
      <c r="B138" s="112"/>
      <c r="C138" s="113"/>
      <c r="D138" s="113"/>
      <c r="E138" s="113"/>
      <c r="F138" s="419"/>
      <c r="G138" s="419"/>
      <c r="H138" s="420">
        <f t="shared" si="2"/>
        <v>0</v>
      </c>
      <c r="I138" s="420" t="str">
        <f t="shared" si="3"/>
        <v/>
      </c>
      <c r="J138" s="113"/>
      <c r="K138" s="114"/>
      <c r="L138" s="15"/>
      <c r="M138" s="13"/>
      <c r="N138" s="15"/>
      <c r="O138" s="15"/>
      <c r="P138" s="15"/>
      <c r="Q138" s="15"/>
      <c r="R138" s="15"/>
    </row>
    <row r="139" ht="15.75" customHeight="1">
      <c r="A139" s="122"/>
      <c r="B139" s="112"/>
      <c r="C139" s="113"/>
      <c r="D139" s="113"/>
      <c r="E139" s="113"/>
      <c r="F139" s="419"/>
      <c r="G139" s="419"/>
      <c r="H139" s="420">
        <f t="shared" si="2"/>
        <v>0</v>
      </c>
      <c r="I139" s="420" t="str">
        <f t="shared" si="3"/>
        <v/>
      </c>
      <c r="J139" s="113"/>
      <c r="K139" s="114"/>
      <c r="L139" s="15"/>
      <c r="M139" s="13"/>
      <c r="N139" s="15"/>
      <c r="O139" s="15"/>
      <c r="P139" s="15"/>
      <c r="Q139" s="15"/>
      <c r="R139" s="15"/>
    </row>
    <row r="140" ht="15.75" customHeight="1">
      <c r="A140" s="122"/>
      <c r="B140" s="112"/>
      <c r="C140" s="113"/>
      <c r="D140" s="113"/>
      <c r="E140" s="113"/>
      <c r="F140" s="419"/>
      <c r="G140" s="419"/>
      <c r="H140" s="420">
        <f t="shared" si="2"/>
        <v>0</v>
      </c>
      <c r="I140" s="420" t="str">
        <f t="shared" si="3"/>
        <v/>
      </c>
      <c r="J140" s="113"/>
      <c r="K140" s="114"/>
      <c r="L140" s="15"/>
      <c r="M140" s="13"/>
      <c r="N140" s="15"/>
      <c r="O140" s="15"/>
      <c r="P140" s="15"/>
      <c r="Q140" s="15"/>
      <c r="R140" s="15"/>
    </row>
    <row r="141" ht="15.75" customHeight="1">
      <c r="A141" s="122"/>
      <c r="B141" s="112"/>
      <c r="C141" s="113"/>
      <c r="D141" s="113"/>
      <c r="E141" s="113"/>
      <c r="F141" s="419"/>
      <c r="G141" s="419"/>
      <c r="H141" s="420">
        <f t="shared" si="2"/>
        <v>0</v>
      </c>
      <c r="I141" s="420" t="str">
        <f t="shared" si="3"/>
        <v/>
      </c>
      <c r="J141" s="113"/>
      <c r="K141" s="114"/>
      <c r="L141" s="15"/>
      <c r="M141" s="13"/>
      <c r="N141" s="15"/>
      <c r="O141" s="15"/>
      <c r="P141" s="15"/>
      <c r="Q141" s="15"/>
      <c r="R141" s="15"/>
    </row>
    <row r="142" ht="15.75" customHeight="1">
      <c r="A142" s="122"/>
      <c r="B142" s="112"/>
      <c r="C142" s="113"/>
      <c r="D142" s="113"/>
      <c r="E142" s="113"/>
      <c r="F142" s="419"/>
      <c r="G142" s="419"/>
      <c r="H142" s="420">
        <f t="shared" si="2"/>
        <v>0</v>
      </c>
      <c r="I142" s="420" t="str">
        <f t="shared" si="3"/>
        <v/>
      </c>
      <c r="J142" s="113"/>
      <c r="K142" s="114"/>
      <c r="L142" s="15"/>
      <c r="M142" s="13"/>
      <c r="N142" s="15"/>
      <c r="O142" s="15"/>
      <c r="P142" s="15"/>
      <c r="Q142" s="15"/>
      <c r="R142" s="15"/>
    </row>
    <row r="143" ht="15.75" customHeight="1">
      <c r="A143" s="122"/>
      <c r="B143" s="112"/>
      <c r="C143" s="113"/>
      <c r="D143" s="113"/>
      <c r="E143" s="113"/>
      <c r="F143" s="419"/>
      <c r="G143" s="419"/>
      <c r="H143" s="420">
        <f t="shared" si="2"/>
        <v>0</v>
      </c>
      <c r="I143" s="420" t="str">
        <f t="shared" si="3"/>
        <v/>
      </c>
      <c r="J143" s="113"/>
      <c r="K143" s="114"/>
      <c r="L143" s="15"/>
      <c r="M143" s="13"/>
      <c r="N143" s="15"/>
      <c r="O143" s="15"/>
      <c r="P143" s="15"/>
      <c r="Q143" s="15"/>
      <c r="R143" s="15"/>
    </row>
    <row r="144" ht="15.75" customHeight="1">
      <c r="A144" s="122"/>
      <c r="B144" s="112"/>
      <c r="C144" s="113"/>
      <c r="D144" s="113"/>
      <c r="E144" s="113"/>
      <c r="F144" s="419"/>
      <c r="G144" s="419"/>
      <c r="H144" s="420">
        <f t="shared" si="2"/>
        <v>0</v>
      </c>
      <c r="I144" s="420" t="str">
        <f t="shared" si="3"/>
        <v/>
      </c>
      <c r="J144" s="113"/>
      <c r="K144" s="114"/>
      <c r="L144" s="15"/>
      <c r="M144" s="13"/>
      <c r="N144" s="15"/>
      <c r="O144" s="15"/>
      <c r="P144" s="15"/>
      <c r="Q144" s="15"/>
      <c r="R144" s="15"/>
    </row>
    <row r="145" ht="15.75" customHeight="1">
      <c r="A145" s="122"/>
      <c r="B145" s="112"/>
      <c r="C145" s="113"/>
      <c r="D145" s="113"/>
      <c r="E145" s="113"/>
      <c r="F145" s="419"/>
      <c r="G145" s="419"/>
      <c r="H145" s="420">
        <f t="shared" si="2"/>
        <v>0</v>
      </c>
      <c r="I145" s="420" t="str">
        <f t="shared" si="3"/>
        <v/>
      </c>
      <c r="J145" s="113"/>
      <c r="K145" s="114"/>
      <c r="L145" s="15"/>
      <c r="M145" s="13"/>
      <c r="N145" s="15"/>
      <c r="O145" s="15"/>
      <c r="P145" s="15"/>
      <c r="Q145" s="15"/>
      <c r="R145" s="15"/>
    </row>
    <row r="146" ht="15.75" customHeight="1">
      <c r="A146" s="122"/>
      <c r="B146" s="112"/>
      <c r="C146" s="113"/>
      <c r="D146" s="113"/>
      <c r="E146" s="113"/>
      <c r="F146" s="419"/>
      <c r="G146" s="419"/>
      <c r="H146" s="420">
        <f t="shared" si="2"/>
        <v>0</v>
      </c>
      <c r="I146" s="420" t="str">
        <f t="shared" si="3"/>
        <v/>
      </c>
      <c r="J146" s="113"/>
      <c r="K146" s="114"/>
      <c r="L146" s="15"/>
      <c r="M146" s="13"/>
      <c r="N146" s="15"/>
      <c r="O146" s="15"/>
      <c r="P146" s="15"/>
      <c r="Q146" s="15"/>
      <c r="R146" s="15"/>
    </row>
    <row r="147" ht="15.75" customHeight="1">
      <c r="A147" s="122"/>
      <c r="B147" s="112"/>
      <c r="C147" s="113"/>
      <c r="D147" s="113"/>
      <c r="E147" s="113"/>
      <c r="F147" s="419"/>
      <c r="G147" s="419"/>
      <c r="H147" s="420">
        <f t="shared" si="2"/>
        <v>0</v>
      </c>
      <c r="I147" s="420" t="str">
        <f t="shared" si="3"/>
        <v/>
      </c>
      <c r="J147" s="113"/>
      <c r="K147" s="114"/>
      <c r="L147" s="15"/>
      <c r="M147" s="13"/>
      <c r="N147" s="15"/>
      <c r="O147" s="15"/>
      <c r="P147" s="15"/>
      <c r="Q147" s="15"/>
      <c r="R147" s="15"/>
    </row>
    <row r="148" ht="15.75" customHeight="1">
      <c r="A148" s="122"/>
      <c r="B148" s="112"/>
      <c r="C148" s="113"/>
      <c r="D148" s="113"/>
      <c r="E148" s="113"/>
      <c r="F148" s="419"/>
      <c r="G148" s="419"/>
      <c r="H148" s="420">
        <f t="shared" si="2"/>
        <v>0</v>
      </c>
      <c r="I148" s="420" t="str">
        <f t="shared" si="3"/>
        <v/>
      </c>
      <c r="J148" s="113"/>
      <c r="K148" s="114"/>
      <c r="L148" s="15"/>
      <c r="M148" s="13"/>
      <c r="N148" s="15"/>
      <c r="O148" s="15"/>
      <c r="P148" s="15"/>
      <c r="Q148" s="15"/>
      <c r="R148" s="15"/>
    </row>
    <row r="149" ht="15.75" customHeight="1">
      <c r="A149" s="122"/>
      <c r="B149" s="112"/>
      <c r="C149" s="113"/>
      <c r="D149" s="113"/>
      <c r="E149" s="113"/>
      <c r="F149" s="419"/>
      <c r="G149" s="419"/>
      <c r="H149" s="420">
        <f t="shared" si="2"/>
        <v>0</v>
      </c>
      <c r="I149" s="420" t="str">
        <f t="shared" si="3"/>
        <v/>
      </c>
      <c r="J149" s="113"/>
      <c r="K149" s="114"/>
      <c r="L149" s="15"/>
      <c r="M149" s="13"/>
      <c r="N149" s="15"/>
      <c r="O149" s="15"/>
      <c r="P149" s="15"/>
      <c r="Q149" s="15"/>
      <c r="R149" s="15"/>
    </row>
    <row r="150" ht="15.75" customHeight="1">
      <c r="A150" s="122"/>
      <c r="B150" s="112"/>
      <c r="C150" s="113"/>
      <c r="D150" s="113"/>
      <c r="E150" s="113"/>
      <c r="F150" s="419"/>
      <c r="G150" s="419"/>
      <c r="H150" s="420">
        <f t="shared" si="2"/>
        <v>0</v>
      </c>
      <c r="I150" s="420" t="str">
        <f t="shared" si="3"/>
        <v/>
      </c>
      <c r="J150" s="113"/>
      <c r="K150" s="114"/>
      <c r="L150" s="15"/>
      <c r="M150" s="13"/>
      <c r="N150" s="15"/>
      <c r="O150" s="15"/>
      <c r="P150" s="15"/>
      <c r="Q150" s="15"/>
      <c r="R150" s="15"/>
    </row>
    <row r="151" ht="15.75" customHeight="1">
      <c r="A151" s="122"/>
      <c r="B151" s="112"/>
      <c r="C151" s="113"/>
      <c r="D151" s="113"/>
      <c r="E151" s="113"/>
      <c r="F151" s="419"/>
      <c r="G151" s="419"/>
      <c r="H151" s="420">
        <f t="shared" si="2"/>
        <v>0</v>
      </c>
      <c r="I151" s="420" t="str">
        <f t="shared" si="3"/>
        <v/>
      </c>
      <c r="J151" s="113"/>
      <c r="K151" s="114"/>
      <c r="L151" s="15"/>
      <c r="M151" s="13"/>
      <c r="N151" s="15"/>
      <c r="O151" s="15"/>
      <c r="P151" s="15"/>
      <c r="Q151" s="15"/>
      <c r="R151" s="15"/>
    </row>
    <row r="152" ht="15.75" customHeight="1">
      <c r="A152" s="122"/>
      <c r="B152" s="112"/>
      <c r="C152" s="113"/>
      <c r="D152" s="113"/>
      <c r="E152" s="113"/>
      <c r="F152" s="419"/>
      <c r="G152" s="419"/>
      <c r="H152" s="420">
        <f t="shared" si="2"/>
        <v>0</v>
      </c>
      <c r="I152" s="420" t="str">
        <f t="shared" si="3"/>
        <v/>
      </c>
      <c r="J152" s="113"/>
      <c r="K152" s="114"/>
      <c r="L152" s="15"/>
      <c r="M152" s="13"/>
      <c r="N152" s="15"/>
      <c r="O152" s="15"/>
      <c r="P152" s="15"/>
      <c r="Q152" s="15"/>
      <c r="R152" s="15"/>
    </row>
    <row r="153" ht="15.75" customHeight="1">
      <c r="A153" s="122"/>
      <c r="B153" s="112"/>
      <c r="C153" s="113"/>
      <c r="D153" s="113"/>
      <c r="E153" s="113"/>
      <c r="F153" s="419"/>
      <c r="G153" s="419"/>
      <c r="H153" s="420">
        <f t="shared" si="2"/>
        <v>0</v>
      </c>
      <c r="I153" s="420" t="str">
        <f t="shared" si="3"/>
        <v/>
      </c>
      <c r="J153" s="113"/>
      <c r="K153" s="114"/>
      <c r="L153" s="15"/>
      <c r="M153" s="13"/>
      <c r="N153" s="15"/>
      <c r="O153" s="15"/>
      <c r="P153" s="15"/>
      <c r="Q153" s="15"/>
      <c r="R153" s="15"/>
    </row>
    <row r="154" ht="15.75" customHeight="1">
      <c r="A154" s="122"/>
      <c r="B154" s="112"/>
      <c r="C154" s="113"/>
      <c r="D154" s="113"/>
      <c r="E154" s="113"/>
      <c r="F154" s="419"/>
      <c r="G154" s="419"/>
      <c r="H154" s="420">
        <f t="shared" si="2"/>
        <v>0</v>
      </c>
      <c r="I154" s="420" t="str">
        <f t="shared" si="3"/>
        <v/>
      </c>
      <c r="J154" s="113"/>
      <c r="K154" s="114"/>
      <c r="L154" s="15"/>
      <c r="M154" s="13"/>
      <c r="N154" s="15"/>
      <c r="O154" s="15"/>
      <c r="P154" s="15"/>
      <c r="Q154" s="15"/>
      <c r="R154" s="15"/>
    </row>
    <row r="155" ht="15.75" customHeight="1">
      <c r="A155" s="122"/>
      <c r="B155" s="112"/>
      <c r="C155" s="113"/>
      <c r="D155" s="113"/>
      <c r="E155" s="113"/>
      <c r="F155" s="419"/>
      <c r="G155" s="419"/>
      <c r="H155" s="420">
        <f t="shared" si="2"/>
        <v>0</v>
      </c>
      <c r="I155" s="420" t="str">
        <f t="shared" si="3"/>
        <v/>
      </c>
      <c r="J155" s="113"/>
      <c r="K155" s="114"/>
      <c r="L155" s="15"/>
      <c r="M155" s="13"/>
      <c r="N155" s="15"/>
      <c r="O155" s="15"/>
      <c r="P155" s="15"/>
      <c r="Q155" s="15"/>
      <c r="R155" s="15"/>
    </row>
    <row r="156" ht="15.75" customHeight="1">
      <c r="A156" s="122"/>
      <c r="B156" s="112"/>
      <c r="C156" s="113"/>
      <c r="D156" s="113"/>
      <c r="E156" s="113"/>
      <c r="F156" s="419"/>
      <c r="G156" s="419"/>
      <c r="H156" s="420">
        <f t="shared" si="2"/>
        <v>0</v>
      </c>
      <c r="I156" s="420" t="str">
        <f t="shared" si="3"/>
        <v/>
      </c>
      <c r="J156" s="113"/>
      <c r="K156" s="114"/>
      <c r="L156" s="15"/>
      <c r="M156" s="13"/>
      <c r="N156" s="15"/>
      <c r="O156" s="15"/>
      <c r="P156" s="15"/>
      <c r="Q156" s="15"/>
      <c r="R156" s="15"/>
    </row>
    <row r="157" ht="15.75" customHeight="1">
      <c r="A157" s="122"/>
      <c r="B157" s="112"/>
      <c r="C157" s="113"/>
      <c r="D157" s="113"/>
      <c r="E157" s="113"/>
      <c r="F157" s="419"/>
      <c r="G157" s="419"/>
      <c r="H157" s="420">
        <f t="shared" si="2"/>
        <v>0</v>
      </c>
      <c r="I157" s="420" t="str">
        <f t="shared" si="3"/>
        <v/>
      </c>
      <c r="J157" s="113"/>
      <c r="K157" s="114"/>
      <c r="L157" s="15"/>
      <c r="M157" s="13"/>
      <c r="N157" s="15"/>
      <c r="O157" s="15"/>
      <c r="P157" s="15"/>
      <c r="Q157" s="15"/>
      <c r="R157" s="15"/>
    </row>
    <row r="158" ht="15.75" customHeight="1">
      <c r="A158" s="122"/>
      <c r="B158" s="112"/>
      <c r="C158" s="113"/>
      <c r="D158" s="113"/>
      <c r="E158" s="113"/>
      <c r="F158" s="419"/>
      <c r="G158" s="419"/>
      <c r="H158" s="420">
        <f t="shared" si="2"/>
        <v>0</v>
      </c>
      <c r="I158" s="420" t="str">
        <f t="shared" si="3"/>
        <v/>
      </c>
      <c r="J158" s="113"/>
      <c r="K158" s="114"/>
      <c r="L158" s="15"/>
      <c r="M158" s="13"/>
      <c r="N158" s="15"/>
      <c r="O158" s="15"/>
      <c r="P158" s="15"/>
      <c r="Q158" s="15"/>
      <c r="R158" s="15"/>
    </row>
    <row r="159" ht="15.75" customHeight="1">
      <c r="A159" s="122"/>
      <c r="B159" s="112"/>
      <c r="C159" s="113"/>
      <c r="D159" s="113"/>
      <c r="E159" s="113"/>
      <c r="F159" s="419"/>
      <c r="G159" s="419"/>
      <c r="H159" s="420">
        <f t="shared" si="2"/>
        <v>0</v>
      </c>
      <c r="I159" s="420" t="str">
        <f t="shared" si="3"/>
        <v/>
      </c>
      <c r="J159" s="113"/>
      <c r="K159" s="114"/>
      <c r="L159" s="15"/>
      <c r="M159" s="13"/>
      <c r="N159" s="15"/>
      <c r="O159" s="15"/>
      <c r="P159" s="15"/>
      <c r="Q159" s="15"/>
      <c r="R159" s="15"/>
    </row>
    <row r="160" ht="15.75" customHeight="1">
      <c r="A160" s="122"/>
      <c r="B160" s="112"/>
      <c r="C160" s="113"/>
      <c r="D160" s="113"/>
      <c r="E160" s="113"/>
      <c r="F160" s="419"/>
      <c r="G160" s="419"/>
      <c r="H160" s="420">
        <f t="shared" si="2"/>
        <v>0</v>
      </c>
      <c r="I160" s="420" t="str">
        <f t="shared" si="3"/>
        <v/>
      </c>
      <c r="J160" s="113"/>
      <c r="K160" s="114"/>
      <c r="L160" s="15"/>
      <c r="M160" s="13"/>
      <c r="N160" s="15"/>
      <c r="O160" s="15"/>
      <c r="P160" s="15"/>
      <c r="Q160" s="15"/>
      <c r="R160" s="15"/>
    </row>
    <row r="161" ht="15.75" customHeight="1">
      <c r="A161" s="122"/>
      <c r="B161" s="112"/>
      <c r="C161" s="113"/>
      <c r="D161" s="113"/>
      <c r="E161" s="113"/>
      <c r="F161" s="419"/>
      <c r="G161" s="419"/>
      <c r="H161" s="420">
        <f t="shared" si="2"/>
        <v>0</v>
      </c>
      <c r="I161" s="420" t="str">
        <f t="shared" si="3"/>
        <v/>
      </c>
      <c r="J161" s="113"/>
      <c r="K161" s="114"/>
      <c r="L161" s="15"/>
      <c r="M161" s="13"/>
      <c r="N161" s="15"/>
      <c r="O161" s="15"/>
      <c r="P161" s="15"/>
      <c r="Q161" s="15"/>
      <c r="R161" s="15"/>
    </row>
    <row r="162" ht="15.75" customHeight="1">
      <c r="A162" s="122"/>
      <c r="B162" s="112"/>
      <c r="C162" s="113"/>
      <c r="D162" s="113"/>
      <c r="E162" s="113"/>
      <c r="F162" s="419"/>
      <c r="G162" s="419"/>
      <c r="H162" s="420">
        <f t="shared" si="2"/>
        <v>0</v>
      </c>
      <c r="I162" s="420" t="str">
        <f t="shared" si="3"/>
        <v/>
      </c>
      <c r="J162" s="113"/>
      <c r="K162" s="114"/>
      <c r="L162" s="15"/>
      <c r="M162" s="13"/>
      <c r="N162" s="15"/>
      <c r="O162" s="15"/>
      <c r="P162" s="15"/>
      <c r="Q162" s="15"/>
      <c r="R162" s="15"/>
    </row>
    <row r="163" ht="15.75" customHeight="1">
      <c r="A163" s="122"/>
      <c r="B163" s="112"/>
      <c r="C163" s="113"/>
      <c r="D163" s="113"/>
      <c r="E163" s="113"/>
      <c r="F163" s="419"/>
      <c r="G163" s="419"/>
      <c r="H163" s="420">
        <f t="shared" si="2"/>
        <v>0</v>
      </c>
      <c r="I163" s="420" t="str">
        <f t="shared" si="3"/>
        <v/>
      </c>
      <c r="J163" s="113"/>
      <c r="K163" s="114"/>
      <c r="L163" s="15"/>
      <c r="M163" s="13"/>
      <c r="N163" s="15"/>
      <c r="O163" s="15"/>
      <c r="P163" s="15"/>
      <c r="Q163" s="15"/>
      <c r="R163" s="15"/>
    </row>
    <row r="164" ht="15.75" customHeight="1">
      <c r="A164" s="122"/>
      <c r="B164" s="112"/>
      <c r="C164" s="113"/>
      <c r="D164" s="113"/>
      <c r="E164" s="113"/>
      <c r="F164" s="419"/>
      <c r="G164" s="419"/>
      <c r="H164" s="420">
        <f t="shared" si="2"/>
        <v>0</v>
      </c>
      <c r="I164" s="420" t="str">
        <f t="shared" si="3"/>
        <v/>
      </c>
      <c r="J164" s="113"/>
      <c r="K164" s="114"/>
      <c r="L164" s="15"/>
      <c r="M164" s="13"/>
      <c r="N164" s="15"/>
      <c r="O164" s="15"/>
      <c r="P164" s="15"/>
      <c r="Q164" s="15"/>
      <c r="R164" s="15"/>
    </row>
    <row r="165" ht="15.75" customHeight="1">
      <c r="A165" s="122"/>
      <c r="B165" s="112"/>
      <c r="C165" s="113"/>
      <c r="D165" s="113"/>
      <c r="E165" s="113"/>
      <c r="F165" s="419"/>
      <c r="G165" s="419"/>
      <c r="H165" s="420">
        <f t="shared" si="2"/>
        <v>0</v>
      </c>
      <c r="I165" s="420" t="str">
        <f t="shared" si="3"/>
        <v/>
      </c>
      <c r="J165" s="113"/>
      <c r="K165" s="114"/>
      <c r="L165" s="15"/>
      <c r="M165" s="13"/>
      <c r="N165" s="15"/>
      <c r="O165" s="15"/>
      <c r="P165" s="15"/>
      <c r="Q165" s="15"/>
      <c r="R165" s="15"/>
    </row>
    <row r="166" ht="15.75" customHeight="1">
      <c r="A166" s="122"/>
      <c r="B166" s="112"/>
      <c r="C166" s="113"/>
      <c r="D166" s="113"/>
      <c r="E166" s="113"/>
      <c r="F166" s="419"/>
      <c r="G166" s="419"/>
      <c r="H166" s="420">
        <f t="shared" si="2"/>
        <v>0</v>
      </c>
      <c r="I166" s="420" t="str">
        <f t="shared" si="3"/>
        <v/>
      </c>
      <c r="J166" s="113"/>
      <c r="K166" s="114"/>
      <c r="L166" s="15"/>
      <c r="M166" s="13"/>
      <c r="N166" s="15"/>
      <c r="O166" s="15"/>
      <c r="P166" s="15"/>
      <c r="Q166" s="15"/>
      <c r="R166" s="15"/>
    </row>
    <row r="167" ht="15.75" customHeight="1">
      <c r="A167" s="122"/>
      <c r="B167" s="112"/>
      <c r="C167" s="113"/>
      <c r="D167" s="113"/>
      <c r="E167" s="113"/>
      <c r="F167" s="419"/>
      <c r="G167" s="419"/>
      <c r="H167" s="420">
        <f t="shared" si="2"/>
        <v>0</v>
      </c>
      <c r="I167" s="420" t="str">
        <f t="shared" si="3"/>
        <v/>
      </c>
      <c r="J167" s="113"/>
      <c r="K167" s="114"/>
      <c r="L167" s="15"/>
      <c r="M167" s="13"/>
      <c r="N167" s="15"/>
      <c r="O167" s="15"/>
      <c r="P167" s="15"/>
      <c r="Q167" s="15"/>
      <c r="R167" s="15"/>
    </row>
    <row r="168" ht="15.75" customHeight="1">
      <c r="A168" s="122"/>
      <c r="B168" s="112"/>
      <c r="C168" s="113"/>
      <c r="D168" s="113"/>
      <c r="E168" s="113"/>
      <c r="F168" s="419"/>
      <c r="G168" s="419"/>
      <c r="H168" s="420">
        <f t="shared" si="2"/>
        <v>0</v>
      </c>
      <c r="I168" s="420" t="str">
        <f t="shared" si="3"/>
        <v/>
      </c>
      <c r="J168" s="113"/>
      <c r="K168" s="114"/>
      <c r="L168" s="15"/>
      <c r="M168" s="13"/>
      <c r="N168" s="15"/>
      <c r="O168" s="15"/>
      <c r="P168" s="15"/>
      <c r="Q168" s="15"/>
      <c r="R168" s="15"/>
    </row>
    <row r="169" ht="15.75" customHeight="1">
      <c r="A169" s="122"/>
      <c r="B169" s="112"/>
      <c r="C169" s="113"/>
      <c r="D169" s="113"/>
      <c r="E169" s="113"/>
      <c r="F169" s="419"/>
      <c r="G169" s="419"/>
      <c r="H169" s="420">
        <f t="shared" si="2"/>
        <v>0</v>
      </c>
      <c r="I169" s="420" t="str">
        <f t="shared" si="3"/>
        <v/>
      </c>
      <c r="J169" s="113"/>
      <c r="K169" s="114"/>
      <c r="L169" s="15"/>
      <c r="M169" s="13"/>
      <c r="N169" s="15"/>
      <c r="O169" s="15"/>
      <c r="P169" s="15"/>
      <c r="Q169" s="15"/>
      <c r="R169" s="15"/>
    </row>
    <row r="170" ht="15.75" customHeight="1">
      <c r="A170" s="122"/>
      <c r="B170" s="112"/>
      <c r="C170" s="113"/>
      <c r="D170" s="113"/>
      <c r="E170" s="113"/>
      <c r="F170" s="419"/>
      <c r="G170" s="419"/>
      <c r="H170" s="420">
        <f t="shared" si="2"/>
        <v>0</v>
      </c>
      <c r="I170" s="420" t="str">
        <f t="shared" si="3"/>
        <v/>
      </c>
      <c r="J170" s="113"/>
      <c r="K170" s="114"/>
      <c r="L170" s="15"/>
      <c r="M170" s="13"/>
      <c r="N170" s="15"/>
      <c r="O170" s="15"/>
      <c r="P170" s="15"/>
      <c r="Q170" s="15"/>
      <c r="R170" s="15"/>
    </row>
    <row r="171" ht="15.75" customHeight="1">
      <c r="A171" s="122"/>
      <c r="B171" s="112"/>
      <c r="C171" s="113"/>
      <c r="D171" s="113"/>
      <c r="E171" s="113"/>
      <c r="F171" s="419"/>
      <c r="G171" s="419"/>
      <c r="H171" s="420">
        <f t="shared" si="2"/>
        <v>0</v>
      </c>
      <c r="I171" s="420" t="str">
        <f t="shared" si="3"/>
        <v/>
      </c>
      <c r="J171" s="113"/>
      <c r="K171" s="114"/>
      <c r="L171" s="15"/>
      <c r="M171" s="13"/>
      <c r="N171" s="15"/>
      <c r="O171" s="15"/>
      <c r="P171" s="15"/>
      <c r="Q171" s="15"/>
      <c r="R171" s="15"/>
    </row>
    <row r="172" ht="15.75" customHeight="1">
      <c r="A172" s="122"/>
      <c r="B172" s="112"/>
      <c r="C172" s="113"/>
      <c r="D172" s="113"/>
      <c r="E172" s="113"/>
      <c r="F172" s="419"/>
      <c r="G172" s="419"/>
      <c r="H172" s="420">
        <f t="shared" si="2"/>
        <v>0</v>
      </c>
      <c r="I172" s="420" t="str">
        <f t="shared" si="3"/>
        <v/>
      </c>
      <c r="J172" s="113"/>
      <c r="K172" s="114"/>
      <c r="L172" s="15"/>
      <c r="M172" s="13"/>
      <c r="N172" s="15"/>
      <c r="O172" s="15"/>
      <c r="P172" s="15"/>
      <c r="Q172" s="15"/>
      <c r="R172" s="15"/>
    </row>
    <row r="173" ht="15.75" customHeight="1">
      <c r="A173" s="122"/>
      <c r="B173" s="112"/>
      <c r="C173" s="113"/>
      <c r="D173" s="113"/>
      <c r="E173" s="113"/>
      <c r="F173" s="419"/>
      <c r="G173" s="419"/>
      <c r="H173" s="420">
        <f t="shared" si="2"/>
        <v>0</v>
      </c>
      <c r="I173" s="420" t="str">
        <f t="shared" si="3"/>
        <v/>
      </c>
      <c r="J173" s="113"/>
      <c r="K173" s="114"/>
      <c r="L173" s="15"/>
      <c r="M173" s="13"/>
      <c r="N173" s="15"/>
      <c r="O173" s="15"/>
      <c r="P173" s="15"/>
      <c r="Q173" s="15"/>
      <c r="R173" s="15"/>
    </row>
    <row r="174" ht="15.75" customHeight="1">
      <c r="A174" s="122"/>
      <c r="B174" s="112"/>
      <c r="C174" s="113"/>
      <c r="D174" s="113"/>
      <c r="E174" s="113"/>
      <c r="F174" s="419"/>
      <c r="G174" s="419"/>
      <c r="H174" s="420">
        <f t="shared" si="2"/>
        <v>0</v>
      </c>
      <c r="I174" s="420" t="str">
        <f t="shared" si="3"/>
        <v/>
      </c>
      <c r="J174" s="113"/>
      <c r="K174" s="114"/>
      <c r="L174" s="15"/>
      <c r="M174" s="13"/>
      <c r="N174" s="15"/>
      <c r="O174" s="15"/>
      <c r="P174" s="15"/>
      <c r="Q174" s="15"/>
      <c r="R174" s="15"/>
    </row>
    <row r="175" ht="15.75" customHeight="1">
      <c r="A175" s="122"/>
      <c r="B175" s="112"/>
      <c r="C175" s="113"/>
      <c r="D175" s="113"/>
      <c r="E175" s="113"/>
      <c r="F175" s="419"/>
      <c r="G175" s="419"/>
      <c r="H175" s="420">
        <f t="shared" si="2"/>
        <v>0</v>
      </c>
      <c r="I175" s="420" t="str">
        <f t="shared" si="3"/>
        <v/>
      </c>
      <c r="J175" s="113"/>
      <c r="K175" s="114"/>
      <c r="L175" s="15"/>
      <c r="M175" s="13"/>
      <c r="N175" s="15"/>
      <c r="O175" s="15"/>
      <c r="P175" s="15"/>
      <c r="Q175" s="15"/>
      <c r="R175" s="15"/>
    </row>
    <row r="176" ht="15.75" customHeight="1">
      <c r="A176" s="122"/>
      <c r="B176" s="112"/>
      <c r="C176" s="113"/>
      <c r="D176" s="113"/>
      <c r="E176" s="113"/>
      <c r="F176" s="419"/>
      <c r="G176" s="419"/>
      <c r="H176" s="420">
        <f t="shared" si="2"/>
        <v>0</v>
      </c>
      <c r="I176" s="420" t="str">
        <f t="shared" si="3"/>
        <v/>
      </c>
      <c r="J176" s="113"/>
      <c r="K176" s="114"/>
      <c r="L176" s="15"/>
      <c r="M176" s="13"/>
      <c r="N176" s="15"/>
      <c r="O176" s="15"/>
      <c r="P176" s="15"/>
      <c r="Q176" s="15"/>
      <c r="R176" s="15"/>
    </row>
    <row r="177" ht="15.75" customHeight="1">
      <c r="A177" s="122"/>
      <c r="B177" s="112"/>
      <c r="C177" s="113"/>
      <c r="D177" s="113"/>
      <c r="E177" s="113"/>
      <c r="F177" s="419"/>
      <c r="G177" s="419"/>
      <c r="H177" s="420">
        <f t="shared" si="2"/>
        <v>0</v>
      </c>
      <c r="I177" s="420" t="str">
        <f t="shared" si="3"/>
        <v/>
      </c>
      <c r="J177" s="113"/>
      <c r="K177" s="114"/>
      <c r="L177" s="15"/>
      <c r="M177" s="13"/>
      <c r="N177" s="15"/>
      <c r="O177" s="15"/>
      <c r="P177" s="15"/>
      <c r="Q177" s="15"/>
      <c r="R177" s="15"/>
    </row>
    <row r="178" ht="15.75" customHeight="1">
      <c r="A178" s="122"/>
      <c r="B178" s="112"/>
      <c r="C178" s="113"/>
      <c r="D178" s="113"/>
      <c r="E178" s="113"/>
      <c r="F178" s="419"/>
      <c r="G178" s="419"/>
      <c r="H178" s="420">
        <f t="shared" si="2"/>
        <v>0</v>
      </c>
      <c r="I178" s="420" t="str">
        <f t="shared" si="3"/>
        <v/>
      </c>
      <c r="J178" s="113"/>
      <c r="K178" s="114"/>
      <c r="L178" s="15"/>
      <c r="M178" s="13"/>
      <c r="N178" s="15"/>
      <c r="O178" s="15"/>
      <c r="P178" s="15"/>
      <c r="Q178" s="15"/>
      <c r="R178" s="15"/>
    </row>
    <row r="179" ht="15.75" customHeight="1">
      <c r="A179" s="122"/>
      <c r="B179" s="112"/>
      <c r="C179" s="113"/>
      <c r="D179" s="113"/>
      <c r="E179" s="113"/>
      <c r="F179" s="419"/>
      <c r="G179" s="419"/>
      <c r="H179" s="420">
        <f t="shared" si="2"/>
        <v>0</v>
      </c>
      <c r="I179" s="420" t="str">
        <f t="shared" si="3"/>
        <v/>
      </c>
      <c r="J179" s="113"/>
      <c r="K179" s="114"/>
      <c r="L179" s="15"/>
      <c r="M179" s="13"/>
      <c r="N179" s="15"/>
      <c r="O179" s="15"/>
      <c r="P179" s="15"/>
      <c r="Q179" s="15"/>
      <c r="R179" s="15"/>
    </row>
    <row r="180" ht="15.75" customHeight="1">
      <c r="A180" s="122"/>
      <c r="B180" s="112"/>
      <c r="C180" s="113"/>
      <c r="D180" s="113"/>
      <c r="E180" s="113"/>
      <c r="F180" s="419"/>
      <c r="G180" s="419"/>
      <c r="H180" s="420">
        <f t="shared" si="2"/>
        <v>0</v>
      </c>
      <c r="I180" s="420" t="str">
        <f t="shared" si="3"/>
        <v/>
      </c>
      <c r="J180" s="113"/>
      <c r="K180" s="114"/>
      <c r="L180" s="15"/>
      <c r="M180" s="13"/>
      <c r="N180" s="15"/>
      <c r="O180" s="15"/>
      <c r="P180" s="15"/>
      <c r="Q180" s="15"/>
      <c r="R180" s="15"/>
    </row>
    <row r="181" ht="15.75" customHeight="1">
      <c r="A181" s="122"/>
      <c r="B181" s="112"/>
      <c r="C181" s="113"/>
      <c r="D181" s="113"/>
      <c r="E181" s="113"/>
      <c r="F181" s="419"/>
      <c r="G181" s="419"/>
      <c r="H181" s="420">
        <f t="shared" si="2"/>
        <v>0</v>
      </c>
      <c r="I181" s="420" t="str">
        <f t="shared" si="3"/>
        <v/>
      </c>
      <c r="J181" s="113"/>
      <c r="K181" s="114"/>
      <c r="L181" s="15"/>
      <c r="M181" s="13"/>
      <c r="N181" s="15"/>
      <c r="O181" s="15"/>
      <c r="P181" s="15"/>
      <c r="Q181" s="15"/>
      <c r="R181" s="15"/>
    </row>
    <row r="182" ht="15.75" customHeight="1">
      <c r="A182" s="122"/>
      <c r="B182" s="112"/>
      <c r="C182" s="113"/>
      <c r="D182" s="113"/>
      <c r="E182" s="113"/>
      <c r="F182" s="419"/>
      <c r="G182" s="419"/>
      <c r="H182" s="420">
        <f t="shared" si="2"/>
        <v>0</v>
      </c>
      <c r="I182" s="420" t="str">
        <f t="shared" si="3"/>
        <v/>
      </c>
      <c r="J182" s="113"/>
      <c r="K182" s="114"/>
      <c r="L182" s="15"/>
      <c r="M182" s="13"/>
      <c r="N182" s="15"/>
      <c r="O182" s="15"/>
      <c r="P182" s="15"/>
      <c r="Q182" s="15"/>
      <c r="R182" s="15"/>
    </row>
    <row r="183" ht="15.75" customHeight="1">
      <c r="A183" s="122"/>
      <c r="B183" s="112"/>
      <c r="C183" s="113"/>
      <c r="D183" s="113"/>
      <c r="E183" s="113"/>
      <c r="F183" s="419"/>
      <c r="G183" s="419"/>
      <c r="H183" s="420">
        <f t="shared" si="2"/>
        <v>0</v>
      </c>
      <c r="I183" s="420" t="str">
        <f t="shared" si="3"/>
        <v/>
      </c>
      <c r="J183" s="113"/>
      <c r="K183" s="114"/>
      <c r="L183" s="15"/>
      <c r="M183" s="13"/>
      <c r="N183" s="15"/>
      <c r="O183" s="15"/>
      <c r="P183" s="15"/>
      <c r="Q183" s="15"/>
      <c r="R183" s="15"/>
    </row>
    <row r="184" ht="15.75" customHeight="1">
      <c r="A184" s="122"/>
      <c r="B184" s="112"/>
      <c r="C184" s="113"/>
      <c r="D184" s="113"/>
      <c r="E184" s="113"/>
      <c r="F184" s="419"/>
      <c r="G184" s="419"/>
      <c r="H184" s="420">
        <f t="shared" si="2"/>
        <v>0</v>
      </c>
      <c r="I184" s="420" t="str">
        <f t="shared" si="3"/>
        <v/>
      </c>
      <c r="J184" s="113"/>
      <c r="K184" s="114"/>
      <c r="L184" s="15"/>
      <c r="M184" s="13"/>
      <c r="N184" s="15"/>
      <c r="O184" s="15"/>
      <c r="P184" s="15"/>
      <c r="Q184" s="15"/>
      <c r="R184" s="15"/>
    </row>
    <row r="185" ht="15.75" customHeight="1">
      <c r="A185" s="122"/>
      <c r="B185" s="112"/>
      <c r="C185" s="113"/>
      <c r="D185" s="113"/>
      <c r="E185" s="113"/>
      <c r="F185" s="419"/>
      <c r="G185" s="419"/>
      <c r="H185" s="420">
        <f t="shared" si="2"/>
        <v>0</v>
      </c>
      <c r="I185" s="420" t="str">
        <f t="shared" si="3"/>
        <v/>
      </c>
      <c r="J185" s="113"/>
      <c r="K185" s="114"/>
      <c r="L185" s="15"/>
      <c r="M185" s="13"/>
      <c r="N185" s="15"/>
      <c r="O185" s="15"/>
      <c r="P185" s="15"/>
      <c r="Q185" s="15"/>
      <c r="R185" s="15"/>
    </row>
    <row r="186" ht="15.75" customHeight="1">
      <c r="A186" s="122"/>
      <c r="B186" s="112"/>
      <c r="C186" s="113"/>
      <c r="D186" s="113"/>
      <c r="E186" s="113"/>
      <c r="F186" s="419"/>
      <c r="G186" s="419"/>
      <c r="H186" s="420">
        <f t="shared" si="2"/>
        <v>0</v>
      </c>
      <c r="I186" s="420" t="str">
        <f t="shared" si="3"/>
        <v/>
      </c>
      <c r="J186" s="113"/>
      <c r="K186" s="114"/>
      <c r="L186" s="15"/>
      <c r="M186" s="13"/>
      <c r="N186" s="15"/>
      <c r="O186" s="15"/>
      <c r="P186" s="15"/>
      <c r="Q186" s="15"/>
      <c r="R186" s="15"/>
    </row>
    <row r="187" ht="15.75" customHeight="1">
      <c r="A187" s="122"/>
      <c r="B187" s="112"/>
      <c r="C187" s="113"/>
      <c r="D187" s="113"/>
      <c r="E187" s="113"/>
      <c r="F187" s="419"/>
      <c r="G187" s="419"/>
      <c r="H187" s="420">
        <f t="shared" si="2"/>
        <v>0</v>
      </c>
      <c r="I187" s="420" t="str">
        <f t="shared" si="3"/>
        <v/>
      </c>
      <c r="J187" s="113"/>
      <c r="K187" s="114"/>
      <c r="L187" s="15"/>
      <c r="M187" s="13"/>
      <c r="N187" s="15"/>
      <c r="O187" s="15"/>
      <c r="P187" s="15"/>
      <c r="Q187" s="15"/>
      <c r="R187" s="15"/>
    </row>
    <row r="188" ht="15.75" customHeight="1">
      <c r="A188" s="122"/>
      <c r="B188" s="112"/>
      <c r="C188" s="113"/>
      <c r="D188" s="113"/>
      <c r="E188" s="113"/>
      <c r="F188" s="419"/>
      <c r="G188" s="419"/>
      <c r="H188" s="420">
        <f t="shared" si="2"/>
        <v>0</v>
      </c>
      <c r="I188" s="420" t="str">
        <f t="shared" si="3"/>
        <v/>
      </c>
      <c r="J188" s="113"/>
      <c r="K188" s="114"/>
      <c r="L188" s="15"/>
      <c r="M188" s="13"/>
      <c r="N188" s="15"/>
      <c r="O188" s="15"/>
      <c r="P188" s="15"/>
      <c r="Q188" s="15"/>
      <c r="R188" s="15"/>
    </row>
    <row r="189" ht="15.75" customHeight="1">
      <c r="A189" s="122"/>
      <c r="B189" s="112"/>
      <c r="C189" s="113"/>
      <c r="D189" s="113"/>
      <c r="E189" s="113"/>
      <c r="F189" s="419"/>
      <c r="G189" s="419"/>
      <c r="H189" s="420">
        <f t="shared" si="2"/>
        <v>0</v>
      </c>
      <c r="I189" s="420" t="str">
        <f t="shared" si="3"/>
        <v/>
      </c>
      <c r="J189" s="113"/>
      <c r="K189" s="114"/>
      <c r="L189" s="15"/>
      <c r="M189" s="13"/>
      <c r="N189" s="15"/>
      <c r="O189" s="15"/>
      <c r="P189" s="15"/>
      <c r="Q189" s="15"/>
      <c r="R189" s="15"/>
    </row>
    <row r="190" ht="15.75" customHeight="1">
      <c r="A190" s="122"/>
      <c r="B190" s="112"/>
      <c r="C190" s="113"/>
      <c r="D190" s="113"/>
      <c r="E190" s="113"/>
      <c r="F190" s="419"/>
      <c r="G190" s="419"/>
      <c r="H190" s="420">
        <f t="shared" si="2"/>
        <v>0</v>
      </c>
      <c r="I190" s="420" t="str">
        <f t="shared" si="3"/>
        <v/>
      </c>
      <c r="J190" s="113"/>
      <c r="K190" s="114"/>
      <c r="L190" s="15"/>
      <c r="M190" s="13"/>
      <c r="N190" s="15"/>
      <c r="O190" s="15"/>
      <c r="P190" s="15"/>
      <c r="Q190" s="15"/>
      <c r="R190" s="15"/>
    </row>
    <row r="191" ht="15.75" customHeight="1">
      <c r="A191" s="122"/>
      <c r="B191" s="112"/>
      <c r="C191" s="113"/>
      <c r="D191" s="113"/>
      <c r="E191" s="113"/>
      <c r="F191" s="419"/>
      <c r="G191" s="419"/>
      <c r="H191" s="420">
        <f t="shared" si="2"/>
        <v>0</v>
      </c>
      <c r="I191" s="420" t="str">
        <f t="shared" si="3"/>
        <v/>
      </c>
      <c r="J191" s="113"/>
      <c r="K191" s="114"/>
      <c r="L191" s="15"/>
      <c r="M191" s="13"/>
      <c r="N191" s="15"/>
      <c r="O191" s="15"/>
      <c r="P191" s="15"/>
      <c r="Q191" s="15"/>
      <c r="R191" s="15"/>
    </row>
    <row r="192" ht="15.75" customHeight="1">
      <c r="A192" s="122"/>
      <c r="B192" s="112"/>
      <c r="C192" s="113"/>
      <c r="D192" s="113"/>
      <c r="E192" s="113"/>
      <c r="F192" s="419"/>
      <c r="G192" s="419"/>
      <c r="H192" s="420">
        <f t="shared" si="2"/>
        <v>0</v>
      </c>
      <c r="I192" s="420" t="str">
        <f t="shared" si="3"/>
        <v/>
      </c>
      <c r="J192" s="113"/>
      <c r="K192" s="114"/>
      <c r="L192" s="15"/>
      <c r="M192" s="13"/>
      <c r="N192" s="15"/>
      <c r="O192" s="15"/>
      <c r="P192" s="15"/>
      <c r="Q192" s="15"/>
      <c r="R192" s="15"/>
    </row>
    <row r="193" ht="15.75" customHeight="1">
      <c r="A193" s="122"/>
      <c r="B193" s="112"/>
      <c r="C193" s="113"/>
      <c r="D193" s="113"/>
      <c r="E193" s="113"/>
      <c r="F193" s="419"/>
      <c r="G193" s="419"/>
      <c r="H193" s="420">
        <f t="shared" si="2"/>
        <v>0</v>
      </c>
      <c r="I193" s="420" t="str">
        <f t="shared" si="3"/>
        <v/>
      </c>
      <c r="J193" s="113"/>
      <c r="K193" s="114"/>
      <c r="L193" s="15"/>
      <c r="M193" s="13"/>
      <c r="N193" s="15"/>
      <c r="O193" s="15"/>
      <c r="P193" s="15"/>
      <c r="Q193" s="15"/>
      <c r="R193" s="15"/>
    </row>
    <row r="194" ht="15.75" customHeight="1">
      <c r="A194" s="122"/>
      <c r="B194" s="112"/>
      <c r="C194" s="113"/>
      <c r="D194" s="113"/>
      <c r="E194" s="113"/>
      <c r="F194" s="419"/>
      <c r="G194" s="419"/>
      <c r="H194" s="420">
        <f t="shared" si="2"/>
        <v>0</v>
      </c>
      <c r="I194" s="420" t="str">
        <f t="shared" si="3"/>
        <v/>
      </c>
      <c r="J194" s="113"/>
      <c r="K194" s="114"/>
      <c r="L194" s="15"/>
      <c r="M194" s="13"/>
      <c r="N194" s="15"/>
      <c r="O194" s="15"/>
      <c r="P194" s="15"/>
      <c r="Q194" s="15"/>
      <c r="R194" s="15"/>
    </row>
    <row r="195" ht="15.75" customHeight="1">
      <c r="A195" s="122"/>
      <c r="B195" s="112"/>
      <c r="C195" s="113"/>
      <c r="D195" s="113"/>
      <c r="E195" s="113"/>
      <c r="F195" s="419"/>
      <c r="G195" s="419"/>
      <c r="H195" s="420">
        <f t="shared" si="2"/>
        <v>0</v>
      </c>
      <c r="I195" s="420" t="str">
        <f t="shared" si="3"/>
        <v/>
      </c>
      <c r="J195" s="113"/>
      <c r="K195" s="114"/>
      <c r="L195" s="15"/>
      <c r="M195" s="13"/>
      <c r="N195" s="15"/>
      <c r="O195" s="15"/>
      <c r="P195" s="15"/>
      <c r="Q195" s="15"/>
      <c r="R195" s="15"/>
    </row>
    <row r="196" ht="15.75" customHeight="1">
      <c r="A196" s="122"/>
      <c r="B196" s="112"/>
      <c r="C196" s="113"/>
      <c r="D196" s="113"/>
      <c r="E196" s="113"/>
      <c r="F196" s="419"/>
      <c r="G196" s="419"/>
      <c r="H196" s="420">
        <f t="shared" si="2"/>
        <v>0</v>
      </c>
      <c r="I196" s="420" t="str">
        <f t="shared" si="3"/>
        <v/>
      </c>
      <c r="J196" s="113"/>
      <c r="K196" s="114"/>
      <c r="L196" s="15"/>
      <c r="M196" s="13"/>
      <c r="N196" s="15"/>
      <c r="O196" s="15"/>
      <c r="P196" s="15"/>
      <c r="Q196" s="15"/>
      <c r="R196" s="15"/>
    </row>
    <row r="197" ht="15.75" customHeight="1">
      <c r="A197" s="122"/>
      <c r="B197" s="112"/>
      <c r="C197" s="113"/>
      <c r="D197" s="113"/>
      <c r="E197" s="113"/>
      <c r="F197" s="419"/>
      <c r="G197" s="419"/>
      <c r="H197" s="420">
        <f t="shared" si="2"/>
        <v>0</v>
      </c>
      <c r="I197" s="420" t="str">
        <f t="shared" si="3"/>
        <v/>
      </c>
      <c r="J197" s="113"/>
      <c r="K197" s="114"/>
      <c r="L197" s="15"/>
      <c r="M197" s="13"/>
      <c r="N197" s="15"/>
      <c r="O197" s="15"/>
      <c r="P197" s="15"/>
      <c r="Q197" s="15"/>
      <c r="R197" s="15"/>
    </row>
    <row r="198" ht="15.75" customHeight="1">
      <c r="A198" s="122"/>
      <c r="B198" s="112"/>
      <c r="C198" s="113"/>
      <c r="D198" s="113"/>
      <c r="E198" s="113"/>
      <c r="F198" s="419"/>
      <c r="G198" s="419"/>
      <c r="H198" s="420">
        <f t="shared" si="2"/>
        <v>0</v>
      </c>
      <c r="I198" s="420" t="str">
        <f t="shared" si="3"/>
        <v/>
      </c>
      <c r="J198" s="113"/>
      <c r="K198" s="114"/>
      <c r="L198" s="15"/>
      <c r="M198" s="13"/>
      <c r="N198" s="15"/>
      <c r="O198" s="15"/>
      <c r="P198" s="15"/>
      <c r="Q198" s="15"/>
      <c r="R198" s="15"/>
    </row>
    <row r="199" ht="15.75" customHeight="1">
      <c r="A199" s="122"/>
      <c r="B199" s="112"/>
      <c r="C199" s="113"/>
      <c r="D199" s="113"/>
      <c r="E199" s="113"/>
      <c r="F199" s="419"/>
      <c r="G199" s="419"/>
      <c r="H199" s="420">
        <f t="shared" si="2"/>
        <v>0</v>
      </c>
      <c r="I199" s="420" t="str">
        <f t="shared" si="3"/>
        <v/>
      </c>
      <c r="J199" s="113"/>
      <c r="K199" s="114"/>
      <c r="L199" s="15"/>
      <c r="M199" s="13"/>
      <c r="N199" s="15"/>
      <c r="O199" s="15"/>
      <c r="P199" s="15"/>
      <c r="Q199" s="15"/>
      <c r="R199" s="15"/>
    </row>
    <row r="200" ht="15.75" customHeight="1">
      <c r="A200" s="122"/>
      <c r="B200" s="112"/>
      <c r="C200" s="113"/>
      <c r="D200" s="113"/>
      <c r="E200" s="113"/>
      <c r="F200" s="419"/>
      <c r="G200" s="419"/>
      <c r="H200" s="420">
        <f t="shared" si="2"/>
        <v>0</v>
      </c>
      <c r="I200" s="420" t="str">
        <f t="shared" si="3"/>
        <v/>
      </c>
      <c r="J200" s="113"/>
      <c r="K200" s="114"/>
      <c r="L200" s="15"/>
      <c r="M200" s="13"/>
      <c r="N200" s="15"/>
      <c r="O200" s="15"/>
      <c r="P200" s="15"/>
      <c r="Q200" s="15"/>
      <c r="R200" s="15"/>
    </row>
    <row r="201" ht="15.75" customHeight="1">
      <c r="A201" s="122"/>
      <c r="B201" s="112"/>
      <c r="C201" s="113"/>
      <c r="D201" s="113"/>
      <c r="E201" s="113"/>
      <c r="F201" s="419"/>
      <c r="G201" s="419"/>
      <c r="H201" s="420">
        <f t="shared" si="2"/>
        <v>0</v>
      </c>
      <c r="I201" s="420" t="str">
        <f t="shared" si="3"/>
        <v/>
      </c>
      <c r="J201" s="113"/>
      <c r="K201" s="114"/>
      <c r="L201" s="15"/>
      <c r="M201" s="13"/>
      <c r="N201" s="15"/>
      <c r="O201" s="15"/>
      <c r="P201" s="15"/>
      <c r="Q201" s="15"/>
      <c r="R201" s="15"/>
    </row>
    <row r="202" ht="15.75" customHeight="1">
      <c r="A202" s="122"/>
      <c r="B202" s="112"/>
      <c r="C202" s="113"/>
      <c r="D202" s="113"/>
      <c r="E202" s="113"/>
      <c r="F202" s="419"/>
      <c r="G202" s="419"/>
      <c r="H202" s="420">
        <f t="shared" si="2"/>
        <v>0</v>
      </c>
      <c r="I202" s="420" t="str">
        <f t="shared" si="3"/>
        <v/>
      </c>
      <c r="J202" s="113"/>
      <c r="K202" s="114"/>
      <c r="L202" s="15"/>
      <c r="M202" s="13"/>
      <c r="N202" s="15"/>
      <c r="O202" s="15"/>
      <c r="P202" s="15"/>
      <c r="Q202" s="15"/>
      <c r="R202" s="15"/>
    </row>
    <row r="203" ht="15.75" customHeight="1">
      <c r="A203" s="122"/>
      <c r="B203" s="112"/>
      <c r="C203" s="113"/>
      <c r="D203" s="113"/>
      <c r="E203" s="113"/>
      <c r="F203" s="419"/>
      <c r="G203" s="419"/>
      <c r="H203" s="420">
        <f t="shared" si="2"/>
        <v>0</v>
      </c>
      <c r="I203" s="420" t="str">
        <f t="shared" si="3"/>
        <v/>
      </c>
      <c r="J203" s="113"/>
      <c r="K203" s="114"/>
      <c r="L203" s="15"/>
      <c r="M203" s="13"/>
      <c r="N203" s="15"/>
      <c r="O203" s="15"/>
      <c r="P203" s="15"/>
      <c r="Q203" s="15"/>
      <c r="R203" s="15"/>
    </row>
    <row r="204" ht="15.75" customHeight="1">
      <c r="A204" s="122"/>
      <c r="B204" s="112"/>
      <c r="C204" s="113"/>
      <c r="D204" s="113"/>
      <c r="E204" s="113"/>
      <c r="F204" s="419"/>
      <c r="G204" s="419"/>
      <c r="H204" s="420">
        <f t="shared" si="2"/>
        <v>0</v>
      </c>
      <c r="I204" s="420" t="str">
        <f t="shared" si="3"/>
        <v/>
      </c>
      <c r="J204" s="113"/>
      <c r="K204" s="114"/>
      <c r="L204" s="15"/>
      <c r="M204" s="13"/>
      <c r="N204" s="15"/>
      <c r="O204" s="15"/>
      <c r="P204" s="15"/>
      <c r="Q204" s="15"/>
      <c r="R204" s="15"/>
    </row>
    <row r="205" ht="15.75" customHeight="1">
      <c r="A205" s="122"/>
      <c r="B205" s="112"/>
      <c r="C205" s="113"/>
      <c r="D205" s="113"/>
      <c r="E205" s="113"/>
      <c r="F205" s="419"/>
      <c r="G205" s="419"/>
      <c r="H205" s="420">
        <f t="shared" si="2"/>
        <v>0</v>
      </c>
      <c r="I205" s="420" t="str">
        <f t="shared" si="3"/>
        <v/>
      </c>
      <c r="J205" s="113"/>
      <c r="K205" s="114"/>
      <c r="L205" s="15"/>
      <c r="M205" s="13"/>
      <c r="N205" s="15"/>
      <c r="O205" s="15"/>
      <c r="P205" s="15"/>
      <c r="Q205" s="15"/>
      <c r="R205" s="15"/>
    </row>
    <row r="206" ht="15.75" customHeight="1">
      <c r="A206" s="122"/>
      <c r="B206" s="112"/>
      <c r="C206" s="113"/>
      <c r="D206" s="113"/>
      <c r="E206" s="113"/>
      <c r="F206" s="419"/>
      <c r="G206" s="419"/>
      <c r="H206" s="420">
        <f t="shared" si="2"/>
        <v>0</v>
      </c>
      <c r="I206" s="420" t="str">
        <f t="shared" si="3"/>
        <v/>
      </c>
      <c r="J206" s="113"/>
      <c r="K206" s="114"/>
      <c r="L206" s="15"/>
      <c r="M206" s="13"/>
      <c r="N206" s="15"/>
      <c r="O206" s="15"/>
      <c r="P206" s="15"/>
      <c r="Q206" s="15"/>
      <c r="R206" s="15"/>
    </row>
    <row r="207" ht="15.75" customHeight="1">
      <c r="A207" s="122"/>
      <c r="B207" s="112"/>
      <c r="C207" s="113"/>
      <c r="D207" s="113"/>
      <c r="E207" s="113"/>
      <c r="F207" s="419"/>
      <c r="G207" s="419"/>
      <c r="H207" s="420">
        <f t="shared" si="2"/>
        <v>0</v>
      </c>
      <c r="I207" s="420" t="str">
        <f t="shared" si="3"/>
        <v/>
      </c>
      <c r="J207" s="113"/>
      <c r="K207" s="114"/>
      <c r="L207" s="15"/>
      <c r="M207" s="13"/>
      <c r="N207" s="15"/>
      <c r="O207" s="15"/>
      <c r="P207" s="15"/>
      <c r="Q207" s="15"/>
      <c r="R207" s="15"/>
    </row>
    <row r="208" ht="15.75" customHeight="1">
      <c r="A208" s="122"/>
      <c r="B208" s="112"/>
      <c r="C208" s="113"/>
      <c r="D208" s="113"/>
      <c r="E208" s="113"/>
      <c r="F208" s="419"/>
      <c r="G208" s="419"/>
      <c r="H208" s="420">
        <f t="shared" si="2"/>
        <v>0</v>
      </c>
      <c r="I208" s="420" t="str">
        <f t="shared" si="3"/>
        <v/>
      </c>
      <c r="J208" s="113"/>
      <c r="K208" s="114"/>
      <c r="L208" s="15"/>
      <c r="M208" s="13"/>
      <c r="N208" s="15"/>
      <c r="O208" s="15"/>
      <c r="P208" s="15"/>
      <c r="Q208" s="15"/>
      <c r="R208" s="15"/>
    </row>
    <row r="209" ht="15.75" customHeight="1">
      <c r="A209" s="122"/>
      <c r="B209" s="112"/>
      <c r="C209" s="113"/>
      <c r="D209" s="113"/>
      <c r="E209" s="113"/>
      <c r="F209" s="419"/>
      <c r="G209" s="419"/>
      <c r="H209" s="420">
        <f t="shared" si="2"/>
        <v>0</v>
      </c>
      <c r="I209" s="420" t="str">
        <f t="shared" si="3"/>
        <v/>
      </c>
      <c r="J209" s="113"/>
      <c r="K209" s="114"/>
      <c r="L209" s="15"/>
      <c r="M209" s="13"/>
      <c r="N209" s="15"/>
      <c r="O209" s="15"/>
      <c r="P209" s="15"/>
      <c r="Q209" s="15"/>
      <c r="R209" s="15"/>
    </row>
    <row r="210" ht="15.75" customHeight="1">
      <c r="A210" s="122"/>
      <c r="B210" s="112"/>
      <c r="C210" s="113"/>
      <c r="D210" s="113"/>
      <c r="E210" s="113"/>
      <c r="F210" s="419"/>
      <c r="G210" s="419"/>
      <c r="H210" s="420">
        <f t="shared" si="2"/>
        <v>0</v>
      </c>
      <c r="I210" s="420" t="str">
        <f t="shared" si="3"/>
        <v/>
      </c>
      <c r="J210" s="113"/>
      <c r="K210" s="114"/>
      <c r="L210" s="15"/>
      <c r="M210" s="13"/>
      <c r="N210" s="15"/>
      <c r="O210" s="15"/>
      <c r="P210" s="15"/>
      <c r="Q210" s="15"/>
      <c r="R210" s="15"/>
    </row>
    <row r="211" ht="15.75" customHeight="1">
      <c r="A211" s="122"/>
      <c r="B211" s="112"/>
      <c r="C211" s="113"/>
      <c r="D211" s="113"/>
      <c r="E211" s="113"/>
      <c r="F211" s="419"/>
      <c r="G211" s="419"/>
      <c r="H211" s="420">
        <f t="shared" si="2"/>
        <v>0</v>
      </c>
      <c r="I211" s="420" t="str">
        <f t="shared" si="3"/>
        <v/>
      </c>
      <c r="J211" s="113"/>
      <c r="K211" s="114"/>
      <c r="L211" s="15"/>
      <c r="M211" s="13"/>
      <c r="N211" s="15"/>
      <c r="O211" s="15"/>
      <c r="P211" s="15"/>
      <c r="Q211" s="15"/>
      <c r="R211" s="15"/>
    </row>
    <row r="212" ht="15.75" customHeight="1">
      <c r="A212" s="122"/>
      <c r="B212" s="112"/>
      <c r="C212" s="113"/>
      <c r="D212" s="113"/>
      <c r="E212" s="113"/>
      <c r="F212" s="419"/>
      <c r="G212" s="419"/>
      <c r="H212" s="420">
        <f t="shared" si="2"/>
        <v>0</v>
      </c>
      <c r="I212" s="420" t="str">
        <f t="shared" si="3"/>
        <v/>
      </c>
      <c r="J212" s="113"/>
      <c r="K212" s="114"/>
      <c r="L212" s="15"/>
      <c r="M212" s="13"/>
      <c r="N212" s="15"/>
      <c r="O212" s="15"/>
      <c r="P212" s="15"/>
      <c r="Q212" s="15"/>
      <c r="R212" s="15"/>
    </row>
    <row r="213" ht="15.75" customHeight="1">
      <c r="A213" s="122"/>
      <c r="B213" s="112"/>
      <c r="C213" s="113"/>
      <c r="D213" s="113"/>
      <c r="E213" s="113"/>
      <c r="F213" s="419"/>
      <c r="G213" s="419"/>
      <c r="H213" s="420">
        <f t="shared" si="2"/>
        <v>0</v>
      </c>
      <c r="I213" s="420" t="str">
        <f t="shared" si="3"/>
        <v/>
      </c>
      <c r="J213" s="113"/>
      <c r="K213" s="114"/>
      <c r="L213" s="15"/>
      <c r="M213" s="13"/>
      <c r="N213" s="15"/>
      <c r="O213" s="15"/>
      <c r="P213" s="15"/>
      <c r="Q213" s="15"/>
      <c r="R213" s="15"/>
    </row>
    <row r="214" ht="15.75" customHeight="1">
      <c r="A214" s="122"/>
      <c r="B214" s="112"/>
      <c r="C214" s="113"/>
      <c r="D214" s="113"/>
      <c r="E214" s="113"/>
      <c r="F214" s="419"/>
      <c r="G214" s="419"/>
      <c r="H214" s="420">
        <f t="shared" si="2"/>
        <v>0</v>
      </c>
      <c r="I214" s="420" t="str">
        <f t="shared" si="3"/>
        <v/>
      </c>
      <c r="J214" s="113"/>
      <c r="K214" s="114"/>
      <c r="L214" s="15"/>
      <c r="M214" s="13"/>
      <c r="N214" s="15"/>
      <c r="O214" s="15"/>
      <c r="P214" s="15"/>
      <c r="Q214" s="15"/>
      <c r="R214" s="15"/>
    </row>
    <row r="215" ht="15.75" customHeight="1">
      <c r="A215" s="122"/>
      <c r="B215" s="112"/>
      <c r="C215" s="113"/>
      <c r="D215" s="113"/>
      <c r="E215" s="113"/>
      <c r="F215" s="419"/>
      <c r="G215" s="419"/>
      <c r="H215" s="420">
        <f t="shared" si="2"/>
        <v>0</v>
      </c>
      <c r="I215" s="420" t="str">
        <f t="shared" si="3"/>
        <v/>
      </c>
      <c r="J215" s="113"/>
      <c r="K215" s="114"/>
      <c r="L215" s="15"/>
      <c r="M215" s="13"/>
      <c r="N215" s="15"/>
      <c r="O215" s="15"/>
      <c r="P215" s="15"/>
      <c r="Q215" s="15"/>
      <c r="R215" s="15"/>
    </row>
    <row r="216" ht="15.75" customHeight="1">
      <c r="A216" s="122"/>
      <c r="B216" s="112"/>
      <c r="C216" s="113"/>
      <c r="D216" s="113"/>
      <c r="E216" s="113"/>
      <c r="F216" s="419"/>
      <c r="G216" s="419"/>
      <c r="H216" s="420">
        <f t="shared" si="2"/>
        <v>0</v>
      </c>
      <c r="I216" s="420" t="str">
        <f t="shared" si="3"/>
        <v/>
      </c>
      <c r="J216" s="113"/>
      <c r="K216" s="114"/>
      <c r="L216" s="15"/>
      <c r="M216" s="13"/>
      <c r="N216" s="15"/>
      <c r="O216" s="15"/>
      <c r="P216" s="15"/>
      <c r="Q216" s="15"/>
      <c r="R216" s="15"/>
    </row>
    <row r="217" ht="15.75" customHeight="1">
      <c r="A217" s="122"/>
      <c r="B217" s="112"/>
      <c r="C217" s="113"/>
      <c r="D217" s="113"/>
      <c r="E217" s="113"/>
      <c r="F217" s="419"/>
      <c r="G217" s="419"/>
      <c r="H217" s="420">
        <f t="shared" si="2"/>
        <v>0</v>
      </c>
      <c r="I217" s="420" t="str">
        <f t="shared" si="3"/>
        <v/>
      </c>
      <c r="J217" s="113"/>
      <c r="K217" s="114"/>
      <c r="L217" s="15"/>
      <c r="M217" s="13"/>
      <c r="N217" s="15"/>
      <c r="O217" s="15"/>
      <c r="P217" s="15"/>
      <c r="Q217" s="15"/>
      <c r="R217" s="15"/>
    </row>
    <row r="218" ht="15.75" customHeight="1">
      <c r="A218" s="122"/>
      <c r="B218" s="112"/>
      <c r="C218" s="113"/>
      <c r="D218" s="113"/>
      <c r="E218" s="113"/>
      <c r="F218" s="419"/>
      <c r="G218" s="419"/>
      <c r="H218" s="420">
        <f t="shared" si="2"/>
        <v>0</v>
      </c>
      <c r="I218" s="420" t="str">
        <f t="shared" si="3"/>
        <v/>
      </c>
      <c r="J218" s="113"/>
      <c r="K218" s="114"/>
      <c r="L218" s="15"/>
      <c r="M218" s="13"/>
      <c r="N218" s="15"/>
      <c r="O218" s="15"/>
      <c r="P218" s="15"/>
      <c r="Q218" s="15"/>
      <c r="R218" s="15"/>
    </row>
    <row r="219" ht="15.75" customHeight="1">
      <c r="A219" s="122"/>
      <c r="B219" s="112"/>
      <c r="C219" s="113"/>
      <c r="D219" s="113"/>
      <c r="E219" s="113"/>
      <c r="F219" s="419"/>
      <c r="G219" s="419"/>
      <c r="H219" s="420">
        <f t="shared" si="2"/>
        <v>0</v>
      </c>
      <c r="I219" s="420" t="str">
        <f t="shared" si="3"/>
        <v/>
      </c>
      <c r="J219" s="113"/>
      <c r="K219" s="114"/>
      <c r="L219" s="15"/>
      <c r="M219" s="13"/>
      <c r="N219" s="15"/>
      <c r="O219" s="15"/>
      <c r="P219" s="15"/>
      <c r="Q219" s="15"/>
      <c r="R219" s="15"/>
    </row>
    <row r="220" ht="15.75" customHeight="1">
      <c r="A220" s="122"/>
      <c r="B220" s="112"/>
      <c r="C220" s="113"/>
      <c r="D220" s="113"/>
      <c r="E220" s="113"/>
      <c r="F220" s="419"/>
      <c r="G220" s="419"/>
      <c r="H220" s="420">
        <f t="shared" si="2"/>
        <v>0</v>
      </c>
      <c r="I220" s="420" t="str">
        <f t="shared" si="3"/>
        <v/>
      </c>
      <c r="J220" s="113"/>
      <c r="K220" s="114"/>
      <c r="L220" s="15"/>
      <c r="M220" s="13"/>
      <c r="N220" s="15"/>
      <c r="O220" s="15"/>
      <c r="P220" s="15"/>
      <c r="Q220" s="15"/>
      <c r="R220" s="15"/>
    </row>
    <row r="221" ht="15.75" customHeight="1">
      <c r="A221" s="122"/>
      <c r="B221" s="112"/>
      <c r="C221" s="113"/>
      <c r="D221" s="113"/>
      <c r="E221" s="113"/>
      <c r="F221" s="419"/>
      <c r="G221" s="419"/>
      <c r="H221" s="420">
        <f t="shared" si="2"/>
        <v>0</v>
      </c>
      <c r="I221" s="420" t="str">
        <f t="shared" si="3"/>
        <v/>
      </c>
      <c r="J221" s="113"/>
      <c r="K221" s="114"/>
      <c r="L221" s="15"/>
      <c r="M221" s="13"/>
      <c r="N221" s="15"/>
      <c r="O221" s="15"/>
      <c r="P221" s="15"/>
      <c r="Q221" s="15"/>
      <c r="R221" s="15"/>
    </row>
    <row r="222" ht="15.75" customHeight="1">
      <c r="A222" s="122"/>
      <c r="B222" s="112"/>
      <c r="C222" s="113"/>
      <c r="D222" s="113"/>
      <c r="E222" s="113"/>
      <c r="F222" s="419"/>
      <c r="G222" s="419"/>
      <c r="H222" s="420">
        <f t="shared" si="2"/>
        <v>0</v>
      </c>
      <c r="I222" s="420" t="str">
        <f t="shared" si="3"/>
        <v/>
      </c>
      <c r="J222" s="113"/>
      <c r="K222" s="114"/>
      <c r="L222" s="15"/>
      <c r="M222" s="13"/>
      <c r="N222" s="15"/>
      <c r="O222" s="15"/>
      <c r="P222" s="15"/>
      <c r="Q222" s="15"/>
      <c r="R222" s="15"/>
    </row>
    <row r="223" ht="15.75" customHeight="1">
      <c r="A223" s="122"/>
      <c r="B223" s="112"/>
      <c r="C223" s="113"/>
      <c r="D223" s="113"/>
      <c r="E223" s="113"/>
      <c r="F223" s="419"/>
      <c r="G223" s="419"/>
      <c r="H223" s="420">
        <f t="shared" si="2"/>
        <v>0</v>
      </c>
      <c r="I223" s="420" t="str">
        <f t="shared" si="3"/>
        <v/>
      </c>
      <c r="J223" s="113"/>
      <c r="K223" s="114"/>
      <c r="L223" s="15"/>
      <c r="M223" s="13"/>
      <c r="N223" s="15"/>
      <c r="O223" s="15"/>
      <c r="P223" s="15"/>
      <c r="Q223" s="15"/>
      <c r="R223" s="15"/>
    </row>
    <row r="224" ht="15.75" customHeight="1">
      <c r="A224" s="122"/>
      <c r="B224" s="112"/>
      <c r="C224" s="113"/>
      <c r="D224" s="113"/>
      <c r="E224" s="113"/>
      <c r="F224" s="419"/>
      <c r="G224" s="419"/>
      <c r="H224" s="420">
        <f t="shared" si="2"/>
        <v>0</v>
      </c>
      <c r="I224" s="420" t="str">
        <f t="shared" si="3"/>
        <v/>
      </c>
      <c r="J224" s="113"/>
      <c r="K224" s="114"/>
      <c r="L224" s="15"/>
      <c r="M224" s="13"/>
      <c r="N224" s="15"/>
      <c r="O224" s="15"/>
      <c r="P224" s="15"/>
      <c r="Q224" s="15"/>
      <c r="R224" s="15"/>
    </row>
    <row r="225" ht="15.75" customHeight="1">
      <c r="A225" s="122"/>
      <c r="B225" s="112"/>
      <c r="C225" s="113"/>
      <c r="D225" s="113"/>
      <c r="E225" s="113"/>
      <c r="F225" s="419"/>
      <c r="G225" s="419"/>
      <c r="H225" s="420">
        <f t="shared" si="2"/>
        <v>0</v>
      </c>
      <c r="I225" s="420" t="str">
        <f t="shared" si="3"/>
        <v/>
      </c>
      <c r="J225" s="113"/>
      <c r="K225" s="114"/>
      <c r="L225" s="15"/>
      <c r="M225" s="13"/>
      <c r="N225" s="15"/>
      <c r="O225" s="15"/>
      <c r="P225" s="15"/>
      <c r="Q225" s="15"/>
      <c r="R225" s="15"/>
    </row>
    <row r="226" ht="15.75" customHeight="1">
      <c r="A226" s="122"/>
      <c r="B226" s="112"/>
      <c r="C226" s="113"/>
      <c r="D226" s="113"/>
      <c r="E226" s="113"/>
      <c r="F226" s="419"/>
      <c r="G226" s="419"/>
      <c r="H226" s="420">
        <f t="shared" si="2"/>
        <v>0</v>
      </c>
      <c r="I226" s="420" t="str">
        <f t="shared" si="3"/>
        <v/>
      </c>
      <c r="J226" s="113"/>
      <c r="K226" s="114"/>
      <c r="L226" s="15"/>
      <c r="M226" s="13"/>
      <c r="N226" s="15"/>
      <c r="O226" s="15"/>
      <c r="P226" s="15"/>
      <c r="Q226" s="15"/>
      <c r="R226" s="15"/>
    </row>
    <row r="227" ht="15.75" customHeight="1">
      <c r="A227" s="122"/>
      <c r="B227" s="112"/>
      <c r="C227" s="113"/>
      <c r="D227" s="113"/>
      <c r="E227" s="113"/>
      <c r="F227" s="419"/>
      <c r="G227" s="419"/>
      <c r="H227" s="420">
        <f t="shared" si="2"/>
        <v>0</v>
      </c>
      <c r="I227" s="420" t="str">
        <f t="shared" si="3"/>
        <v/>
      </c>
      <c r="J227" s="113"/>
      <c r="K227" s="114"/>
      <c r="L227" s="15"/>
      <c r="M227" s="13"/>
      <c r="N227" s="15"/>
      <c r="O227" s="15"/>
      <c r="P227" s="15"/>
      <c r="Q227" s="15"/>
      <c r="R227" s="15"/>
    </row>
    <row r="228" ht="15.75" customHeight="1">
      <c r="A228" s="122"/>
      <c r="B228" s="112"/>
      <c r="C228" s="113"/>
      <c r="D228" s="113"/>
      <c r="E228" s="113"/>
      <c r="F228" s="419"/>
      <c r="G228" s="419"/>
      <c r="H228" s="420">
        <f t="shared" si="2"/>
        <v>0</v>
      </c>
      <c r="I228" s="420" t="str">
        <f t="shared" si="3"/>
        <v/>
      </c>
      <c r="J228" s="113"/>
      <c r="K228" s="114"/>
      <c r="L228" s="15"/>
      <c r="M228" s="13"/>
      <c r="N228" s="15"/>
      <c r="O228" s="15"/>
      <c r="P228" s="15"/>
      <c r="Q228" s="15"/>
      <c r="R228" s="15"/>
    </row>
    <row r="229" ht="15.75" customHeight="1">
      <c r="A229" s="122"/>
      <c r="B229" s="112"/>
      <c r="C229" s="113"/>
      <c r="D229" s="113"/>
      <c r="E229" s="113"/>
      <c r="F229" s="419"/>
      <c r="G229" s="419"/>
      <c r="H229" s="420">
        <f t="shared" si="2"/>
        <v>0</v>
      </c>
      <c r="I229" s="420" t="str">
        <f t="shared" si="3"/>
        <v/>
      </c>
      <c r="J229" s="113"/>
      <c r="K229" s="114"/>
      <c r="L229" s="15"/>
      <c r="M229" s="13"/>
      <c r="N229" s="15"/>
      <c r="O229" s="15"/>
      <c r="P229" s="15"/>
      <c r="Q229" s="15"/>
      <c r="R229" s="15"/>
    </row>
    <row r="230" ht="15.75" customHeight="1">
      <c r="A230" s="122"/>
      <c r="B230" s="112"/>
      <c r="C230" s="113"/>
      <c r="D230" s="113"/>
      <c r="E230" s="113"/>
      <c r="F230" s="419"/>
      <c r="G230" s="419"/>
      <c r="H230" s="420">
        <f t="shared" si="2"/>
        <v>0</v>
      </c>
      <c r="I230" s="420" t="str">
        <f t="shared" si="3"/>
        <v/>
      </c>
      <c r="J230" s="113"/>
      <c r="K230" s="114"/>
      <c r="L230" s="15"/>
      <c r="M230" s="13"/>
      <c r="N230" s="15"/>
      <c r="O230" s="15"/>
      <c r="P230" s="15"/>
      <c r="Q230" s="15"/>
      <c r="R230" s="15"/>
    </row>
    <row r="231" ht="15.75" customHeight="1">
      <c r="A231" s="122"/>
      <c r="B231" s="112"/>
      <c r="C231" s="113"/>
      <c r="D231" s="113"/>
      <c r="E231" s="113"/>
      <c r="F231" s="419"/>
      <c r="G231" s="419"/>
      <c r="H231" s="420">
        <f t="shared" si="2"/>
        <v>0</v>
      </c>
      <c r="I231" s="420" t="str">
        <f t="shared" si="3"/>
        <v/>
      </c>
      <c r="J231" s="113"/>
      <c r="K231" s="114"/>
      <c r="L231" s="15"/>
      <c r="M231" s="13"/>
      <c r="N231" s="15"/>
      <c r="O231" s="15"/>
      <c r="P231" s="15"/>
      <c r="Q231" s="15"/>
      <c r="R231" s="15"/>
    </row>
    <row r="232" ht="15.75" customHeight="1">
      <c r="A232" s="122"/>
      <c r="B232" s="112"/>
      <c r="C232" s="113"/>
      <c r="D232" s="113"/>
      <c r="E232" s="113"/>
      <c r="F232" s="419"/>
      <c r="G232" s="419"/>
      <c r="H232" s="420">
        <f t="shared" si="2"/>
        <v>0</v>
      </c>
      <c r="I232" s="420" t="str">
        <f t="shared" si="3"/>
        <v/>
      </c>
      <c r="J232" s="113"/>
      <c r="K232" s="114"/>
      <c r="L232" s="15"/>
      <c r="M232" s="13"/>
      <c r="N232" s="15"/>
      <c r="O232" s="15"/>
      <c r="P232" s="15"/>
      <c r="Q232" s="15"/>
      <c r="R232" s="15"/>
    </row>
    <row r="233" ht="15.75" customHeight="1">
      <c r="A233" s="122"/>
      <c r="B233" s="112"/>
      <c r="C233" s="113"/>
      <c r="D233" s="113"/>
      <c r="E233" s="113"/>
      <c r="F233" s="419"/>
      <c r="G233" s="419"/>
      <c r="H233" s="420">
        <f t="shared" si="2"/>
        <v>0</v>
      </c>
      <c r="I233" s="420" t="str">
        <f t="shared" si="3"/>
        <v/>
      </c>
      <c r="J233" s="113"/>
      <c r="K233" s="114"/>
      <c r="L233" s="15"/>
      <c r="M233" s="13"/>
      <c r="N233" s="15"/>
      <c r="O233" s="15"/>
      <c r="P233" s="15"/>
      <c r="Q233" s="15"/>
      <c r="R233" s="15"/>
    </row>
    <row r="234" ht="15.75" customHeight="1">
      <c r="A234" s="122"/>
      <c r="B234" s="112"/>
      <c r="C234" s="113"/>
      <c r="D234" s="113"/>
      <c r="E234" s="113"/>
      <c r="F234" s="419"/>
      <c r="G234" s="419"/>
      <c r="H234" s="420">
        <f t="shared" si="2"/>
        <v>0</v>
      </c>
      <c r="I234" s="420" t="str">
        <f t="shared" si="3"/>
        <v/>
      </c>
      <c r="J234" s="113"/>
      <c r="K234" s="114"/>
      <c r="L234" s="15"/>
      <c r="M234" s="13"/>
      <c r="N234" s="15"/>
      <c r="O234" s="15"/>
      <c r="P234" s="15"/>
      <c r="Q234" s="15"/>
      <c r="R234" s="15"/>
    </row>
    <row r="235" ht="15.75" customHeight="1">
      <c r="A235" s="122"/>
      <c r="B235" s="112"/>
      <c r="C235" s="113"/>
      <c r="D235" s="113"/>
      <c r="E235" s="113"/>
      <c r="F235" s="419"/>
      <c r="G235" s="419"/>
      <c r="H235" s="420">
        <f t="shared" si="2"/>
        <v>0</v>
      </c>
      <c r="I235" s="420" t="str">
        <f t="shared" si="3"/>
        <v/>
      </c>
      <c r="J235" s="113"/>
      <c r="K235" s="114"/>
      <c r="L235" s="15"/>
      <c r="M235" s="13"/>
      <c r="N235" s="15"/>
      <c r="O235" s="15"/>
      <c r="P235" s="15"/>
      <c r="Q235" s="15"/>
      <c r="R235" s="15"/>
    </row>
    <row r="236" ht="15.75" customHeight="1">
      <c r="A236" s="122"/>
      <c r="B236" s="112"/>
      <c r="C236" s="113"/>
      <c r="D236" s="113"/>
      <c r="E236" s="113"/>
      <c r="F236" s="419"/>
      <c r="G236" s="419"/>
      <c r="H236" s="420">
        <f t="shared" si="2"/>
        <v>0</v>
      </c>
      <c r="I236" s="420" t="str">
        <f t="shared" si="3"/>
        <v/>
      </c>
      <c r="J236" s="113"/>
      <c r="K236" s="114"/>
      <c r="L236" s="15"/>
      <c r="M236" s="13"/>
      <c r="N236" s="15"/>
      <c r="O236" s="15"/>
      <c r="P236" s="15"/>
      <c r="Q236" s="15"/>
      <c r="R236" s="15"/>
    </row>
    <row r="237" ht="15.75" customHeight="1">
      <c r="A237" s="122"/>
      <c r="B237" s="112"/>
      <c r="C237" s="113"/>
      <c r="D237" s="113"/>
      <c r="E237" s="113"/>
      <c r="F237" s="419"/>
      <c r="G237" s="419"/>
      <c r="H237" s="420">
        <f t="shared" si="2"/>
        <v>0</v>
      </c>
      <c r="I237" s="420" t="str">
        <f t="shared" si="3"/>
        <v/>
      </c>
      <c r="J237" s="113"/>
      <c r="K237" s="114"/>
      <c r="L237" s="15"/>
      <c r="M237" s="13"/>
      <c r="N237" s="15"/>
      <c r="O237" s="15"/>
      <c r="P237" s="15"/>
      <c r="Q237" s="15"/>
      <c r="R237" s="15"/>
    </row>
    <row r="238" ht="15.75" customHeight="1">
      <c r="A238" s="122"/>
      <c r="B238" s="112"/>
      <c r="C238" s="113"/>
      <c r="D238" s="113"/>
      <c r="E238" s="113"/>
      <c r="F238" s="419"/>
      <c r="G238" s="419"/>
      <c r="H238" s="420">
        <f t="shared" si="2"/>
        <v>0</v>
      </c>
      <c r="I238" s="420" t="str">
        <f t="shared" si="3"/>
        <v/>
      </c>
      <c r="J238" s="113"/>
      <c r="K238" s="114"/>
      <c r="L238" s="15"/>
      <c r="M238" s="13"/>
      <c r="N238" s="15"/>
      <c r="O238" s="15"/>
      <c r="P238" s="15"/>
      <c r="Q238" s="15"/>
      <c r="R238" s="15"/>
    </row>
    <row r="239" ht="15.75" customHeight="1">
      <c r="A239" s="122"/>
      <c r="B239" s="112"/>
      <c r="C239" s="113"/>
      <c r="D239" s="113"/>
      <c r="E239" s="113"/>
      <c r="F239" s="419"/>
      <c r="G239" s="419"/>
      <c r="H239" s="420">
        <f t="shared" si="2"/>
        <v>0</v>
      </c>
      <c r="I239" s="420" t="str">
        <f t="shared" si="3"/>
        <v/>
      </c>
      <c r="J239" s="113"/>
      <c r="K239" s="114"/>
      <c r="L239" s="15"/>
      <c r="M239" s="13"/>
      <c r="N239" s="15"/>
      <c r="O239" s="15"/>
      <c r="P239" s="15"/>
      <c r="Q239" s="15"/>
      <c r="R239" s="15"/>
    </row>
    <row r="240" ht="15.75" customHeight="1">
      <c r="A240" s="122"/>
      <c r="B240" s="112"/>
      <c r="C240" s="113"/>
      <c r="D240" s="113"/>
      <c r="E240" s="113"/>
      <c r="F240" s="419"/>
      <c r="G240" s="419"/>
      <c r="H240" s="420">
        <f t="shared" si="2"/>
        <v>0</v>
      </c>
      <c r="I240" s="420" t="str">
        <f t="shared" si="3"/>
        <v/>
      </c>
      <c r="J240" s="113"/>
      <c r="K240" s="114"/>
      <c r="L240" s="15"/>
      <c r="M240" s="13"/>
      <c r="N240" s="15"/>
      <c r="O240" s="15"/>
      <c r="P240" s="15"/>
      <c r="Q240" s="15"/>
      <c r="R240" s="15"/>
    </row>
    <row r="241" ht="15.75" customHeight="1">
      <c r="A241" s="122"/>
      <c r="B241" s="112"/>
      <c r="C241" s="113"/>
      <c r="D241" s="113"/>
      <c r="E241" s="113"/>
      <c r="F241" s="419"/>
      <c r="G241" s="419"/>
      <c r="H241" s="420">
        <f t="shared" si="2"/>
        <v>0</v>
      </c>
      <c r="I241" s="420" t="str">
        <f t="shared" si="3"/>
        <v/>
      </c>
      <c r="J241" s="113"/>
      <c r="K241" s="114"/>
      <c r="L241" s="15"/>
      <c r="M241" s="13"/>
      <c r="N241" s="15"/>
      <c r="O241" s="15"/>
      <c r="P241" s="15"/>
      <c r="Q241" s="15"/>
      <c r="R241" s="15"/>
    </row>
    <row r="242" ht="15.75" customHeight="1">
      <c r="A242" s="122"/>
      <c r="B242" s="112"/>
      <c r="C242" s="113"/>
      <c r="D242" s="113"/>
      <c r="E242" s="113"/>
      <c r="F242" s="419"/>
      <c r="G242" s="419"/>
      <c r="H242" s="420">
        <f t="shared" si="2"/>
        <v>0</v>
      </c>
      <c r="I242" s="420" t="str">
        <f t="shared" si="3"/>
        <v/>
      </c>
      <c r="J242" s="113"/>
      <c r="K242" s="114"/>
      <c r="L242" s="15"/>
      <c r="M242" s="13"/>
      <c r="N242" s="15"/>
      <c r="O242" s="15"/>
      <c r="P242" s="15"/>
      <c r="Q242" s="15"/>
      <c r="R242" s="15"/>
    </row>
    <row r="243" ht="15.75" customHeight="1">
      <c r="A243" s="122"/>
      <c r="B243" s="112"/>
      <c r="C243" s="113"/>
      <c r="D243" s="113"/>
      <c r="E243" s="113"/>
      <c r="F243" s="419"/>
      <c r="G243" s="419"/>
      <c r="H243" s="420">
        <f t="shared" si="2"/>
        <v>0</v>
      </c>
      <c r="I243" s="420" t="str">
        <f t="shared" si="3"/>
        <v/>
      </c>
      <c r="J243" s="113"/>
      <c r="K243" s="114"/>
      <c r="L243" s="15"/>
      <c r="M243" s="13"/>
      <c r="N243" s="15"/>
      <c r="O243" s="15"/>
      <c r="P243" s="15"/>
      <c r="Q243" s="15"/>
      <c r="R243" s="15"/>
    </row>
    <row r="244" ht="15.75" customHeight="1">
      <c r="A244" s="122"/>
      <c r="B244" s="112"/>
      <c r="C244" s="113"/>
      <c r="D244" s="113"/>
      <c r="E244" s="113"/>
      <c r="F244" s="419"/>
      <c r="G244" s="419"/>
      <c r="H244" s="420">
        <f t="shared" si="2"/>
        <v>0</v>
      </c>
      <c r="I244" s="420" t="str">
        <f t="shared" si="3"/>
        <v/>
      </c>
      <c r="J244" s="113"/>
      <c r="K244" s="114"/>
      <c r="L244" s="15"/>
      <c r="M244" s="13"/>
      <c r="N244" s="15"/>
      <c r="O244" s="15"/>
      <c r="P244" s="15"/>
      <c r="Q244" s="15"/>
      <c r="R244" s="15"/>
    </row>
    <row r="245" ht="15.75" customHeight="1">
      <c r="A245" s="122"/>
      <c r="B245" s="112"/>
      <c r="C245" s="113"/>
      <c r="D245" s="113"/>
      <c r="E245" s="113"/>
      <c r="F245" s="419"/>
      <c r="G245" s="419"/>
      <c r="H245" s="420">
        <f t="shared" si="2"/>
        <v>0</v>
      </c>
      <c r="I245" s="420" t="str">
        <f t="shared" si="3"/>
        <v/>
      </c>
      <c r="J245" s="113"/>
      <c r="K245" s="114"/>
      <c r="L245" s="15"/>
      <c r="M245" s="13"/>
      <c r="N245" s="15"/>
      <c r="O245" s="15"/>
      <c r="P245" s="15"/>
      <c r="Q245" s="15"/>
      <c r="R245" s="15"/>
    </row>
    <row r="246" ht="15.75" customHeight="1">
      <c r="A246" s="122"/>
      <c r="B246" s="112"/>
      <c r="C246" s="113"/>
      <c r="D246" s="113"/>
      <c r="E246" s="113"/>
      <c r="F246" s="419"/>
      <c r="G246" s="419"/>
      <c r="H246" s="420">
        <f t="shared" si="2"/>
        <v>0</v>
      </c>
      <c r="I246" s="420" t="str">
        <f t="shared" si="3"/>
        <v/>
      </c>
      <c r="J246" s="113"/>
      <c r="K246" s="114"/>
      <c r="L246" s="15"/>
      <c r="M246" s="13"/>
      <c r="N246" s="15"/>
      <c r="O246" s="15"/>
      <c r="P246" s="15"/>
      <c r="Q246" s="15"/>
      <c r="R246" s="15"/>
    </row>
    <row r="247" ht="15.75" customHeight="1">
      <c r="A247" s="122"/>
      <c r="B247" s="112"/>
      <c r="C247" s="113"/>
      <c r="D247" s="113"/>
      <c r="E247" s="113"/>
      <c r="F247" s="419"/>
      <c r="G247" s="419"/>
      <c r="H247" s="420">
        <f t="shared" si="2"/>
        <v>0</v>
      </c>
      <c r="I247" s="420" t="str">
        <f t="shared" si="3"/>
        <v/>
      </c>
      <c r="J247" s="113"/>
      <c r="K247" s="114"/>
      <c r="L247" s="15"/>
      <c r="M247" s="13"/>
      <c r="N247" s="15"/>
      <c r="O247" s="15"/>
      <c r="P247" s="15"/>
      <c r="Q247" s="15"/>
      <c r="R247" s="15"/>
    </row>
    <row r="248" ht="15.75" customHeight="1">
      <c r="A248" s="122"/>
      <c r="B248" s="112"/>
      <c r="C248" s="113"/>
      <c r="D248" s="113"/>
      <c r="E248" s="113"/>
      <c r="F248" s="419"/>
      <c r="G248" s="419"/>
      <c r="H248" s="420">
        <f t="shared" si="2"/>
        <v>0</v>
      </c>
      <c r="I248" s="420" t="str">
        <f t="shared" si="3"/>
        <v/>
      </c>
      <c r="J248" s="113"/>
      <c r="K248" s="114"/>
      <c r="L248" s="15"/>
      <c r="M248" s="13"/>
      <c r="N248" s="15"/>
      <c r="O248" s="15"/>
      <c r="P248" s="15"/>
      <c r="Q248" s="15"/>
      <c r="R248" s="15"/>
    </row>
    <row r="249" ht="15.75" customHeight="1">
      <c r="A249" s="122"/>
      <c r="B249" s="112"/>
      <c r="C249" s="113"/>
      <c r="D249" s="113"/>
      <c r="E249" s="113"/>
      <c r="F249" s="419"/>
      <c r="G249" s="419"/>
      <c r="H249" s="420">
        <f t="shared" si="2"/>
        <v>0</v>
      </c>
      <c r="I249" s="420" t="str">
        <f t="shared" si="3"/>
        <v/>
      </c>
      <c r="J249" s="113"/>
      <c r="K249" s="114"/>
      <c r="L249" s="15"/>
      <c r="M249" s="13"/>
      <c r="N249" s="15"/>
      <c r="O249" s="15"/>
      <c r="P249" s="15"/>
      <c r="Q249" s="15"/>
      <c r="R249" s="15"/>
    </row>
    <row r="250" ht="15.75" customHeight="1">
      <c r="A250" s="122"/>
      <c r="B250" s="112"/>
      <c r="C250" s="113"/>
      <c r="D250" s="113"/>
      <c r="E250" s="113"/>
      <c r="F250" s="419"/>
      <c r="G250" s="419"/>
      <c r="H250" s="420">
        <f t="shared" si="2"/>
        <v>0</v>
      </c>
      <c r="I250" s="420" t="str">
        <f t="shared" si="3"/>
        <v/>
      </c>
      <c r="J250" s="113"/>
      <c r="K250" s="114"/>
      <c r="L250" s="15"/>
      <c r="M250" s="13"/>
      <c r="N250" s="15"/>
      <c r="O250" s="15"/>
      <c r="P250" s="15"/>
      <c r="Q250" s="15"/>
      <c r="R250" s="15"/>
    </row>
    <row r="251" ht="15.75" customHeight="1">
      <c r="A251" s="122"/>
      <c r="B251" s="112"/>
      <c r="C251" s="113"/>
      <c r="D251" s="113"/>
      <c r="E251" s="113"/>
      <c r="F251" s="419"/>
      <c r="G251" s="419"/>
      <c r="H251" s="420">
        <f t="shared" si="2"/>
        <v>0</v>
      </c>
      <c r="I251" s="420" t="str">
        <f t="shared" si="3"/>
        <v/>
      </c>
      <c r="J251" s="113"/>
      <c r="K251" s="114"/>
      <c r="L251" s="15"/>
      <c r="M251" s="13"/>
      <c r="N251" s="15"/>
      <c r="O251" s="15"/>
      <c r="P251" s="15"/>
      <c r="Q251" s="15"/>
      <c r="R251" s="15"/>
    </row>
    <row r="252" ht="15.75" customHeight="1">
      <c r="A252" s="122"/>
      <c r="B252" s="112"/>
      <c r="C252" s="113"/>
      <c r="D252" s="113"/>
      <c r="E252" s="113"/>
      <c r="F252" s="419"/>
      <c r="G252" s="419"/>
      <c r="H252" s="420">
        <f t="shared" si="2"/>
        <v>0</v>
      </c>
      <c r="I252" s="420" t="str">
        <f t="shared" si="3"/>
        <v/>
      </c>
      <c r="J252" s="113"/>
      <c r="K252" s="114"/>
      <c r="L252" s="15"/>
      <c r="M252" s="13"/>
      <c r="N252" s="15"/>
      <c r="O252" s="15"/>
      <c r="P252" s="15"/>
      <c r="Q252" s="15"/>
      <c r="R252" s="15"/>
    </row>
    <row r="253" ht="15.75" customHeight="1">
      <c r="A253" s="122"/>
      <c r="B253" s="112"/>
      <c r="C253" s="113"/>
      <c r="D253" s="113"/>
      <c r="E253" s="113"/>
      <c r="F253" s="419"/>
      <c r="G253" s="419"/>
      <c r="H253" s="420">
        <f t="shared" si="2"/>
        <v>0</v>
      </c>
      <c r="I253" s="420" t="str">
        <f t="shared" si="3"/>
        <v/>
      </c>
      <c r="J253" s="113"/>
      <c r="K253" s="114"/>
      <c r="L253" s="15"/>
      <c r="M253" s="13"/>
      <c r="N253" s="15"/>
      <c r="O253" s="15"/>
      <c r="P253" s="15"/>
      <c r="Q253" s="15"/>
      <c r="R253" s="15"/>
    </row>
    <row r="254" ht="15.75" customHeight="1">
      <c r="A254" s="122"/>
      <c r="B254" s="112"/>
      <c r="C254" s="113"/>
      <c r="D254" s="113"/>
      <c r="E254" s="113"/>
      <c r="F254" s="419"/>
      <c r="G254" s="419"/>
      <c r="H254" s="420">
        <f t="shared" si="2"/>
        <v>0</v>
      </c>
      <c r="I254" s="420" t="str">
        <f t="shared" si="3"/>
        <v/>
      </c>
      <c r="J254" s="113"/>
      <c r="K254" s="114"/>
      <c r="L254" s="15"/>
      <c r="M254" s="13"/>
      <c r="N254" s="15"/>
      <c r="O254" s="15"/>
      <c r="P254" s="15"/>
      <c r="Q254" s="15"/>
      <c r="R254" s="15"/>
    </row>
    <row r="255" ht="15.75" customHeight="1">
      <c r="A255" s="122"/>
      <c r="B255" s="112"/>
      <c r="C255" s="113"/>
      <c r="D255" s="113"/>
      <c r="E255" s="113"/>
      <c r="F255" s="419"/>
      <c r="G255" s="419"/>
      <c r="H255" s="420">
        <f t="shared" si="2"/>
        <v>0</v>
      </c>
      <c r="I255" s="420" t="str">
        <f t="shared" si="3"/>
        <v/>
      </c>
      <c r="J255" s="113"/>
      <c r="K255" s="114"/>
      <c r="L255" s="15"/>
      <c r="M255" s="13"/>
      <c r="N255" s="15"/>
      <c r="O255" s="15"/>
      <c r="P255" s="15"/>
      <c r="Q255" s="15"/>
      <c r="R255" s="15"/>
    </row>
    <row r="256" ht="15.75" customHeight="1">
      <c r="A256" s="122"/>
      <c r="B256" s="112"/>
      <c r="C256" s="113"/>
      <c r="D256" s="113"/>
      <c r="E256" s="113"/>
      <c r="F256" s="419"/>
      <c r="G256" s="419"/>
      <c r="H256" s="420">
        <f t="shared" si="2"/>
        <v>0</v>
      </c>
      <c r="I256" s="420" t="str">
        <f t="shared" si="3"/>
        <v/>
      </c>
      <c r="J256" s="113"/>
      <c r="K256" s="114"/>
      <c r="L256" s="15"/>
      <c r="M256" s="13"/>
      <c r="N256" s="15"/>
      <c r="O256" s="15"/>
      <c r="P256" s="15"/>
      <c r="Q256" s="15"/>
      <c r="R256" s="15"/>
    </row>
    <row r="257" ht="15.75" customHeight="1">
      <c r="A257" s="122"/>
      <c r="B257" s="112"/>
      <c r="C257" s="113"/>
      <c r="D257" s="113"/>
      <c r="E257" s="113"/>
      <c r="F257" s="419"/>
      <c r="G257" s="419"/>
      <c r="H257" s="420">
        <f t="shared" si="2"/>
        <v>0</v>
      </c>
      <c r="I257" s="420" t="str">
        <f t="shared" si="3"/>
        <v/>
      </c>
      <c r="J257" s="113"/>
      <c r="K257" s="114"/>
      <c r="L257" s="15"/>
      <c r="M257" s="13"/>
      <c r="N257" s="15"/>
      <c r="O257" s="15"/>
      <c r="P257" s="15"/>
      <c r="Q257" s="15"/>
      <c r="R257" s="15"/>
    </row>
    <row r="258" ht="15.75" customHeight="1">
      <c r="A258" s="122"/>
      <c r="B258" s="112"/>
      <c r="C258" s="113"/>
      <c r="D258" s="113"/>
      <c r="E258" s="113"/>
      <c r="F258" s="419"/>
      <c r="G258" s="419"/>
      <c r="H258" s="420">
        <f t="shared" si="2"/>
        <v>0</v>
      </c>
      <c r="I258" s="420" t="str">
        <f t="shared" si="3"/>
        <v/>
      </c>
      <c r="J258" s="113"/>
      <c r="K258" s="114"/>
      <c r="L258" s="15"/>
      <c r="M258" s="13"/>
      <c r="N258" s="15"/>
      <c r="O258" s="15"/>
      <c r="P258" s="15"/>
      <c r="Q258" s="15"/>
      <c r="R258" s="15"/>
    </row>
    <row r="259" ht="15.75" customHeight="1">
      <c r="A259" s="122"/>
      <c r="B259" s="112"/>
      <c r="C259" s="113"/>
      <c r="D259" s="113"/>
      <c r="E259" s="113"/>
      <c r="F259" s="419"/>
      <c r="G259" s="419"/>
      <c r="H259" s="420">
        <f t="shared" si="2"/>
        <v>0</v>
      </c>
      <c r="I259" s="420" t="str">
        <f t="shared" si="3"/>
        <v/>
      </c>
      <c r="J259" s="113"/>
      <c r="K259" s="114"/>
      <c r="L259" s="15"/>
      <c r="M259" s="13"/>
      <c r="N259" s="15"/>
      <c r="O259" s="15"/>
      <c r="P259" s="15"/>
      <c r="Q259" s="15"/>
      <c r="R259" s="15"/>
    </row>
    <row r="260" ht="15.75" customHeight="1">
      <c r="A260" s="122"/>
      <c r="B260" s="112"/>
      <c r="C260" s="113"/>
      <c r="D260" s="113"/>
      <c r="E260" s="113"/>
      <c r="F260" s="419"/>
      <c r="G260" s="419"/>
      <c r="H260" s="420">
        <f t="shared" si="2"/>
        <v>0</v>
      </c>
      <c r="I260" s="420" t="str">
        <f t="shared" si="3"/>
        <v/>
      </c>
      <c r="J260" s="113"/>
      <c r="K260" s="114"/>
      <c r="L260" s="15"/>
      <c r="M260" s="13"/>
      <c r="N260" s="15"/>
      <c r="O260" s="15"/>
      <c r="P260" s="15"/>
      <c r="Q260" s="15"/>
      <c r="R260" s="15"/>
    </row>
    <row r="261" ht="15.75" customHeight="1">
      <c r="A261" s="122"/>
      <c r="B261" s="112"/>
      <c r="C261" s="113"/>
      <c r="D261" s="113"/>
      <c r="E261" s="113"/>
      <c r="F261" s="419"/>
      <c r="G261" s="419"/>
      <c r="H261" s="420">
        <f t="shared" si="2"/>
        <v>0</v>
      </c>
      <c r="I261" s="420" t="str">
        <f t="shared" si="3"/>
        <v/>
      </c>
      <c r="J261" s="113"/>
      <c r="K261" s="114"/>
      <c r="L261" s="15"/>
      <c r="M261" s="13"/>
      <c r="N261" s="15"/>
      <c r="O261" s="15"/>
      <c r="P261" s="15"/>
      <c r="Q261" s="15"/>
      <c r="R261" s="15"/>
    </row>
    <row r="262" ht="15.75" customHeight="1">
      <c r="A262" s="122"/>
      <c r="B262" s="112"/>
      <c r="C262" s="113"/>
      <c r="D262" s="113"/>
      <c r="E262" s="113"/>
      <c r="F262" s="419"/>
      <c r="G262" s="419"/>
      <c r="H262" s="420">
        <f t="shared" si="2"/>
        <v>0</v>
      </c>
      <c r="I262" s="420" t="str">
        <f t="shared" si="3"/>
        <v/>
      </c>
      <c r="J262" s="113"/>
      <c r="K262" s="114"/>
      <c r="L262" s="15"/>
      <c r="M262" s="13"/>
      <c r="N262" s="15"/>
      <c r="O262" s="15"/>
      <c r="P262" s="15"/>
      <c r="Q262" s="15"/>
      <c r="R262" s="15"/>
    </row>
    <row r="263" ht="15.75" customHeight="1">
      <c r="A263" s="122"/>
      <c r="B263" s="112"/>
      <c r="C263" s="113"/>
      <c r="D263" s="113"/>
      <c r="E263" s="113"/>
      <c r="F263" s="419"/>
      <c r="G263" s="419"/>
      <c r="H263" s="420">
        <f t="shared" si="2"/>
        <v>0</v>
      </c>
      <c r="I263" s="420" t="str">
        <f t="shared" si="3"/>
        <v/>
      </c>
      <c r="J263" s="113"/>
      <c r="K263" s="114"/>
      <c r="L263" s="15"/>
      <c r="M263" s="13"/>
      <c r="N263" s="15"/>
      <c r="O263" s="15"/>
      <c r="P263" s="15"/>
      <c r="Q263" s="15"/>
      <c r="R263" s="15"/>
    </row>
    <row r="264" ht="15.75" customHeight="1">
      <c r="A264" s="122"/>
      <c r="B264" s="112"/>
      <c r="C264" s="113"/>
      <c r="D264" s="113"/>
      <c r="E264" s="113"/>
      <c r="F264" s="419"/>
      <c r="G264" s="419"/>
      <c r="H264" s="420">
        <f t="shared" si="2"/>
        <v>0</v>
      </c>
      <c r="I264" s="420" t="str">
        <f t="shared" si="3"/>
        <v/>
      </c>
      <c r="J264" s="113"/>
      <c r="K264" s="114"/>
      <c r="L264" s="15"/>
      <c r="M264" s="13"/>
      <c r="N264" s="15"/>
      <c r="O264" s="15"/>
      <c r="P264" s="15"/>
      <c r="Q264" s="15"/>
      <c r="R264" s="15"/>
    </row>
    <row r="265" ht="15.75" customHeight="1">
      <c r="A265" s="122"/>
      <c r="B265" s="112"/>
      <c r="C265" s="113"/>
      <c r="D265" s="113"/>
      <c r="E265" s="113"/>
      <c r="F265" s="419"/>
      <c r="G265" s="419"/>
      <c r="H265" s="420">
        <f t="shared" si="2"/>
        <v>0</v>
      </c>
      <c r="I265" s="420" t="str">
        <f t="shared" si="3"/>
        <v/>
      </c>
      <c r="J265" s="113"/>
      <c r="K265" s="114"/>
      <c r="L265" s="15"/>
      <c r="M265" s="13"/>
      <c r="N265" s="15"/>
      <c r="O265" s="15"/>
      <c r="P265" s="15"/>
      <c r="Q265" s="15"/>
      <c r="R265" s="15"/>
    </row>
    <row r="266" ht="15.75" customHeight="1">
      <c r="A266" s="122"/>
      <c r="B266" s="112"/>
      <c r="C266" s="113"/>
      <c r="D266" s="113"/>
      <c r="E266" s="113"/>
      <c r="F266" s="419"/>
      <c r="G266" s="419"/>
      <c r="H266" s="420">
        <f t="shared" si="2"/>
        <v>0</v>
      </c>
      <c r="I266" s="420" t="str">
        <f t="shared" si="3"/>
        <v/>
      </c>
      <c r="J266" s="113"/>
      <c r="K266" s="114"/>
      <c r="L266" s="15"/>
      <c r="M266" s="13"/>
      <c r="N266" s="15"/>
      <c r="O266" s="15"/>
      <c r="P266" s="15"/>
      <c r="Q266" s="15"/>
      <c r="R266" s="15"/>
    </row>
    <row r="267" ht="15.75" customHeight="1">
      <c r="A267" s="122"/>
      <c r="B267" s="112"/>
      <c r="C267" s="113"/>
      <c r="D267" s="113"/>
      <c r="E267" s="113"/>
      <c r="F267" s="419"/>
      <c r="G267" s="419"/>
      <c r="H267" s="420">
        <f t="shared" si="2"/>
        <v>0</v>
      </c>
      <c r="I267" s="420" t="str">
        <f t="shared" si="3"/>
        <v/>
      </c>
      <c r="J267" s="113"/>
      <c r="K267" s="114"/>
      <c r="L267" s="15"/>
      <c r="M267" s="13"/>
      <c r="N267" s="15"/>
      <c r="O267" s="15"/>
      <c r="P267" s="15"/>
      <c r="Q267" s="15"/>
      <c r="R267" s="15"/>
    </row>
    <row r="268" ht="15.75" customHeight="1">
      <c r="A268" s="122"/>
      <c r="B268" s="112"/>
      <c r="C268" s="113"/>
      <c r="D268" s="113"/>
      <c r="E268" s="113"/>
      <c r="F268" s="419"/>
      <c r="G268" s="419"/>
      <c r="H268" s="420">
        <f t="shared" si="2"/>
        <v>0</v>
      </c>
      <c r="I268" s="420" t="str">
        <f t="shared" si="3"/>
        <v/>
      </c>
      <c r="J268" s="113"/>
      <c r="K268" s="114"/>
      <c r="L268" s="15"/>
      <c r="M268" s="13"/>
      <c r="N268" s="15"/>
      <c r="O268" s="15"/>
      <c r="P268" s="15"/>
      <c r="Q268" s="15"/>
      <c r="R268" s="15"/>
    </row>
    <row r="269" ht="15.75" customHeight="1">
      <c r="A269" s="122"/>
      <c r="B269" s="112"/>
      <c r="C269" s="113"/>
      <c r="D269" s="113"/>
      <c r="E269" s="113"/>
      <c r="F269" s="419"/>
      <c r="G269" s="419"/>
      <c r="H269" s="420">
        <f t="shared" si="2"/>
        <v>0</v>
      </c>
      <c r="I269" s="420" t="str">
        <f t="shared" si="3"/>
        <v/>
      </c>
      <c r="J269" s="113"/>
      <c r="K269" s="114"/>
      <c r="L269" s="15"/>
      <c r="M269" s="13"/>
      <c r="N269" s="15"/>
      <c r="O269" s="15"/>
      <c r="P269" s="15"/>
      <c r="Q269" s="15"/>
      <c r="R269" s="15"/>
    </row>
    <row r="270" ht="15.75" customHeight="1">
      <c r="A270" s="122"/>
      <c r="B270" s="112"/>
      <c r="C270" s="113"/>
      <c r="D270" s="113"/>
      <c r="E270" s="113"/>
      <c r="F270" s="419"/>
      <c r="G270" s="419"/>
      <c r="H270" s="420">
        <f t="shared" si="2"/>
        <v>0</v>
      </c>
      <c r="I270" s="420" t="str">
        <f t="shared" si="3"/>
        <v/>
      </c>
      <c r="J270" s="113"/>
      <c r="K270" s="114"/>
      <c r="L270" s="15"/>
      <c r="M270" s="13"/>
      <c r="N270" s="15"/>
      <c r="O270" s="15"/>
      <c r="P270" s="15"/>
      <c r="Q270" s="15"/>
      <c r="R270" s="15"/>
    </row>
    <row r="271" ht="15.75" customHeight="1">
      <c r="A271" s="122"/>
      <c r="B271" s="112"/>
      <c r="C271" s="113"/>
      <c r="D271" s="113"/>
      <c r="E271" s="113"/>
      <c r="F271" s="419"/>
      <c r="G271" s="419"/>
      <c r="H271" s="420">
        <f t="shared" si="2"/>
        <v>0</v>
      </c>
      <c r="I271" s="420" t="str">
        <f t="shared" si="3"/>
        <v/>
      </c>
      <c r="J271" s="113"/>
      <c r="K271" s="114"/>
      <c r="L271" s="15"/>
      <c r="M271" s="13"/>
      <c r="N271" s="15"/>
      <c r="O271" s="15"/>
      <c r="P271" s="15"/>
      <c r="Q271" s="15"/>
      <c r="R271" s="15"/>
    </row>
    <row r="272" ht="15.75" customHeight="1">
      <c r="A272" s="122"/>
      <c r="B272" s="112"/>
      <c r="C272" s="113"/>
      <c r="D272" s="113"/>
      <c r="E272" s="113"/>
      <c r="F272" s="419"/>
      <c r="G272" s="419"/>
      <c r="H272" s="420">
        <f t="shared" si="2"/>
        <v>0</v>
      </c>
      <c r="I272" s="420" t="str">
        <f t="shared" si="3"/>
        <v/>
      </c>
      <c r="J272" s="113"/>
      <c r="K272" s="114"/>
      <c r="L272" s="15"/>
      <c r="M272" s="13"/>
      <c r="N272" s="15"/>
      <c r="O272" s="15"/>
      <c r="P272" s="15"/>
      <c r="Q272" s="15"/>
      <c r="R272" s="15"/>
    </row>
    <row r="273" ht="15.75" customHeight="1">
      <c r="A273" s="122"/>
      <c r="B273" s="112"/>
      <c r="C273" s="113"/>
      <c r="D273" s="113"/>
      <c r="E273" s="113"/>
      <c r="F273" s="419"/>
      <c r="G273" s="419"/>
      <c r="H273" s="420">
        <f t="shared" si="2"/>
        <v>0</v>
      </c>
      <c r="I273" s="420" t="str">
        <f t="shared" si="3"/>
        <v/>
      </c>
      <c r="J273" s="113"/>
      <c r="K273" s="114"/>
      <c r="L273" s="15"/>
      <c r="M273" s="13"/>
      <c r="N273" s="15"/>
      <c r="O273" s="15"/>
      <c r="P273" s="15"/>
      <c r="Q273" s="15"/>
      <c r="R273" s="15"/>
    </row>
    <row r="274" ht="15.75" customHeight="1">
      <c r="A274" s="122"/>
      <c r="B274" s="112"/>
      <c r="C274" s="113"/>
      <c r="D274" s="113"/>
      <c r="E274" s="113"/>
      <c r="F274" s="419"/>
      <c r="G274" s="419"/>
      <c r="H274" s="420">
        <f t="shared" si="2"/>
        <v>0</v>
      </c>
      <c r="I274" s="420" t="str">
        <f t="shared" si="3"/>
        <v/>
      </c>
      <c r="J274" s="113"/>
      <c r="K274" s="114"/>
      <c r="L274" s="15"/>
      <c r="M274" s="13"/>
      <c r="N274" s="15"/>
      <c r="O274" s="15"/>
      <c r="P274" s="15"/>
      <c r="Q274" s="15"/>
      <c r="R274" s="15"/>
    </row>
    <row r="275" ht="15.75" customHeight="1">
      <c r="A275" s="122"/>
      <c r="B275" s="112"/>
      <c r="C275" s="113"/>
      <c r="D275" s="113"/>
      <c r="E275" s="113"/>
      <c r="F275" s="419"/>
      <c r="G275" s="419"/>
      <c r="H275" s="420">
        <f t="shared" si="2"/>
        <v>0</v>
      </c>
      <c r="I275" s="420" t="str">
        <f t="shared" si="3"/>
        <v/>
      </c>
      <c r="J275" s="113"/>
      <c r="K275" s="114"/>
      <c r="L275" s="15"/>
      <c r="M275" s="13"/>
      <c r="N275" s="15"/>
      <c r="O275" s="15"/>
      <c r="P275" s="15"/>
      <c r="Q275" s="15"/>
      <c r="R275" s="15"/>
    </row>
    <row r="276" ht="15.75" customHeight="1">
      <c r="A276" s="122"/>
      <c r="B276" s="112"/>
      <c r="C276" s="113"/>
      <c r="D276" s="113"/>
      <c r="E276" s="113"/>
      <c r="F276" s="419"/>
      <c r="G276" s="419"/>
      <c r="H276" s="420">
        <f t="shared" si="2"/>
        <v>0</v>
      </c>
      <c r="I276" s="420" t="str">
        <f t="shared" si="3"/>
        <v/>
      </c>
      <c r="J276" s="113"/>
      <c r="K276" s="114"/>
      <c r="L276" s="15"/>
      <c r="M276" s="13"/>
      <c r="N276" s="15"/>
      <c r="O276" s="15"/>
      <c r="P276" s="15"/>
      <c r="Q276" s="15"/>
      <c r="R276" s="15"/>
    </row>
    <row r="277" ht="15.75" customHeight="1">
      <c r="A277" s="122"/>
      <c r="B277" s="112"/>
      <c r="C277" s="113"/>
      <c r="D277" s="113"/>
      <c r="E277" s="113"/>
      <c r="F277" s="419"/>
      <c r="G277" s="419"/>
      <c r="H277" s="420">
        <f t="shared" si="2"/>
        <v>0</v>
      </c>
      <c r="I277" s="420" t="str">
        <f t="shared" si="3"/>
        <v/>
      </c>
      <c r="J277" s="113"/>
      <c r="K277" s="114"/>
      <c r="L277" s="15"/>
      <c r="M277" s="13"/>
      <c r="N277" s="15"/>
      <c r="O277" s="15"/>
      <c r="P277" s="15"/>
      <c r="Q277" s="15"/>
      <c r="R277" s="15"/>
    </row>
    <row r="278" ht="15.75" customHeight="1">
      <c r="A278" s="122"/>
      <c r="B278" s="112"/>
      <c r="C278" s="113"/>
      <c r="D278" s="113"/>
      <c r="E278" s="113"/>
      <c r="F278" s="419"/>
      <c r="G278" s="419"/>
      <c r="H278" s="420">
        <f t="shared" si="2"/>
        <v>0</v>
      </c>
      <c r="I278" s="420" t="str">
        <f t="shared" si="3"/>
        <v/>
      </c>
      <c r="J278" s="113"/>
      <c r="K278" s="114"/>
      <c r="L278" s="15"/>
      <c r="M278" s="13"/>
      <c r="N278" s="15"/>
      <c r="O278" s="15"/>
      <c r="P278" s="15"/>
      <c r="Q278" s="15"/>
      <c r="R278" s="15"/>
    </row>
    <row r="279" ht="15.75" customHeight="1">
      <c r="A279" s="122"/>
      <c r="B279" s="112"/>
      <c r="C279" s="113"/>
      <c r="D279" s="113"/>
      <c r="E279" s="113"/>
      <c r="F279" s="419"/>
      <c r="G279" s="419"/>
      <c r="H279" s="420">
        <f t="shared" si="2"/>
        <v>0</v>
      </c>
      <c r="I279" s="420" t="str">
        <f t="shared" si="3"/>
        <v/>
      </c>
      <c r="J279" s="113"/>
      <c r="K279" s="114"/>
      <c r="L279" s="15"/>
      <c r="M279" s="13"/>
      <c r="N279" s="15"/>
      <c r="O279" s="15"/>
      <c r="P279" s="15"/>
      <c r="Q279" s="15"/>
      <c r="R279" s="15"/>
    </row>
    <row r="280" ht="15.75" customHeight="1">
      <c r="A280" s="122"/>
      <c r="B280" s="112"/>
      <c r="C280" s="113"/>
      <c r="D280" s="113"/>
      <c r="E280" s="113"/>
      <c r="F280" s="419"/>
      <c r="G280" s="419"/>
      <c r="H280" s="420">
        <f t="shared" si="2"/>
        <v>0</v>
      </c>
      <c r="I280" s="420" t="str">
        <f t="shared" si="3"/>
        <v/>
      </c>
      <c r="J280" s="113"/>
      <c r="K280" s="114"/>
      <c r="L280" s="15"/>
      <c r="M280" s="13"/>
      <c r="N280" s="15"/>
      <c r="O280" s="15"/>
      <c r="P280" s="15"/>
      <c r="Q280" s="15"/>
      <c r="R280" s="15"/>
    </row>
    <row r="281" ht="15.75" customHeight="1">
      <c r="A281" s="122"/>
      <c r="B281" s="112"/>
      <c r="C281" s="113"/>
      <c r="D281" s="113"/>
      <c r="E281" s="113"/>
      <c r="F281" s="419"/>
      <c r="G281" s="419"/>
      <c r="H281" s="420">
        <f t="shared" si="2"/>
        <v>0</v>
      </c>
      <c r="I281" s="420" t="str">
        <f t="shared" si="3"/>
        <v/>
      </c>
      <c r="J281" s="113"/>
      <c r="K281" s="114"/>
      <c r="L281" s="15"/>
      <c r="M281" s="13"/>
      <c r="N281" s="15"/>
      <c r="O281" s="15"/>
      <c r="P281" s="15"/>
      <c r="Q281" s="15"/>
      <c r="R281" s="15"/>
    </row>
    <row r="282" ht="15.75" customHeight="1">
      <c r="A282" s="122"/>
      <c r="B282" s="112"/>
      <c r="C282" s="113"/>
      <c r="D282" s="113"/>
      <c r="E282" s="113"/>
      <c r="F282" s="419"/>
      <c r="G282" s="419"/>
      <c r="H282" s="420">
        <f t="shared" si="2"/>
        <v>0</v>
      </c>
      <c r="I282" s="420" t="str">
        <f t="shared" si="3"/>
        <v/>
      </c>
      <c r="J282" s="113"/>
      <c r="K282" s="114"/>
      <c r="L282" s="15"/>
      <c r="M282" s="13"/>
      <c r="N282" s="15"/>
      <c r="O282" s="15"/>
      <c r="P282" s="15"/>
      <c r="Q282" s="15"/>
      <c r="R282" s="15"/>
    </row>
    <row r="283" ht="15.75" customHeight="1">
      <c r="A283" s="122"/>
      <c r="B283" s="112"/>
      <c r="C283" s="113"/>
      <c r="D283" s="113"/>
      <c r="E283" s="113"/>
      <c r="F283" s="419"/>
      <c r="G283" s="419"/>
      <c r="H283" s="420">
        <f t="shared" si="2"/>
        <v>0</v>
      </c>
      <c r="I283" s="420" t="str">
        <f t="shared" si="3"/>
        <v/>
      </c>
      <c r="J283" s="113"/>
      <c r="K283" s="114"/>
      <c r="L283" s="15"/>
      <c r="M283" s="13"/>
      <c r="N283" s="15"/>
      <c r="O283" s="15"/>
      <c r="P283" s="15"/>
      <c r="Q283" s="15"/>
      <c r="R283" s="15"/>
    </row>
    <row r="284" ht="15.75" customHeight="1">
      <c r="A284" s="122"/>
      <c r="B284" s="112"/>
      <c r="C284" s="113"/>
      <c r="D284" s="113"/>
      <c r="E284" s="113"/>
      <c r="F284" s="419"/>
      <c r="G284" s="419"/>
      <c r="H284" s="420">
        <f t="shared" si="2"/>
        <v>0</v>
      </c>
      <c r="I284" s="420" t="str">
        <f t="shared" si="3"/>
        <v/>
      </c>
      <c r="J284" s="113"/>
      <c r="K284" s="114"/>
      <c r="L284" s="15"/>
      <c r="M284" s="13"/>
      <c r="N284" s="15"/>
      <c r="O284" s="15"/>
      <c r="P284" s="15"/>
      <c r="Q284" s="15"/>
      <c r="R284" s="15"/>
    </row>
    <row r="285" ht="15.75" customHeight="1">
      <c r="A285" s="122"/>
      <c r="B285" s="112"/>
      <c r="C285" s="113"/>
      <c r="D285" s="113"/>
      <c r="E285" s="113"/>
      <c r="F285" s="419"/>
      <c r="G285" s="419"/>
      <c r="H285" s="420">
        <f t="shared" si="2"/>
        <v>0</v>
      </c>
      <c r="I285" s="420" t="str">
        <f t="shared" si="3"/>
        <v/>
      </c>
      <c r="J285" s="113"/>
      <c r="K285" s="114"/>
      <c r="L285" s="15"/>
      <c r="M285" s="13"/>
      <c r="N285" s="15"/>
      <c r="O285" s="15"/>
      <c r="P285" s="15"/>
      <c r="Q285" s="15"/>
      <c r="R285" s="15"/>
    </row>
    <row r="286" ht="15.75" customHeight="1">
      <c r="A286" s="122"/>
      <c r="B286" s="112"/>
      <c r="C286" s="113"/>
      <c r="D286" s="113"/>
      <c r="E286" s="113"/>
      <c r="F286" s="419"/>
      <c r="G286" s="419"/>
      <c r="H286" s="420">
        <f t="shared" si="2"/>
        <v>0</v>
      </c>
      <c r="I286" s="420" t="str">
        <f t="shared" si="3"/>
        <v/>
      </c>
      <c r="J286" s="113"/>
      <c r="K286" s="114"/>
      <c r="L286" s="15"/>
      <c r="M286" s="13"/>
      <c r="N286" s="15"/>
      <c r="O286" s="15"/>
      <c r="P286" s="15"/>
      <c r="Q286" s="15"/>
      <c r="R286" s="15"/>
    </row>
    <row r="287" ht="15.75" customHeight="1">
      <c r="A287" s="122"/>
      <c r="B287" s="112"/>
      <c r="C287" s="113"/>
      <c r="D287" s="113"/>
      <c r="E287" s="113"/>
      <c r="F287" s="419"/>
      <c r="G287" s="419"/>
      <c r="H287" s="420">
        <f t="shared" si="2"/>
        <v>0</v>
      </c>
      <c r="I287" s="420" t="str">
        <f t="shared" si="3"/>
        <v/>
      </c>
      <c r="J287" s="113"/>
      <c r="K287" s="114"/>
      <c r="L287" s="15"/>
      <c r="M287" s="13"/>
      <c r="N287" s="15"/>
      <c r="O287" s="15"/>
      <c r="P287" s="15"/>
      <c r="Q287" s="15"/>
      <c r="R287" s="15"/>
    </row>
    <row r="288" ht="15.75" customHeight="1">
      <c r="A288" s="122"/>
      <c r="B288" s="112"/>
      <c r="C288" s="113"/>
      <c r="D288" s="113"/>
      <c r="E288" s="113"/>
      <c r="F288" s="419"/>
      <c r="G288" s="419"/>
      <c r="H288" s="420">
        <f t="shared" si="2"/>
        <v>0</v>
      </c>
      <c r="I288" s="420" t="str">
        <f t="shared" si="3"/>
        <v/>
      </c>
      <c r="J288" s="113"/>
      <c r="K288" s="114"/>
      <c r="L288" s="15"/>
      <c r="M288" s="13"/>
      <c r="N288" s="15"/>
      <c r="O288" s="15"/>
      <c r="P288" s="15"/>
      <c r="Q288" s="15"/>
      <c r="R288" s="15"/>
    </row>
    <row r="289" ht="15.75" customHeight="1">
      <c r="A289" s="122"/>
      <c r="B289" s="112"/>
      <c r="C289" s="113"/>
      <c r="D289" s="113"/>
      <c r="E289" s="113"/>
      <c r="F289" s="419"/>
      <c r="G289" s="419"/>
      <c r="H289" s="420">
        <f t="shared" si="2"/>
        <v>0</v>
      </c>
      <c r="I289" s="420" t="str">
        <f t="shared" si="3"/>
        <v/>
      </c>
      <c r="J289" s="113"/>
      <c r="K289" s="114"/>
      <c r="L289" s="15"/>
      <c r="M289" s="13"/>
      <c r="N289" s="15"/>
      <c r="O289" s="15"/>
      <c r="P289" s="15"/>
      <c r="Q289" s="15"/>
      <c r="R289" s="15"/>
    </row>
    <row r="290" ht="15.75" customHeight="1">
      <c r="A290" s="122"/>
      <c r="B290" s="112"/>
      <c r="C290" s="113"/>
      <c r="D290" s="113"/>
      <c r="E290" s="113"/>
      <c r="F290" s="419"/>
      <c r="G290" s="419"/>
      <c r="H290" s="420">
        <f t="shared" si="2"/>
        <v>0</v>
      </c>
      <c r="I290" s="420" t="str">
        <f t="shared" si="3"/>
        <v/>
      </c>
      <c r="J290" s="113"/>
      <c r="K290" s="114"/>
      <c r="L290" s="15"/>
      <c r="M290" s="13"/>
      <c r="N290" s="15"/>
      <c r="O290" s="15"/>
      <c r="P290" s="15"/>
      <c r="Q290" s="15"/>
      <c r="R290" s="15"/>
    </row>
    <row r="291" ht="15.75" customHeight="1">
      <c r="A291" s="122"/>
      <c r="B291" s="112"/>
      <c r="C291" s="113"/>
      <c r="D291" s="113"/>
      <c r="E291" s="113"/>
      <c r="F291" s="419"/>
      <c r="G291" s="419"/>
      <c r="H291" s="420">
        <f t="shared" si="2"/>
        <v>0</v>
      </c>
      <c r="I291" s="420" t="str">
        <f t="shared" si="3"/>
        <v/>
      </c>
      <c r="J291" s="113"/>
      <c r="K291" s="114"/>
      <c r="L291" s="15"/>
      <c r="M291" s="13"/>
      <c r="N291" s="15"/>
      <c r="O291" s="15"/>
      <c r="P291" s="15"/>
      <c r="Q291" s="15"/>
      <c r="R291" s="15"/>
    </row>
    <row r="292" ht="15.75" customHeight="1">
      <c r="A292" s="122"/>
      <c r="B292" s="112"/>
      <c r="C292" s="113"/>
      <c r="D292" s="113"/>
      <c r="E292" s="113"/>
      <c r="F292" s="419"/>
      <c r="G292" s="419"/>
      <c r="H292" s="420">
        <f t="shared" si="2"/>
        <v>0</v>
      </c>
      <c r="I292" s="420" t="str">
        <f t="shared" si="3"/>
        <v/>
      </c>
      <c r="J292" s="113"/>
      <c r="K292" s="114"/>
      <c r="L292" s="15"/>
      <c r="M292" s="13"/>
      <c r="N292" s="15"/>
      <c r="O292" s="15"/>
      <c r="P292" s="15"/>
      <c r="Q292" s="15"/>
      <c r="R292" s="15"/>
    </row>
    <row r="293" ht="15.75" customHeight="1">
      <c r="A293" s="122"/>
      <c r="B293" s="112"/>
      <c r="C293" s="113"/>
      <c r="D293" s="113"/>
      <c r="E293" s="113"/>
      <c r="F293" s="419"/>
      <c r="G293" s="419"/>
      <c r="H293" s="420">
        <f t="shared" si="2"/>
        <v>0</v>
      </c>
      <c r="I293" s="420" t="str">
        <f t="shared" si="3"/>
        <v/>
      </c>
      <c r="J293" s="113"/>
      <c r="K293" s="114"/>
      <c r="L293" s="15"/>
      <c r="M293" s="13"/>
      <c r="N293" s="15"/>
      <c r="O293" s="15"/>
      <c r="P293" s="15"/>
      <c r="Q293" s="15"/>
      <c r="R293" s="15"/>
    </row>
    <row r="294" ht="15.75" customHeight="1">
      <c r="A294" s="122"/>
      <c r="B294" s="112"/>
      <c r="C294" s="113"/>
      <c r="D294" s="113"/>
      <c r="E294" s="113"/>
      <c r="F294" s="419"/>
      <c r="G294" s="419"/>
      <c r="H294" s="420">
        <f t="shared" si="2"/>
        <v>0</v>
      </c>
      <c r="I294" s="420" t="str">
        <f t="shared" si="3"/>
        <v/>
      </c>
      <c r="J294" s="113"/>
      <c r="K294" s="114"/>
      <c r="L294" s="15"/>
      <c r="M294" s="13"/>
      <c r="N294" s="15"/>
      <c r="O294" s="15"/>
      <c r="P294" s="15"/>
      <c r="Q294" s="15"/>
      <c r="R294" s="15"/>
    </row>
    <row r="295" ht="15.75" customHeight="1">
      <c r="A295" s="122"/>
      <c r="B295" s="112"/>
      <c r="C295" s="113"/>
      <c r="D295" s="113"/>
      <c r="E295" s="113"/>
      <c r="F295" s="419"/>
      <c r="G295" s="419"/>
      <c r="H295" s="420">
        <f t="shared" si="2"/>
        <v>0</v>
      </c>
      <c r="I295" s="420" t="str">
        <f t="shared" si="3"/>
        <v/>
      </c>
      <c r="J295" s="113"/>
      <c r="K295" s="114"/>
      <c r="L295" s="15"/>
      <c r="M295" s="13"/>
      <c r="N295" s="15"/>
      <c r="O295" s="15"/>
      <c r="P295" s="15"/>
      <c r="Q295" s="15"/>
      <c r="R295" s="15"/>
    </row>
    <row r="296" ht="15.75" customHeight="1">
      <c r="A296" s="122"/>
      <c r="B296" s="112"/>
      <c r="C296" s="113"/>
      <c r="D296" s="113"/>
      <c r="E296" s="113"/>
      <c r="F296" s="419"/>
      <c r="G296" s="419"/>
      <c r="H296" s="420">
        <f t="shared" si="2"/>
        <v>0</v>
      </c>
      <c r="I296" s="420" t="str">
        <f t="shared" si="3"/>
        <v/>
      </c>
      <c r="J296" s="113"/>
      <c r="K296" s="114"/>
      <c r="L296" s="15"/>
      <c r="M296" s="13"/>
      <c r="N296" s="15"/>
      <c r="O296" s="15"/>
      <c r="P296" s="15"/>
      <c r="Q296" s="15"/>
      <c r="R296" s="15"/>
    </row>
    <row r="297" ht="15.75" customHeight="1">
      <c r="A297" s="122"/>
      <c r="B297" s="112"/>
      <c r="C297" s="113"/>
      <c r="D297" s="113"/>
      <c r="E297" s="113"/>
      <c r="F297" s="419"/>
      <c r="G297" s="419"/>
      <c r="H297" s="420">
        <f t="shared" si="2"/>
        <v>0</v>
      </c>
      <c r="I297" s="420" t="str">
        <f t="shared" si="3"/>
        <v/>
      </c>
      <c r="J297" s="113"/>
      <c r="K297" s="114"/>
      <c r="L297" s="15"/>
      <c r="M297" s="13"/>
      <c r="N297" s="15"/>
      <c r="O297" s="15"/>
      <c r="P297" s="15"/>
      <c r="Q297" s="15"/>
      <c r="R297" s="15"/>
    </row>
    <row r="298" ht="15.75" customHeight="1">
      <c r="A298" s="122"/>
      <c r="B298" s="112"/>
      <c r="C298" s="113"/>
      <c r="D298" s="113"/>
      <c r="E298" s="113"/>
      <c r="F298" s="419"/>
      <c r="G298" s="419"/>
      <c r="H298" s="420">
        <f t="shared" si="2"/>
        <v>0</v>
      </c>
      <c r="I298" s="420" t="str">
        <f t="shared" si="3"/>
        <v/>
      </c>
      <c r="J298" s="113"/>
      <c r="K298" s="114"/>
      <c r="L298" s="15"/>
      <c r="M298" s="13"/>
      <c r="N298" s="15"/>
      <c r="O298" s="15"/>
      <c r="P298" s="15"/>
      <c r="Q298" s="15"/>
      <c r="R298" s="15"/>
    </row>
    <row r="299" ht="15.75" customHeight="1">
      <c r="A299" s="122"/>
      <c r="B299" s="112"/>
      <c r="C299" s="113"/>
      <c r="D299" s="113"/>
      <c r="E299" s="113"/>
      <c r="F299" s="419"/>
      <c r="G299" s="419"/>
      <c r="H299" s="420">
        <f t="shared" si="2"/>
        <v>0</v>
      </c>
      <c r="I299" s="420" t="str">
        <f t="shared" si="3"/>
        <v/>
      </c>
      <c r="J299" s="113"/>
      <c r="K299" s="114"/>
      <c r="L299" s="15"/>
      <c r="M299" s="13"/>
      <c r="N299" s="15"/>
      <c r="O299" s="15"/>
      <c r="P299" s="15"/>
      <c r="Q299" s="15"/>
      <c r="R299" s="15"/>
    </row>
    <row r="300" ht="15.75" customHeight="1">
      <c r="A300" s="122"/>
      <c r="B300" s="112"/>
      <c r="C300" s="113"/>
      <c r="D300" s="113"/>
      <c r="E300" s="113"/>
      <c r="F300" s="419"/>
      <c r="G300" s="419"/>
      <c r="H300" s="420">
        <f t="shared" si="2"/>
        <v>0</v>
      </c>
      <c r="I300" s="420" t="str">
        <f t="shared" si="3"/>
        <v/>
      </c>
      <c r="J300" s="113"/>
      <c r="K300" s="114"/>
      <c r="L300" s="15"/>
      <c r="M300" s="13"/>
      <c r="N300" s="15"/>
      <c r="O300" s="15"/>
      <c r="P300" s="15"/>
      <c r="Q300" s="15"/>
      <c r="R300" s="15"/>
    </row>
    <row r="301" ht="15.75" customHeight="1">
      <c r="A301" s="122"/>
      <c r="B301" s="112"/>
      <c r="C301" s="113"/>
      <c r="D301" s="113"/>
      <c r="E301" s="113"/>
      <c r="F301" s="419"/>
      <c r="G301" s="419"/>
      <c r="H301" s="420">
        <f t="shared" si="2"/>
        <v>0</v>
      </c>
      <c r="I301" s="420" t="str">
        <f t="shared" si="3"/>
        <v/>
      </c>
      <c r="J301" s="113"/>
      <c r="K301" s="114"/>
      <c r="L301" s="15"/>
      <c r="M301" s="13"/>
      <c r="N301" s="15"/>
      <c r="O301" s="15"/>
      <c r="P301" s="15"/>
      <c r="Q301" s="15"/>
      <c r="R301" s="15"/>
    </row>
    <row r="302" ht="15.75" customHeight="1">
      <c r="A302" s="122"/>
      <c r="B302" s="112"/>
      <c r="C302" s="113"/>
      <c r="D302" s="113"/>
      <c r="E302" s="113"/>
      <c r="F302" s="419"/>
      <c r="G302" s="419"/>
      <c r="H302" s="420">
        <f t="shared" si="2"/>
        <v>0</v>
      </c>
      <c r="I302" s="420" t="str">
        <f t="shared" si="3"/>
        <v/>
      </c>
      <c r="J302" s="113"/>
      <c r="K302" s="114"/>
      <c r="L302" s="15"/>
      <c r="M302" s="13"/>
      <c r="N302" s="15"/>
      <c r="O302" s="15"/>
      <c r="P302" s="15"/>
      <c r="Q302" s="15"/>
      <c r="R302" s="15"/>
    </row>
    <row r="303" ht="15.75" customHeight="1">
      <c r="A303" s="122"/>
      <c r="B303" s="112"/>
      <c r="C303" s="113"/>
      <c r="D303" s="113"/>
      <c r="E303" s="113"/>
      <c r="F303" s="419"/>
      <c r="G303" s="419"/>
      <c r="H303" s="420">
        <f t="shared" si="2"/>
        <v>0</v>
      </c>
      <c r="I303" s="420" t="str">
        <f t="shared" si="3"/>
        <v/>
      </c>
      <c r="J303" s="113"/>
      <c r="K303" s="114"/>
      <c r="L303" s="15"/>
      <c r="M303" s="13"/>
      <c r="N303" s="15"/>
      <c r="O303" s="15"/>
      <c r="P303" s="15"/>
      <c r="Q303" s="15"/>
      <c r="R303" s="15"/>
    </row>
    <row r="304" ht="15.75" customHeight="1">
      <c r="A304" s="122"/>
      <c r="B304" s="112"/>
      <c r="C304" s="113"/>
      <c r="D304" s="113"/>
      <c r="E304" s="113"/>
      <c r="F304" s="419"/>
      <c r="G304" s="419"/>
      <c r="H304" s="420">
        <f t="shared" si="2"/>
        <v>0</v>
      </c>
      <c r="I304" s="420" t="str">
        <f t="shared" si="3"/>
        <v/>
      </c>
      <c r="J304" s="113"/>
      <c r="K304" s="114"/>
      <c r="L304" s="15"/>
      <c r="M304" s="13"/>
      <c r="N304" s="15"/>
      <c r="O304" s="15"/>
      <c r="P304" s="15"/>
      <c r="Q304" s="15"/>
      <c r="R304" s="15"/>
    </row>
    <row r="305" ht="15.75" customHeight="1">
      <c r="A305" s="122"/>
      <c r="B305" s="112"/>
      <c r="C305" s="113"/>
      <c r="D305" s="113"/>
      <c r="E305" s="113"/>
      <c r="F305" s="419"/>
      <c r="G305" s="419"/>
      <c r="H305" s="420">
        <f t="shared" si="2"/>
        <v>0</v>
      </c>
      <c r="I305" s="420" t="str">
        <f t="shared" si="3"/>
        <v/>
      </c>
      <c r="J305" s="113"/>
      <c r="K305" s="114"/>
      <c r="L305" s="15"/>
      <c r="M305" s="13"/>
      <c r="N305" s="15"/>
      <c r="O305" s="15"/>
      <c r="P305" s="15"/>
      <c r="Q305" s="15"/>
      <c r="R305" s="15"/>
    </row>
    <row r="306" ht="15.75" customHeight="1">
      <c r="A306" s="122"/>
      <c r="B306" s="112"/>
      <c r="C306" s="113"/>
      <c r="D306" s="113"/>
      <c r="E306" s="113"/>
      <c r="F306" s="419"/>
      <c r="G306" s="419"/>
      <c r="H306" s="420">
        <f t="shared" si="2"/>
        <v>0</v>
      </c>
      <c r="I306" s="420" t="str">
        <f t="shared" si="3"/>
        <v/>
      </c>
      <c r="J306" s="113"/>
      <c r="K306" s="114"/>
      <c r="L306" s="15"/>
      <c r="M306" s="13"/>
      <c r="N306" s="15"/>
      <c r="O306" s="15"/>
      <c r="P306" s="15"/>
      <c r="Q306" s="15"/>
      <c r="R306" s="15"/>
    </row>
    <row r="307" ht="15.75" customHeight="1">
      <c r="A307" s="122"/>
      <c r="B307" s="112"/>
      <c r="C307" s="113"/>
      <c r="D307" s="113"/>
      <c r="E307" s="113"/>
      <c r="F307" s="419"/>
      <c r="G307" s="419"/>
      <c r="H307" s="420">
        <f t="shared" si="2"/>
        <v>0</v>
      </c>
      <c r="I307" s="420" t="str">
        <f t="shared" si="3"/>
        <v/>
      </c>
      <c r="J307" s="113"/>
      <c r="K307" s="114"/>
      <c r="L307" s="15"/>
      <c r="M307" s="13"/>
      <c r="N307" s="15"/>
      <c r="O307" s="15"/>
      <c r="P307" s="15"/>
      <c r="Q307" s="15"/>
      <c r="R307" s="15"/>
    </row>
    <row r="308" ht="15.75" customHeight="1">
      <c r="A308" s="122"/>
      <c r="B308" s="112"/>
      <c r="C308" s="113"/>
      <c r="D308" s="113"/>
      <c r="E308" s="113"/>
      <c r="F308" s="419"/>
      <c r="G308" s="419"/>
      <c r="H308" s="420">
        <f t="shared" si="2"/>
        <v>0</v>
      </c>
      <c r="I308" s="420" t="str">
        <f t="shared" si="3"/>
        <v/>
      </c>
      <c r="J308" s="113"/>
      <c r="K308" s="114"/>
      <c r="L308" s="15"/>
      <c r="M308" s="13"/>
      <c r="N308" s="15"/>
      <c r="O308" s="15"/>
      <c r="P308" s="15"/>
      <c r="Q308" s="15"/>
      <c r="R308" s="15"/>
    </row>
    <row r="309" ht="15.75" customHeight="1">
      <c r="A309" s="122"/>
      <c r="B309" s="112"/>
      <c r="C309" s="113"/>
      <c r="D309" s="113"/>
      <c r="E309" s="113"/>
      <c r="F309" s="419"/>
      <c r="G309" s="419"/>
      <c r="H309" s="420">
        <f t="shared" si="2"/>
        <v>0</v>
      </c>
      <c r="I309" s="420" t="str">
        <f t="shared" si="3"/>
        <v/>
      </c>
      <c r="J309" s="113"/>
      <c r="K309" s="114"/>
      <c r="L309" s="15"/>
      <c r="M309" s="13"/>
      <c r="N309" s="15"/>
      <c r="O309" s="15"/>
      <c r="P309" s="15"/>
      <c r="Q309" s="15"/>
      <c r="R309" s="15"/>
    </row>
    <row r="310" ht="15.75" customHeight="1">
      <c r="A310" s="122"/>
      <c r="B310" s="112"/>
      <c r="C310" s="113"/>
      <c r="D310" s="113"/>
      <c r="E310" s="113"/>
      <c r="F310" s="419"/>
      <c r="G310" s="419"/>
      <c r="H310" s="420">
        <f t="shared" si="2"/>
        <v>0</v>
      </c>
      <c r="I310" s="420" t="str">
        <f t="shared" si="3"/>
        <v/>
      </c>
      <c r="J310" s="113"/>
      <c r="K310" s="114"/>
      <c r="L310" s="15"/>
      <c r="M310" s="13"/>
      <c r="N310" s="15"/>
      <c r="O310" s="15"/>
      <c r="P310" s="15"/>
      <c r="Q310" s="15"/>
      <c r="R310" s="15"/>
    </row>
    <row r="311" ht="15.75" customHeight="1">
      <c r="A311" s="122"/>
      <c r="B311" s="112"/>
      <c r="C311" s="113"/>
      <c r="D311" s="113"/>
      <c r="E311" s="113"/>
      <c r="F311" s="419"/>
      <c r="G311" s="419"/>
      <c r="H311" s="420">
        <f t="shared" si="2"/>
        <v>0</v>
      </c>
      <c r="I311" s="420" t="str">
        <f t="shared" si="3"/>
        <v/>
      </c>
      <c r="J311" s="113"/>
      <c r="K311" s="114"/>
      <c r="L311" s="15"/>
      <c r="M311" s="13"/>
      <c r="N311" s="15"/>
      <c r="O311" s="15"/>
      <c r="P311" s="15"/>
      <c r="Q311" s="15"/>
      <c r="R311" s="15"/>
    </row>
    <row r="312" ht="15.75" customHeight="1">
      <c r="A312" s="122"/>
      <c r="B312" s="112"/>
      <c r="C312" s="113"/>
      <c r="D312" s="113"/>
      <c r="E312" s="113"/>
      <c r="F312" s="419"/>
      <c r="G312" s="419"/>
      <c r="H312" s="420">
        <f t="shared" si="2"/>
        <v>0</v>
      </c>
      <c r="I312" s="420" t="str">
        <f t="shared" si="3"/>
        <v/>
      </c>
      <c r="J312" s="113"/>
      <c r="K312" s="114"/>
      <c r="L312" s="15"/>
      <c r="M312" s="13"/>
      <c r="N312" s="15"/>
      <c r="O312" s="15"/>
      <c r="P312" s="15"/>
      <c r="Q312" s="15"/>
      <c r="R312" s="15"/>
    </row>
    <row r="313" ht="15.75" customHeight="1">
      <c r="A313" s="122"/>
      <c r="B313" s="112"/>
      <c r="C313" s="113"/>
      <c r="D313" s="113"/>
      <c r="E313" s="113"/>
      <c r="F313" s="419"/>
      <c r="G313" s="419"/>
      <c r="H313" s="420">
        <f t="shared" si="2"/>
        <v>0</v>
      </c>
      <c r="I313" s="420" t="str">
        <f t="shared" si="3"/>
        <v/>
      </c>
      <c r="J313" s="113"/>
      <c r="K313" s="114"/>
      <c r="L313" s="15"/>
      <c r="M313" s="13"/>
      <c r="N313" s="15"/>
      <c r="O313" s="15"/>
      <c r="P313" s="15"/>
      <c r="Q313" s="15"/>
      <c r="R313" s="15"/>
    </row>
    <row r="314" ht="15.75" customHeight="1">
      <c r="A314" s="122"/>
      <c r="B314" s="112"/>
      <c r="C314" s="113"/>
      <c r="D314" s="113"/>
      <c r="E314" s="113"/>
      <c r="F314" s="419"/>
      <c r="G314" s="419"/>
      <c r="H314" s="420">
        <f t="shared" si="2"/>
        <v>0</v>
      </c>
      <c r="I314" s="420" t="str">
        <f t="shared" si="3"/>
        <v/>
      </c>
      <c r="J314" s="113"/>
      <c r="K314" s="114"/>
      <c r="L314" s="15"/>
      <c r="M314" s="13"/>
      <c r="N314" s="15"/>
      <c r="O314" s="15"/>
      <c r="P314" s="15"/>
      <c r="Q314" s="15"/>
      <c r="R314" s="15"/>
    </row>
    <row r="315" ht="15.75" customHeight="1">
      <c r="A315" s="122"/>
      <c r="B315" s="112"/>
      <c r="C315" s="113"/>
      <c r="D315" s="113"/>
      <c r="E315" s="113"/>
      <c r="F315" s="419"/>
      <c r="G315" s="419"/>
      <c r="H315" s="420">
        <f t="shared" si="2"/>
        <v>0</v>
      </c>
      <c r="I315" s="420" t="str">
        <f t="shared" si="3"/>
        <v/>
      </c>
      <c r="J315" s="113"/>
      <c r="K315" s="114"/>
      <c r="L315" s="15"/>
      <c r="M315" s="13"/>
      <c r="N315" s="15"/>
      <c r="O315" s="15"/>
      <c r="P315" s="15"/>
      <c r="Q315" s="15"/>
      <c r="R315" s="15"/>
    </row>
    <row r="316" ht="15.75" customHeight="1">
      <c r="A316" s="122"/>
      <c r="B316" s="112"/>
      <c r="C316" s="113"/>
      <c r="D316" s="113"/>
      <c r="E316" s="113"/>
      <c r="F316" s="419"/>
      <c r="G316" s="419"/>
      <c r="H316" s="420">
        <f t="shared" si="2"/>
        <v>0</v>
      </c>
      <c r="I316" s="420" t="str">
        <f t="shared" si="3"/>
        <v/>
      </c>
      <c r="J316" s="113"/>
      <c r="K316" s="114"/>
      <c r="L316" s="15"/>
      <c r="M316" s="13"/>
      <c r="N316" s="15"/>
      <c r="O316" s="15"/>
      <c r="P316" s="15"/>
      <c r="Q316" s="15"/>
      <c r="R316" s="15"/>
    </row>
    <row r="317" ht="15.75" customHeight="1">
      <c r="A317" s="122"/>
      <c r="B317" s="112"/>
      <c r="C317" s="113"/>
      <c r="D317" s="113"/>
      <c r="E317" s="113"/>
      <c r="F317" s="419"/>
      <c r="G317" s="419"/>
      <c r="H317" s="420">
        <f t="shared" si="2"/>
        <v>0</v>
      </c>
      <c r="I317" s="420" t="str">
        <f t="shared" si="3"/>
        <v/>
      </c>
      <c r="J317" s="113"/>
      <c r="K317" s="114"/>
      <c r="L317" s="15"/>
      <c r="M317" s="13"/>
      <c r="N317" s="15"/>
      <c r="O317" s="15"/>
      <c r="P317" s="15"/>
      <c r="Q317" s="15"/>
      <c r="R317" s="15"/>
    </row>
    <row r="318" ht="15.75" customHeight="1">
      <c r="A318" s="122"/>
      <c r="B318" s="112"/>
      <c r="C318" s="113"/>
      <c r="D318" s="113"/>
      <c r="E318" s="113"/>
      <c r="F318" s="419"/>
      <c r="G318" s="419"/>
      <c r="H318" s="420">
        <f t="shared" si="2"/>
        <v>0</v>
      </c>
      <c r="I318" s="420" t="str">
        <f t="shared" si="3"/>
        <v/>
      </c>
      <c r="J318" s="113"/>
      <c r="K318" s="114"/>
      <c r="L318" s="15"/>
      <c r="M318" s="13"/>
      <c r="N318" s="15"/>
      <c r="O318" s="15"/>
      <c r="P318" s="15"/>
      <c r="Q318" s="15"/>
      <c r="R318" s="15"/>
    </row>
    <row r="319" ht="15.75" customHeight="1">
      <c r="A319" s="122"/>
      <c r="B319" s="112"/>
      <c r="C319" s="113"/>
      <c r="D319" s="113"/>
      <c r="E319" s="113"/>
      <c r="F319" s="419"/>
      <c r="G319" s="419"/>
      <c r="H319" s="420">
        <f t="shared" si="2"/>
        <v>0</v>
      </c>
      <c r="I319" s="420" t="str">
        <f t="shared" si="3"/>
        <v/>
      </c>
      <c r="J319" s="113"/>
      <c r="K319" s="114"/>
      <c r="L319" s="15"/>
      <c r="M319" s="13"/>
      <c r="N319" s="15"/>
      <c r="O319" s="15"/>
      <c r="P319" s="15"/>
      <c r="Q319" s="15"/>
      <c r="R319" s="15"/>
    </row>
    <row r="320" ht="15.75" customHeight="1">
      <c r="A320" s="122"/>
      <c r="B320" s="112"/>
      <c r="C320" s="113"/>
      <c r="D320" s="113"/>
      <c r="E320" s="113"/>
      <c r="F320" s="419"/>
      <c r="G320" s="419"/>
      <c r="H320" s="420">
        <f t="shared" si="2"/>
        <v>0</v>
      </c>
      <c r="I320" s="420" t="str">
        <f t="shared" si="3"/>
        <v/>
      </c>
      <c r="J320" s="113"/>
      <c r="K320" s="114"/>
      <c r="L320" s="15"/>
      <c r="M320" s="13"/>
      <c r="N320" s="15"/>
      <c r="O320" s="15"/>
      <c r="P320" s="15"/>
      <c r="Q320" s="15"/>
      <c r="R320" s="15"/>
    </row>
    <row r="321" ht="15.75" customHeight="1">
      <c r="A321" s="122"/>
      <c r="B321" s="112"/>
      <c r="C321" s="113"/>
      <c r="D321" s="113"/>
      <c r="E321" s="113"/>
      <c r="F321" s="419"/>
      <c r="G321" s="419"/>
      <c r="H321" s="420">
        <f t="shared" si="2"/>
        <v>0</v>
      </c>
      <c r="I321" s="420" t="str">
        <f t="shared" si="3"/>
        <v/>
      </c>
      <c r="J321" s="113"/>
      <c r="K321" s="114"/>
      <c r="L321" s="15"/>
      <c r="M321" s="13"/>
      <c r="N321" s="15"/>
      <c r="O321" s="15"/>
      <c r="P321" s="15"/>
      <c r="Q321" s="15"/>
      <c r="R321" s="15"/>
    </row>
    <row r="322" ht="15.75" customHeight="1">
      <c r="A322" s="122"/>
      <c r="B322" s="112"/>
      <c r="C322" s="113"/>
      <c r="D322" s="113"/>
      <c r="E322" s="113"/>
      <c r="F322" s="419"/>
      <c r="G322" s="419"/>
      <c r="H322" s="420">
        <f t="shared" si="2"/>
        <v>0</v>
      </c>
      <c r="I322" s="420" t="str">
        <f t="shared" si="3"/>
        <v/>
      </c>
      <c r="J322" s="113"/>
      <c r="K322" s="114"/>
      <c r="L322" s="15"/>
      <c r="M322" s="13"/>
      <c r="N322" s="15"/>
      <c r="O322" s="15"/>
      <c r="P322" s="15"/>
      <c r="Q322" s="15"/>
      <c r="R322" s="15"/>
    </row>
    <row r="323" ht="15.75" customHeight="1">
      <c r="A323" s="122"/>
      <c r="B323" s="112"/>
      <c r="C323" s="113"/>
      <c r="D323" s="113"/>
      <c r="E323" s="113"/>
      <c r="F323" s="419"/>
      <c r="G323" s="419"/>
      <c r="H323" s="420">
        <f t="shared" si="2"/>
        <v>0</v>
      </c>
      <c r="I323" s="420" t="str">
        <f t="shared" si="3"/>
        <v/>
      </c>
      <c r="J323" s="113"/>
      <c r="K323" s="114"/>
      <c r="L323" s="15"/>
      <c r="M323" s="13"/>
      <c r="N323" s="15"/>
      <c r="O323" s="15"/>
      <c r="P323" s="15"/>
      <c r="Q323" s="15"/>
      <c r="R323" s="15"/>
    </row>
    <row r="324" ht="15.75" customHeight="1">
      <c r="A324" s="122"/>
      <c r="B324" s="112"/>
      <c r="C324" s="113"/>
      <c r="D324" s="113"/>
      <c r="E324" s="113"/>
      <c r="F324" s="419"/>
      <c r="G324" s="419"/>
      <c r="H324" s="420">
        <f t="shared" si="2"/>
        <v>0</v>
      </c>
      <c r="I324" s="420" t="str">
        <f t="shared" si="3"/>
        <v/>
      </c>
      <c r="J324" s="113"/>
      <c r="K324" s="114"/>
      <c r="L324" s="15"/>
      <c r="M324" s="13"/>
      <c r="N324" s="15"/>
      <c r="O324" s="15"/>
      <c r="P324" s="15"/>
      <c r="Q324" s="15"/>
      <c r="R324" s="15"/>
    </row>
    <row r="325" ht="15.75" customHeight="1">
      <c r="A325" s="122"/>
      <c r="B325" s="112"/>
      <c r="C325" s="113"/>
      <c r="D325" s="113"/>
      <c r="E325" s="113"/>
      <c r="F325" s="419"/>
      <c r="G325" s="419"/>
      <c r="H325" s="420">
        <f t="shared" si="2"/>
        <v>0</v>
      </c>
      <c r="I325" s="420" t="str">
        <f t="shared" si="3"/>
        <v/>
      </c>
      <c r="J325" s="113"/>
      <c r="K325" s="114"/>
      <c r="L325" s="15"/>
      <c r="M325" s="13"/>
      <c r="N325" s="15"/>
      <c r="O325" s="15"/>
      <c r="P325" s="15"/>
      <c r="Q325" s="15"/>
      <c r="R325" s="15"/>
    </row>
    <row r="326" ht="15.75" customHeight="1">
      <c r="A326" s="122"/>
      <c r="B326" s="112"/>
      <c r="C326" s="113"/>
      <c r="D326" s="113"/>
      <c r="E326" s="113"/>
      <c r="F326" s="419"/>
      <c r="G326" s="419"/>
      <c r="H326" s="420">
        <f t="shared" si="2"/>
        <v>0</v>
      </c>
      <c r="I326" s="420" t="str">
        <f t="shared" si="3"/>
        <v/>
      </c>
      <c r="J326" s="113"/>
      <c r="K326" s="114"/>
      <c r="L326" s="15"/>
      <c r="M326" s="13"/>
      <c r="N326" s="15"/>
      <c r="O326" s="15"/>
      <c r="P326" s="15"/>
      <c r="Q326" s="15"/>
      <c r="R326" s="15"/>
    </row>
    <row r="327" ht="15.75" customHeight="1">
      <c r="A327" s="122"/>
      <c r="B327" s="112"/>
      <c r="C327" s="113"/>
      <c r="D327" s="113"/>
      <c r="E327" s="113"/>
      <c r="F327" s="419"/>
      <c r="G327" s="419"/>
      <c r="H327" s="420">
        <f t="shared" si="2"/>
        <v>0</v>
      </c>
      <c r="I327" s="420" t="str">
        <f t="shared" si="3"/>
        <v/>
      </c>
      <c r="J327" s="113"/>
      <c r="K327" s="114"/>
      <c r="L327" s="15"/>
      <c r="M327" s="13"/>
      <c r="N327" s="15"/>
      <c r="O327" s="15"/>
      <c r="P327" s="15"/>
      <c r="Q327" s="15"/>
      <c r="R327" s="15"/>
    </row>
    <row r="328" ht="15.75" customHeight="1">
      <c r="A328" s="122"/>
      <c r="B328" s="112"/>
      <c r="C328" s="113"/>
      <c r="D328" s="113"/>
      <c r="E328" s="113"/>
      <c r="F328" s="419"/>
      <c r="G328" s="419"/>
      <c r="H328" s="420">
        <f t="shared" si="2"/>
        <v>0</v>
      </c>
      <c r="I328" s="420" t="str">
        <f t="shared" si="3"/>
        <v/>
      </c>
      <c r="J328" s="113"/>
      <c r="K328" s="114"/>
      <c r="L328" s="15"/>
      <c r="M328" s="13"/>
      <c r="N328" s="15"/>
      <c r="O328" s="15"/>
      <c r="P328" s="15"/>
      <c r="Q328" s="15"/>
      <c r="R328" s="15"/>
    </row>
    <row r="329" ht="15.75" customHeight="1">
      <c r="A329" s="122"/>
      <c r="B329" s="112"/>
      <c r="C329" s="113"/>
      <c r="D329" s="113"/>
      <c r="E329" s="113"/>
      <c r="F329" s="419"/>
      <c r="G329" s="419"/>
      <c r="H329" s="420">
        <f t="shared" si="2"/>
        <v>0</v>
      </c>
      <c r="I329" s="420" t="str">
        <f t="shared" si="3"/>
        <v/>
      </c>
      <c r="J329" s="113"/>
      <c r="K329" s="114"/>
      <c r="L329" s="15"/>
      <c r="M329" s="13"/>
      <c r="N329" s="15"/>
      <c r="O329" s="15"/>
      <c r="P329" s="15"/>
      <c r="Q329" s="15"/>
      <c r="R329" s="15"/>
    </row>
    <row r="330" ht="15.75" customHeight="1">
      <c r="A330" s="122"/>
      <c r="B330" s="112"/>
      <c r="C330" s="113"/>
      <c r="D330" s="113"/>
      <c r="E330" s="113"/>
      <c r="F330" s="419"/>
      <c r="G330" s="419"/>
      <c r="H330" s="420">
        <f t="shared" si="2"/>
        <v>0</v>
      </c>
      <c r="I330" s="420" t="str">
        <f t="shared" si="3"/>
        <v/>
      </c>
      <c r="J330" s="113"/>
      <c r="K330" s="114"/>
      <c r="L330" s="15"/>
      <c r="M330" s="13"/>
      <c r="N330" s="15"/>
      <c r="O330" s="15"/>
      <c r="P330" s="15"/>
      <c r="Q330" s="15"/>
      <c r="R330" s="15"/>
    </row>
    <row r="331" ht="15.75" customHeight="1">
      <c r="A331" s="122"/>
      <c r="B331" s="112"/>
      <c r="C331" s="113"/>
      <c r="D331" s="113"/>
      <c r="E331" s="113"/>
      <c r="F331" s="419"/>
      <c r="G331" s="419"/>
      <c r="H331" s="420">
        <f t="shared" si="2"/>
        <v>0</v>
      </c>
      <c r="I331" s="420" t="str">
        <f t="shared" si="3"/>
        <v/>
      </c>
      <c r="J331" s="113"/>
      <c r="K331" s="114"/>
      <c r="L331" s="15"/>
      <c r="M331" s="13"/>
      <c r="N331" s="15"/>
      <c r="O331" s="15"/>
      <c r="P331" s="15"/>
      <c r="Q331" s="15"/>
      <c r="R331" s="15"/>
    </row>
    <row r="332" ht="15.75" customHeight="1">
      <c r="A332" s="122"/>
      <c r="B332" s="112"/>
      <c r="C332" s="113"/>
      <c r="D332" s="113"/>
      <c r="E332" s="113"/>
      <c r="F332" s="419"/>
      <c r="G332" s="419"/>
      <c r="H332" s="420">
        <f t="shared" si="2"/>
        <v>0</v>
      </c>
      <c r="I332" s="420" t="str">
        <f t="shared" si="3"/>
        <v/>
      </c>
      <c r="J332" s="113"/>
      <c r="K332" s="114"/>
      <c r="L332" s="15"/>
      <c r="M332" s="13"/>
      <c r="N332" s="15"/>
      <c r="O332" s="15"/>
      <c r="P332" s="15"/>
      <c r="Q332" s="15"/>
      <c r="R332" s="15"/>
    </row>
    <row r="333" ht="15.75" customHeight="1">
      <c r="A333" s="122"/>
      <c r="B333" s="112"/>
      <c r="C333" s="113"/>
      <c r="D333" s="113"/>
      <c r="E333" s="113"/>
      <c r="F333" s="419"/>
      <c r="G333" s="419"/>
      <c r="H333" s="420">
        <f t="shared" si="2"/>
        <v>0</v>
      </c>
      <c r="I333" s="420" t="str">
        <f t="shared" si="3"/>
        <v/>
      </c>
      <c r="J333" s="113"/>
      <c r="K333" s="114"/>
      <c r="L333" s="15"/>
      <c r="M333" s="13"/>
      <c r="N333" s="15"/>
      <c r="O333" s="15"/>
      <c r="P333" s="15"/>
      <c r="Q333" s="15"/>
      <c r="R333" s="15"/>
    </row>
    <row r="334" ht="15.75" customHeight="1">
      <c r="A334" s="122"/>
      <c r="B334" s="112"/>
      <c r="C334" s="113"/>
      <c r="D334" s="113"/>
      <c r="E334" s="113"/>
      <c r="F334" s="419"/>
      <c r="G334" s="419"/>
      <c r="H334" s="420">
        <f t="shared" si="2"/>
        <v>0</v>
      </c>
      <c r="I334" s="420" t="str">
        <f t="shared" si="3"/>
        <v/>
      </c>
      <c r="J334" s="113"/>
      <c r="K334" s="114"/>
      <c r="L334" s="15"/>
      <c r="M334" s="13"/>
      <c r="N334" s="15"/>
      <c r="O334" s="15"/>
      <c r="P334" s="15"/>
      <c r="Q334" s="15"/>
      <c r="R334" s="15"/>
    </row>
    <row r="335" ht="15.75" customHeight="1">
      <c r="A335" s="122"/>
      <c r="B335" s="112"/>
      <c r="C335" s="113"/>
      <c r="D335" s="113"/>
      <c r="E335" s="113"/>
      <c r="F335" s="419"/>
      <c r="G335" s="419"/>
      <c r="H335" s="420">
        <f t="shared" si="2"/>
        <v>0</v>
      </c>
      <c r="I335" s="420" t="str">
        <f t="shared" si="3"/>
        <v/>
      </c>
      <c r="J335" s="113"/>
      <c r="K335" s="114"/>
      <c r="L335" s="15"/>
      <c r="M335" s="13"/>
      <c r="N335" s="15"/>
      <c r="O335" s="15"/>
      <c r="P335" s="15"/>
      <c r="Q335" s="15"/>
      <c r="R335" s="15"/>
    </row>
    <row r="336" ht="15.75" customHeight="1">
      <c r="A336" s="122"/>
      <c r="B336" s="112"/>
      <c r="C336" s="113"/>
      <c r="D336" s="113"/>
      <c r="E336" s="113"/>
      <c r="F336" s="419"/>
      <c r="G336" s="419"/>
      <c r="H336" s="420">
        <f t="shared" si="2"/>
        <v>0</v>
      </c>
      <c r="I336" s="420" t="str">
        <f t="shared" si="3"/>
        <v/>
      </c>
      <c r="J336" s="113"/>
      <c r="K336" s="114"/>
      <c r="L336" s="15"/>
      <c r="M336" s="13"/>
      <c r="N336" s="15"/>
      <c r="O336" s="15"/>
      <c r="P336" s="15"/>
      <c r="Q336" s="15"/>
      <c r="R336" s="15"/>
    </row>
    <row r="337" ht="15.75" customHeight="1">
      <c r="A337" s="122"/>
      <c r="B337" s="112"/>
      <c r="C337" s="113"/>
      <c r="D337" s="113"/>
      <c r="E337" s="113"/>
      <c r="F337" s="419"/>
      <c r="G337" s="419"/>
      <c r="H337" s="420">
        <f t="shared" si="2"/>
        <v>0</v>
      </c>
      <c r="I337" s="420" t="str">
        <f t="shared" si="3"/>
        <v/>
      </c>
      <c r="J337" s="113"/>
      <c r="K337" s="114"/>
      <c r="L337" s="15"/>
      <c r="M337" s="13"/>
      <c r="N337" s="15"/>
      <c r="O337" s="15"/>
      <c r="P337" s="15"/>
      <c r="Q337" s="15"/>
      <c r="R337" s="15"/>
    </row>
    <row r="338" ht="15.75" customHeight="1">
      <c r="A338" s="122"/>
      <c r="B338" s="112"/>
      <c r="C338" s="113"/>
      <c r="D338" s="113"/>
      <c r="E338" s="113"/>
      <c r="F338" s="419"/>
      <c r="G338" s="419"/>
      <c r="H338" s="420">
        <f t="shared" si="2"/>
        <v>0</v>
      </c>
      <c r="I338" s="420" t="str">
        <f t="shared" si="3"/>
        <v/>
      </c>
      <c r="J338" s="113"/>
      <c r="K338" s="114"/>
      <c r="L338" s="15"/>
      <c r="M338" s="13"/>
      <c r="N338" s="15"/>
      <c r="O338" s="15"/>
      <c r="P338" s="15"/>
      <c r="Q338" s="15"/>
      <c r="R338" s="15"/>
    </row>
    <row r="339" ht="15.75" customHeight="1">
      <c r="A339" s="122"/>
      <c r="B339" s="112"/>
      <c r="C339" s="113"/>
      <c r="D339" s="113"/>
      <c r="E339" s="113"/>
      <c r="F339" s="419"/>
      <c r="G339" s="419"/>
      <c r="H339" s="420">
        <f t="shared" si="2"/>
        <v>0</v>
      </c>
      <c r="I339" s="420" t="str">
        <f t="shared" si="3"/>
        <v/>
      </c>
      <c r="J339" s="113"/>
      <c r="K339" s="114"/>
      <c r="L339" s="15"/>
      <c r="M339" s="13"/>
      <c r="N339" s="15"/>
      <c r="O339" s="15"/>
      <c r="P339" s="15"/>
      <c r="Q339" s="15"/>
      <c r="R339" s="15"/>
    </row>
    <row r="340" ht="15.75" customHeight="1">
      <c r="A340" s="122"/>
      <c r="B340" s="112"/>
      <c r="C340" s="113"/>
      <c r="D340" s="113"/>
      <c r="E340" s="113"/>
      <c r="F340" s="419"/>
      <c r="G340" s="419"/>
      <c r="H340" s="420">
        <f t="shared" si="2"/>
        <v>0</v>
      </c>
      <c r="I340" s="420" t="str">
        <f t="shared" si="3"/>
        <v/>
      </c>
      <c r="J340" s="113"/>
      <c r="K340" s="114"/>
      <c r="L340" s="15"/>
      <c r="M340" s="13"/>
      <c r="N340" s="15"/>
      <c r="O340" s="15"/>
      <c r="P340" s="15"/>
      <c r="Q340" s="15"/>
      <c r="R340" s="15"/>
    </row>
    <row r="341" ht="15.75" customHeight="1">
      <c r="A341" s="122"/>
      <c r="B341" s="112"/>
      <c r="C341" s="113"/>
      <c r="D341" s="113"/>
      <c r="E341" s="113"/>
      <c r="F341" s="419"/>
      <c r="G341" s="419"/>
      <c r="H341" s="420">
        <f t="shared" si="2"/>
        <v>0</v>
      </c>
      <c r="I341" s="420" t="str">
        <f t="shared" si="3"/>
        <v/>
      </c>
      <c r="J341" s="113"/>
      <c r="K341" s="114"/>
      <c r="L341" s="15"/>
      <c r="M341" s="13"/>
      <c r="N341" s="15"/>
      <c r="O341" s="15"/>
      <c r="P341" s="15"/>
      <c r="Q341" s="15"/>
      <c r="R341" s="15"/>
    </row>
    <row r="342" ht="15.75" customHeight="1">
      <c r="A342" s="122"/>
      <c r="B342" s="112"/>
      <c r="C342" s="113"/>
      <c r="D342" s="113"/>
      <c r="E342" s="113"/>
      <c r="F342" s="419"/>
      <c r="G342" s="419"/>
      <c r="H342" s="420">
        <f t="shared" si="2"/>
        <v>0</v>
      </c>
      <c r="I342" s="420" t="str">
        <f t="shared" si="3"/>
        <v/>
      </c>
      <c r="J342" s="113"/>
      <c r="K342" s="114"/>
      <c r="L342" s="15"/>
      <c r="M342" s="13"/>
      <c r="N342" s="15"/>
      <c r="O342" s="15"/>
      <c r="P342" s="15"/>
      <c r="Q342" s="15"/>
      <c r="R342" s="15"/>
    </row>
    <row r="343" ht="15.75" customHeight="1">
      <c r="A343" s="122"/>
      <c r="B343" s="112"/>
      <c r="C343" s="113"/>
      <c r="D343" s="113"/>
      <c r="E343" s="113"/>
      <c r="F343" s="419"/>
      <c r="G343" s="419"/>
      <c r="H343" s="420">
        <f t="shared" si="2"/>
        <v>0</v>
      </c>
      <c r="I343" s="420" t="str">
        <f t="shared" si="3"/>
        <v/>
      </c>
      <c r="J343" s="113"/>
      <c r="K343" s="114"/>
      <c r="L343" s="15"/>
      <c r="M343" s="13"/>
      <c r="N343" s="15"/>
      <c r="O343" s="15"/>
      <c r="P343" s="15"/>
      <c r="Q343" s="15"/>
      <c r="R343" s="15"/>
    </row>
    <row r="344" ht="15.75" customHeight="1">
      <c r="A344" s="122"/>
      <c r="B344" s="112"/>
      <c r="C344" s="113"/>
      <c r="D344" s="113"/>
      <c r="E344" s="113"/>
      <c r="F344" s="419"/>
      <c r="G344" s="419"/>
      <c r="H344" s="420">
        <f t="shared" si="2"/>
        <v>0</v>
      </c>
      <c r="I344" s="420" t="str">
        <f t="shared" si="3"/>
        <v/>
      </c>
      <c r="J344" s="113"/>
      <c r="K344" s="114"/>
      <c r="L344" s="15"/>
      <c r="M344" s="13"/>
      <c r="N344" s="15"/>
      <c r="O344" s="15"/>
      <c r="P344" s="15"/>
      <c r="Q344" s="15"/>
      <c r="R344" s="15"/>
    </row>
    <row r="345" ht="15.75" customHeight="1">
      <c r="A345" s="122"/>
      <c r="B345" s="112"/>
      <c r="C345" s="113"/>
      <c r="D345" s="113"/>
      <c r="E345" s="113"/>
      <c r="F345" s="419"/>
      <c r="G345" s="419"/>
      <c r="H345" s="420">
        <f t="shared" si="2"/>
        <v>0</v>
      </c>
      <c r="I345" s="420" t="str">
        <f t="shared" si="3"/>
        <v/>
      </c>
      <c r="J345" s="113"/>
      <c r="K345" s="114"/>
      <c r="L345" s="15"/>
      <c r="M345" s="13"/>
      <c r="N345" s="15"/>
      <c r="O345" s="15"/>
      <c r="P345" s="15"/>
      <c r="Q345" s="15"/>
      <c r="R345" s="15"/>
    </row>
    <row r="346" ht="15.75" customHeight="1">
      <c r="A346" s="122"/>
      <c r="B346" s="112"/>
      <c r="C346" s="113"/>
      <c r="D346" s="113"/>
      <c r="E346" s="113"/>
      <c r="F346" s="419"/>
      <c r="G346" s="419"/>
      <c r="H346" s="420">
        <f t="shared" si="2"/>
        <v>0</v>
      </c>
      <c r="I346" s="420" t="str">
        <f t="shared" si="3"/>
        <v/>
      </c>
      <c r="J346" s="113"/>
      <c r="K346" s="114"/>
      <c r="L346" s="15"/>
      <c r="M346" s="13"/>
      <c r="N346" s="15"/>
      <c r="O346" s="15"/>
      <c r="P346" s="15"/>
      <c r="Q346" s="15"/>
      <c r="R346" s="15"/>
    </row>
    <row r="347" ht="15.75" customHeight="1">
      <c r="A347" s="122"/>
      <c r="B347" s="112"/>
      <c r="C347" s="113"/>
      <c r="D347" s="113"/>
      <c r="E347" s="113"/>
      <c r="F347" s="419"/>
      <c r="G347" s="419"/>
      <c r="H347" s="420">
        <f t="shared" si="2"/>
        <v>0</v>
      </c>
      <c r="I347" s="420" t="str">
        <f t="shared" si="3"/>
        <v/>
      </c>
      <c r="J347" s="113"/>
      <c r="K347" s="114"/>
      <c r="L347" s="15"/>
      <c r="M347" s="13"/>
      <c r="N347" s="15"/>
      <c r="O347" s="15"/>
      <c r="P347" s="15"/>
      <c r="Q347" s="15"/>
      <c r="R347" s="15"/>
    </row>
    <row r="348" ht="15.75" customHeight="1">
      <c r="A348" s="122"/>
      <c r="B348" s="112"/>
      <c r="C348" s="113"/>
      <c r="D348" s="113"/>
      <c r="E348" s="113"/>
      <c r="F348" s="419"/>
      <c r="G348" s="419"/>
      <c r="H348" s="420">
        <f t="shared" si="2"/>
        <v>0</v>
      </c>
      <c r="I348" s="420" t="str">
        <f t="shared" si="3"/>
        <v/>
      </c>
      <c r="J348" s="113"/>
      <c r="K348" s="114"/>
      <c r="L348" s="15"/>
      <c r="M348" s="13"/>
      <c r="N348" s="15"/>
      <c r="O348" s="15"/>
      <c r="P348" s="15"/>
      <c r="Q348" s="15"/>
      <c r="R348" s="15"/>
    </row>
    <row r="349" ht="15.75" customHeight="1">
      <c r="A349" s="122"/>
      <c r="B349" s="112"/>
      <c r="C349" s="113"/>
      <c r="D349" s="113"/>
      <c r="E349" s="113"/>
      <c r="F349" s="419"/>
      <c r="G349" s="419"/>
      <c r="H349" s="420">
        <f t="shared" si="2"/>
        <v>0</v>
      </c>
      <c r="I349" s="420" t="str">
        <f t="shared" si="3"/>
        <v/>
      </c>
      <c r="J349" s="113"/>
      <c r="K349" s="114"/>
      <c r="L349" s="15"/>
      <c r="M349" s="13"/>
      <c r="N349" s="15"/>
      <c r="O349" s="15"/>
      <c r="P349" s="15"/>
      <c r="Q349" s="15"/>
      <c r="R349" s="15"/>
    </row>
    <row r="350" ht="15.75" customHeight="1">
      <c r="A350" s="122"/>
      <c r="B350" s="112"/>
      <c r="C350" s="113"/>
      <c r="D350" s="113"/>
      <c r="E350" s="113"/>
      <c r="F350" s="419"/>
      <c r="G350" s="419"/>
      <c r="H350" s="420">
        <f t="shared" si="2"/>
        <v>0</v>
      </c>
      <c r="I350" s="420" t="str">
        <f t="shared" si="3"/>
        <v/>
      </c>
      <c r="J350" s="113"/>
      <c r="K350" s="114"/>
      <c r="L350" s="15"/>
      <c r="M350" s="13"/>
      <c r="N350" s="15"/>
      <c r="O350" s="15"/>
      <c r="P350" s="15"/>
      <c r="Q350" s="15"/>
      <c r="R350" s="15"/>
    </row>
    <row r="351" ht="15.75" customHeight="1">
      <c r="A351" s="122"/>
      <c r="B351" s="112"/>
      <c r="C351" s="113"/>
      <c r="D351" s="113"/>
      <c r="E351" s="113"/>
      <c r="F351" s="419"/>
      <c r="G351" s="419"/>
      <c r="H351" s="420">
        <f t="shared" si="2"/>
        <v>0</v>
      </c>
      <c r="I351" s="420" t="str">
        <f t="shared" si="3"/>
        <v/>
      </c>
      <c r="J351" s="113"/>
      <c r="K351" s="114"/>
      <c r="L351" s="15"/>
      <c r="M351" s="13"/>
      <c r="N351" s="15"/>
      <c r="O351" s="15"/>
      <c r="P351" s="15"/>
      <c r="Q351" s="15"/>
      <c r="R351" s="15"/>
    </row>
    <row r="352" ht="15.75" customHeight="1">
      <c r="A352" s="122"/>
      <c r="B352" s="112"/>
      <c r="C352" s="113"/>
      <c r="D352" s="113"/>
      <c r="E352" s="113"/>
      <c r="F352" s="419"/>
      <c r="G352" s="419"/>
      <c r="H352" s="420">
        <f t="shared" si="2"/>
        <v>0</v>
      </c>
      <c r="I352" s="420" t="str">
        <f t="shared" si="3"/>
        <v/>
      </c>
      <c r="J352" s="113"/>
      <c r="K352" s="114"/>
      <c r="L352" s="15"/>
      <c r="M352" s="13"/>
      <c r="N352" s="15"/>
      <c r="O352" s="15"/>
      <c r="P352" s="15"/>
      <c r="Q352" s="15"/>
      <c r="R352" s="15"/>
    </row>
    <row r="353" ht="15.75" customHeight="1">
      <c r="A353" s="122"/>
      <c r="B353" s="112"/>
      <c r="C353" s="113"/>
      <c r="D353" s="113"/>
      <c r="E353" s="113"/>
      <c r="F353" s="419"/>
      <c r="G353" s="419"/>
      <c r="H353" s="420">
        <f t="shared" si="2"/>
        <v>0</v>
      </c>
      <c r="I353" s="420" t="str">
        <f t="shared" si="3"/>
        <v/>
      </c>
      <c r="J353" s="113"/>
      <c r="K353" s="114"/>
      <c r="L353" s="15"/>
      <c r="M353" s="13"/>
      <c r="N353" s="15"/>
      <c r="O353" s="15"/>
      <c r="P353" s="15"/>
      <c r="Q353" s="15"/>
      <c r="R353" s="15"/>
    </row>
    <row r="354" ht="15.75" customHeight="1">
      <c r="A354" s="122"/>
      <c r="B354" s="112"/>
      <c r="C354" s="113"/>
      <c r="D354" s="113"/>
      <c r="E354" s="113"/>
      <c r="F354" s="419"/>
      <c r="G354" s="419"/>
      <c r="H354" s="420">
        <f t="shared" si="2"/>
        <v>0</v>
      </c>
      <c r="I354" s="420" t="str">
        <f t="shared" si="3"/>
        <v/>
      </c>
      <c r="J354" s="113"/>
      <c r="K354" s="114"/>
      <c r="L354" s="15"/>
      <c r="M354" s="13"/>
      <c r="N354" s="15"/>
      <c r="O354" s="15"/>
      <c r="P354" s="15"/>
      <c r="Q354" s="15"/>
      <c r="R354" s="15"/>
    </row>
    <row r="355" ht="15.75" customHeight="1">
      <c r="A355" s="122"/>
      <c r="B355" s="112"/>
      <c r="C355" s="113"/>
      <c r="D355" s="113"/>
      <c r="E355" s="113"/>
      <c r="F355" s="419"/>
      <c r="G355" s="419"/>
      <c r="H355" s="420">
        <f t="shared" si="2"/>
        <v>0</v>
      </c>
      <c r="I355" s="420" t="str">
        <f t="shared" si="3"/>
        <v/>
      </c>
      <c r="J355" s="113"/>
      <c r="K355" s="114"/>
      <c r="L355" s="15"/>
      <c r="M355" s="13"/>
      <c r="N355" s="15"/>
      <c r="O355" s="15"/>
      <c r="P355" s="15"/>
      <c r="Q355" s="15"/>
      <c r="R355" s="15"/>
    </row>
    <row r="356" ht="15.75" customHeight="1">
      <c r="A356" s="122"/>
      <c r="B356" s="112"/>
      <c r="C356" s="113"/>
      <c r="D356" s="113"/>
      <c r="E356" s="113"/>
      <c r="F356" s="419"/>
      <c r="G356" s="419"/>
      <c r="H356" s="420">
        <f t="shared" si="2"/>
        <v>0</v>
      </c>
      <c r="I356" s="420" t="str">
        <f t="shared" si="3"/>
        <v/>
      </c>
      <c r="J356" s="113"/>
      <c r="K356" s="114"/>
      <c r="L356" s="15"/>
      <c r="M356" s="13"/>
      <c r="N356" s="15"/>
      <c r="O356" s="15"/>
      <c r="P356" s="15"/>
      <c r="Q356" s="15"/>
      <c r="R356" s="15"/>
    </row>
    <row r="357" ht="15.75" customHeight="1">
      <c r="A357" s="122"/>
      <c r="B357" s="112"/>
      <c r="C357" s="113"/>
      <c r="D357" s="113"/>
      <c r="E357" s="113"/>
      <c r="F357" s="419"/>
      <c r="G357" s="419"/>
      <c r="H357" s="420">
        <f t="shared" si="2"/>
        <v>0</v>
      </c>
      <c r="I357" s="420" t="str">
        <f t="shared" si="3"/>
        <v/>
      </c>
      <c r="J357" s="113"/>
      <c r="K357" s="114"/>
      <c r="L357" s="15"/>
      <c r="M357" s="13"/>
      <c r="N357" s="15"/>
      <c r="O357" s="15"/>
      <c r="P357" s="15"/>
      <c r="Q357" s="15"/>
      <c r="R357" s="15"/>
    </row>
    <row r="358" ht="15.75" customHeight="1">
      <c r="A358" s="122"/>
      <c r="B358" s="112"/>
      <c r="C358" s="113"/>
      <c r="D358" s="113"/>
      <c r="E358" s="113"/>
      <c r="F358" s="419"/>
      <c r="G358" s="419"/>
      <c r="H358" s="420">
        <f t="shared" si="2"/>
        <v>0</v>
      </c>
      <c r="I358" s="420" t="str">
        <f t="shared" si="3"/>
        <v/>
      </c>
      <c r="J358" s="113"/>
      <c r="K358" s="114"/>
      <c r="L358" s="15"/>
      <c r="M358" s="13"/>
      <c r="N358" s="15"/>
      <c r="O358" s="15"/>
      <c r="P358" s="15"/>
      <c r="Q358" s="15"/>
      <c r="R358" s="15"/>
    </row>
    <row r="359" ht="15.75" customHeight="1">
      <c r="A359" s="122"/>
      <c r="B359" s="112"/>
      <c r="C359" s="113"/>
      <c r="D359" s="113"/>
      <c r="E359" s="113"/>
      <c r="F359" s="419"/>
      <c r="G359" s="419"/>
      <c r="H359" s="420">
        <f t="shared" si="2"/>
        <v>0</v>
      </c>
      <c r="I359" s="420" t="str">
        <f t="shared" si="3"/>
        <v/>
      </c>
      <c r="J359" s="113"/>
      <c r="K359" s="114"/>
      <c r="L359" s="15"/>
      <c r="M359" s="13"/>
      <c r="N359" s="15"/>
      <c r="O359" s="15"/>
      <c r="P359" s="15"/>
      <c r="Q359" s="15"/>
      <c r="R359" s="15"/>
    </row>
    <row r="360" ht="15.75" customHeight="1">
      <c r="A360" s="122"/>
      <c r="B360" s="112"/>
      <c r="C360" s="113"/>
      <c r="D360" s="113"/>
      <c r="E360" s="113"/>
      <c r="F360" s="419"/>
      <c r="G360" s="419"/>
      <c r="H360" s="420">
        <f t="shared" si="2"/>
        <v>0</v>
      </c>
      <c r="I360" s="420" t="str">
        <f t="shared" si="3"/>
        <v/>
      </c>
      <c r="J360" s="113"/>
      <c r="K360" s="114"/>
      <c r="L360" s="15"/>
      <c r="M360" s="13"/>
      <c r="N360" s="15"/>
      <c r="O360" s="15"/>
      <c r="P360" s="15"/>
      <c r="Q360" s="15"/>
      <c r="R360" s="15"/>
    </row>
    <row r="361" ht="15.75" customHeight="1">
      <c r="A361" s="122"/>
      <c r="B361" s="112"/>
      <c r="C361" s="113"/>
      <c r="D361" s="113"/>
      <c r="E361" s="113"/>
      <c r="F361" s="419"/>
      <c r="G361" s="419"/>
      <c r="H361" s="420">
        <f t="shared" si="2"/>
        <v>0</v>
      </c>
      <c r="I361" s="420" t="str">
        <f t="shared" si="3"/>
        <v/>
      </c>
      <c r="J361" s="113"/>
      <c r="K361" s="114"/>
      <c r="L361" s="15"/>
      <c r="M361" s="13"/>
      <c r="N361" s="15"/>
      <c r="O361" s="15"/>
      <c r="P361" s="15"/>
      <c r="Q361" s="15"/>
      <c r="R361" s="15"/>
    </row>
    <row r="362" ht="15.75" customHeight="1">
      <c r="A362" s="122"/>
      <c r="B362" s="112"/>
      <c r="C362" s="113"/>
      <c r="D362" s="113"/>
      <c r="E362" s="113"/>
      <c r="F362" s="419"/>
      <c r="G362" s="419"/>
      <c r="H362" s="420">
        <f t="shared" si="2"/>
        <v>0</v>
      </c>
      <c r="I362" s="420" t="str">
        <f t="shared" si="3"/>
        <v/>
      </c>
      <c r="J362" s="113"/>
      <c r="K362" s="114"/>
      <c r="L362" s="15"/>
      <c r="M362" s="13"/>
      <c r="N362" s="15"/>
      <c r="O362" s="15"/>
      <c r="P362" s="15"/>
      <c r="Q362" s="15"/>
      <c r="R362" s="15"/>
    </row>
    <row r="363" ht="15.75" customHeight="1">
      <c r="A363" s="122"/>
      <c r="B363" s="112"/>
      <c r="C363" s="113"/>
      <c r="D363" s="113"/>
      <c r="E363" s="113"/>
      <c r="F363" s="419"/>
      <c r="G363" s="419"/>
      <c r="H363" s="420">
        <f t="shared" si="2"/>
        <v>0</v>
      </c>
      <c r="I363" s="420" t="str">
        <f t="shared" si="3"/>
        <v/>
      </c>
      <c r="J363" s="113"/>
      <c r="K363" s="114"/>
      <c r="L363" s="15"/>
      <c r="M363" s="13"/>
      <c r="N363" s="15"/>
      <c r="O363" s="15"/>
      <c r="P363" s="15"/>
      <c r="Q363" s="15"/>
      <c r="R363" s="15"/>
    </row>
    <row r="364" ht="15.75" customHeight="1">
      <c r="A364" s="122"/>
      <c r="B364" s="112"/>
      <c r="C364" s="113"/>
      <c r="D364" s="113"/>
      <c r="E364" s="113"/>
      <c r="F364" s="419"/>
      <c r="G364" s="419"/>
      <c r="H364" s="420">
        <f t="shared" si="2"/>
        <v>0</v>
      </c>
      <c r="I364" s="420" t="str">
        <f t="shared" si="3"/>
        <v/>
      </c>
      <c r="J364" s="113"/>
      <c r="K364" s="114"/>
      <c r="L364" s="15"/>
      <c r="M364" s="13"/>
      <c r="N364" s="15"/>
      <c r="O364" s="15"/>
      <c r="P364" s="15"/>
      <c r="Q364" s="15"/>
      <c r="R364" s="15"/>
    </row>
    <row r="365" ht="15.75" customHeight="1">
      <c r="A365" s="122"/>
      <c r="B365" s="112"/>
      <c r="C365" s="113"/>
      <c r="D365" s="113"/>
      <c r="E365" s="113"/>
      <c r="F365" s="419"/>
      <c r="G365" s="419"/>
      <c r="H365" s="420">
        <f t="shared" si="2"/>
        <v>0</v>
      </c>
      <c r="I365" s="420" t="str">
        <f t="shared" si="3"/>
        <v/>
      </c>
      <c r="J365" s="113"/>
      <c r="K365" s="114"/>
      <c r="L365" s="15"/>
      <c r="M365" s="13"/>
      <c r="N365" s="15"/>
      <c r="O365" s="15"/>
      <c r="P365" s="15"/>
      <c r="Q365" s="15"/>
      <c r="R365" s="15"/>
    </row>
    <row r="366" ht="15.75" customHeight="1">
      <c r="A366" s="122"/>
      <c r="B366" s="112"/>
      <c r="C366" s="113"/>
      <c r="D366" s="113"/>
      <c r="E366" s="113"/>
      <c r="F366" s="419"/>
      <c r="G366" s="419"/>
      <c r="H366" s="420">
        <f t="shared" si="2"/>
        <v>0</v>
      </c>
      <c r="I366" s="420" t="str">
        <f t="shared" si="3"/>
        <v/>
      </c>
      <c r="J366" s="113"/>
      <c r="K366" s="114"/>
      <c r="L366" s="15"/>
      <c r="M366" s="13"/>
      <c r="N366" s="15"/>
      <c r="O366" s="15"/>
      <c r="P366" s="15"/>
      <c r="Q366" s="15"/>
      <c r="R366" s="15"/>
    </row>
    <row r="367" ht="15.75" customHeight="1">
      <c r="A367" s="122"/>
      <c r="B367" s="112"/>
      <c r="C367" s="113"/>
      <c r="D367" s="113"/>
      <c r="E367" s="113"/>
      <c r="F367" s="419"/>
      <c r="G367" s="419"/>
      <c r="H367" s="420">
        <f t="shared" si="2"/>
        <v>0</v>
      </c>
      <c r="I367" s="420" t="str">
        <f t="shared" si="3"/>
        <v/>
      </c>
      <c r="J367" s="113"/>
      <c r="K367" s="114"/>
      <c r="L367" s="15"/>
      <c r="M367" s="13"/>
      <c r="N367" s="15"/>
      <c r="O367" s="15"/>
      <c r="P367" s="15"/>
      <c r="Q367" s="15"/>
      <c r="R367" s="15"/>
    </row>
    <row r="368" ht="15.75" customHeight="1">
      <c r="A368" s="122"/>
      <c r="B368" s="112"/>
      <c r="C368" s="113"/>
      <c r="D368" s="113"/>
      <c r="E368" s="113"/>
      <c r="F368" s="419"/>
      <c r="G368" s="419"/>
      <c r="H368" s="420">
        <f t="shared" si="2"/>
        <v>0</v>
      </c>
      <c r="I368" s="420" t="str">
        <f t="shared" si="3"/>
        <v/>
      </c>
      <c r="J368" s="113"/>
      <c r="K368" s="114"/>
      <c r="L368" s="15"/>
      <c r="M368" s="13"/>
      <c r="N368" s="15"/>
      <c r="O368" s="15"/>
      <c r="P368" s="15"/>
      <c r="Q368" s="15"/>
      <c r="R368" s="15"/>
    </row>
    <row r="369" ht="15.75" customHeight="1">
      <c r="A369" s="122"/>
      <c r="B369" s="112"/>
      <c r="C369" s="113"/>
      <c r="D369" s="113"/>
      <c r="E369" s="113"/>
      <c r="F369" s="419"/>
      <c r="G369" s="419"/>
      <c r="H369" s="420">
        <f t="shared" si="2"/>
        <v>0</v>
      </c>
      <c r="I369" s="420" t="str">
        <f t="shared" si="3"/>
        <v/>
      </c>
      <c r="J369" s="113"/>
      <c r="K369" s="114"/>
      <c r="L369" s="15"/>
      <c r="M369" s="13"/>
      <c r="N369" s="15"/>
      <c r="O369" s="15"/>
      <c r="P369" s="15"/>
      <c r="Q369" s="15"/>
      <c r="R369" s="15"/>
    </row>
    <row r="370" ht="15.75" customHeight="1">
      <c r="A370" s="122"/>
      <c r="B370" s="112"/>
      <c r="C370" s="113"/>
      <c r="D370" s="113"/>
      <c r="E370" s="113"/>
      <c r="F370" s="419"/>
      <c r="G370" s="419"/>
      <c r="H370" s="420">
        <f t="shared" si="2"/>
        <v>0</v>
      </c>
      <c r="I370" s="420" t="str">
        <f t="shared" si="3"/>
        <v/>
      </c>
      <c r="J370" s="113"/>
      <c r="K370" s="114"/>
      <c r="L370" s="15"/>
      <c r="M370" s="13"/>
      <c r="N370" s="15"/>
      <c r="O370" s="15"/>
      <c r="P370" s="15"/>
      <c r="Q370" s="15"/>
      <c r="R370" s="15"/>
    </row>
    <row r="371" ht="15.75" customHeight="1">
      <c r="A371" s="122"/>
      <c r="B371" s="112"/>
      <c r="C371" s="113"/>
      <c r="D371" s="113"/>
      <c r="E371" s="113"/>
      <c r="F371" s="419"/>
      <c r="G371" s="419"/>
      <c r="H371" s="420">
        <f t="shared" si="2"/>
        <v>0</v>
      </c>
      <c r="I371" s="420" t="str">
        <f t="shared" si="3"/>
        <v/>
      </c>
      <c r="J371" s="113"/>
      <c r="K371" s="114"/>
      <c r="L371" s="15"/>
      <c r="M371" s="13"/>
      <c r="N371" s="15"/>
      <c r="O371" s="15"/>
      <c r="P371" s="15"/>
      <c r="Q371" s="15"/>
      <c r="R371" s="15"/>
    </row>
    <row r="372" ht="15.75" customHeight="1">
      <c r="A372" s="122"/>
      <c r="B372" s="112"/>
      <c r="C372" s="113"/>
      <c r="D372" s="113"/>
      <c r="E372" s="113"/>
      <c r="F372" s="419"/>
      <c r="G372" s="419"/>
      <c r="H372" s="420">
        <f t="shared" si="2"/>
        <v>0</v>
      </c>
      <c r="I372" s="420" t="str">
        <f t="shared" si="3"/>
        <v/>
      </c>
      <c r="J372" s="113"/>
      <c r="K372" s="114"/>
      <c r="L372" s="15"/>
      <c r="M372" s="13"/>
      <c r="N372" s="15"/>
      <c r="O372" s="15"/>
      <c r="P372" s="15"/>
      <c r="Q372" s="15"/>
      <c r="R372" s="15"/>
    </row>
    <row r="373" ht="15.75" customHeight="1">
      <c r="A373" s="122"/>
      <c r="B373" s="112"/>
      <c r="C373" s="113"/>
      <c r="D373" s="113"/>
      <c r="E373" s="113"/>
      <c r="F373" s="419"/>
      <c r="G373" s="419"/>
      <c r="H373" s="420">
        <f t="shared" si="2"/>
        <v>0</v>
      </c>
      <c r="I373" s="420" t="str">
        <f t="shared" si="3"/>
        <v/>
      </c>
      <c r="J373" s="113"/>
      <c r="K373" s="114"/>
      <c r="L373" s="15"/>
      <c r="M373" s="13"/>
      <c r="N373" s="15"/>
      <c r="O373" s="15"/>
      <c r="P373" s="15"/>
      <c r="Q373" s="15"/>
      <c r="R373" s="15"/>
    </row>
    <row r="374" ht="15.75" customHeight="1">
      <c r="A374" s="122"/>
      <c r="B374" s="112"/>
      <c r="C374" s="113"/>
      <c r="D374" s="113"/>
      <c r="E374" s="113"/>
      <c r="F374" s="419"/>
      <c r="G374" s="419"/>
      <c r="H374" s="420">
        <f t="shared" si="2"/>
        <v>0</v>
      </c>
      <c r="I374" s="420" t="str">
        <f t="shared" si="3"/>
        <v/>
      </c>
      <c r="J374" s="113"/>
      <c r="K374" s="114"/>
      <c r="L374" s="15"/>
      <c r="M374" s="13"/>
      <c r="N374" s="15"/>
      <c r="O374" s="15"/>
      <c r="P374" s="15"/>
      <c r="Q374" s="15"/>
      <c r="R374" s="15"/>
    </row>
    <row r="375" ht="15.75" customHeight="1">
      <c r="A375" s="122"/>
      <c r="B375" s="112"/>
      <c r="C375" s="113"/>
      <c r="D375" s="113"/>
      <c r="E375" s="113"/>
      <c r="F375" s="419"/>
      <c r="G375" s="419"/>
      <c r="H375" s="420">
        <f t="shared" si="2"/>
        <v>0</v>
      </c>
      <c r="I375" s="420" t="str">
        <f t="shared" si="3"/>
        <v/>
      </c>
      <c r="J375" s="113"/>
      <c r="K375" s="114"/>
      <c r="L375" s="15"/>
      <c r="M375" s="13"/>
      <c r="N375" s="15"/>
      <c r="O375" s="15"/>
      <c r="P375" s="15"/>
      <c r="Q375" s="15"/>
      <c r="R375" s="15"/>
    </row>
    <row r="376" ht="15.75" customHeight="1">
      <c r="A376" s="122"/>
      <c r="B376" s="112"/>
      <c r="C376" s="113"/>
      <c r="D376" s="113"/>
      <c r="E376" s="113"/>
      <c r="F376" s="419"/>
      <c r="G376" s="419"/>
      <c r="H376" s="420">
        <f t="shared" si="2"/>
        <v>0</v>
      </c>
      <c r="I376" s="420" t="str">
        <f t="shared" si="3"/>
        <v/>
      </c>
      <c r="J376" s="113"/>
      <c r="K376" s="114"/>
      <c r="L376" s="15"/>
      <c r="M376" s="13"/>
      <c r="N376" s="15"/>
      <c r="O376" s="15"/>
      <c r="P376" s="15"/>
      <c r="Q376" s="15"/>
      <c r="R376" s="15"/>
    </row>
    <row r="377" ht="15.75" customHeight="1">
      <c r="A377" s="122"/>
      <c r="B377" s="112"/>
      <c r="C377" s="113"/>
      <c r="D377" s="113"/>
      <c r="E377" s="113"/>
      <c r="F377" s="419"/>
      <c r="G377" s="419"/>
      <c r="H377" s="420">
        <f t="shared" si="2"/>
        <v>0</v>
      </c>
      <c r="I377" s="420" t="str">
        <f t="shared" si="3"/>
        <v/>
      </c>
      <c r="J377" s="113"/>
      <c r="K377" s="114"/>
      <c r="L377" s="15"/>
      <c r="M377" s="13"/>
      <c r="N377" s="15"/>
      <c r="O377" s="15"/>
      <c r="P377" s="15"/>
      <c r="Q377" s="15"/>
      <c r="R377" s="15"/>
    </row>
    <row r="378" ht="15.75" customHeight="1">
      <c r="A378" s="122"/>
      <c r="B378" s="112"/>
      <c r="C378" s="113"/>
      <c r="D378" s="113"/>
      <c r="E378" s="113"/>
      <c r="F378" s="419"/>
      <c r="G378" s="419"/>
      <c r="H378" s="420">
        <f t="shared" si="2"/>
        <v>0</v>
      </c>
      <c r="I378" s="420" t="str">
        <f t="shared" si="3"/>
        <v/>
      </c>
      <c r="J378" s="113"/>
      <c r="K378" s="114"/>
      <c r="L378" s="15"/>
      <c r="M378" s="13"/>
      <c r="N378" s="15"/>
      <c r="O378" s="15"/>
      <c r="P378" s="15"/>
      <c r="Q378" s="15"/>
      <c r="R378" s="15"/>
    </row>
    <row r="379" ht="15.75" customHeight="1">
      <c r="A379" s="122"/>
      <c r="B379" s="112"/>
      <c r="C379" s="113"/>
      <c r="D379" s="113"/>
      <c r="E379" s="113"/>
      <c r="F379" s="419"/>
      <c r="G379" s="419"/>
      <c r="H379" s="420">
        <f t="shared" si="2"/>
        <v>0</v>
      </c>
      <c r="I379" s="420" t="str">
        <f t="shared" si="3"/>
        <v/>
      </c>
      <c r="J379" s="113"/>
      <c r="K379" s="114"/>
      <c r="L379" s="15"/>
      <c r="M379" s="13"/>
      <c r="N379" s="15"/>
      <c r="O379" s="15"/>
      <c r="P379" s="15"/>
      <c r="Q379" s="15"/>
      <c r="R379" s="15"/>
    </row>
    <row r="380" ht="15.75" customHeight="1">
      <c r="A380" s="122"/>
      <c r="B380" s="112"/>
      <c r="C380" s="113"/>
      <c r="D380" s="113"/>
      <c r="E380" s="113"/>
      <c r="F380" s="419"/>
      <c r="G380" s="419"/>
      <c r="H380" s="420">
        <f t="shared" si="2"/>
        <v>0</v>
      </c>
      <c r="I380" s="420" t="str">
        <f t="shared" si="3"/>
        <v/>
      </c>
      <c r="J380" s="113"/>
      <c r="K380" s="114"/>
      <c r="L380" s="15"/>
      <c r="M380" s="13"/>
      <c r="N380" s="15"/>
      <c r="O380" s="15"/>
      <c r="P380" s="15"/>
      <c r="Q380" s="15"/>
      <c r="R380" s="15"/>
    </row>
    <row r="381" ht="15.75" customHeight="1">
      <c r="A381" s="122"/>
      <c r="B381" s="112"/>
      <c r="C381" s="113"/>
      <c r="D381" s="113"/>
      <c r="E381" s="113"/>
      <c r="F381" s="419"/>
      <c r="G381" s="419"/>
      <c r="H381" s="420">
        <f t="shared" si="2"/>
        <v>0</v>
      </c>
      <c r="I381" s="420" t="str">
        <f t="shared" si="3"/>
        <v/>
      </c>
      <c r="J381" s="113"/>
      <c r="K381" s="114"/>
      <c r="L381" s="15"/>
      <c r="M381" s="13"/>
      <c r="N381" s="15"/>
      <c r="O381" s="15"/>
      <c r="P381" s="15"/>
      <c r="Q381" s="15"/>
      <c r="R381" s="15"/>
    </row>
    <row r="382" ht="15.75" customHeight="1">
      <c r="A382" s="122"/>
      <c r="B382" s="112"/>
      <c r="C382" s="113"/>
      <c r="D382" s="113"/>
      <c r="E382" s="113"/>
      <c r="F382" s="419"/>
      <c r="G382" s="419"/>
      <c r="H382" s="420">
        <f t="shared" si="2"/>
        <v>0</v>
      </c>
      <c r="I382" s="420" t="str">
        <f t="shared" si="3"/>
        <v/>
      </c>
      <c r="J382" s="113"/>
      <c r="K382" s="114"/>
      <c r="L382" s="15"/>
      <c r="M382" s="13"/>
      <c r="N382" s="15"/>
      <c r="O382" s="15"/>
      <c r="P382" s="15"/>
      <c r="Q382" s="15"/>
      <c r="R382" s="15"/>
    </row>
    <row r="383" ht="15.75" customHeight="1">
      <c r="A383" s="122"/>
      <c r="B383" s="112"/>
      <c r="C383" s="113"/>
      <c r="D383" s="113"/>
      <c r="E383" s="113"/>
      <c r="F383" s="419"/>
      <c r="G383" s="419"/>
      <c r="H383" s="420">
        <f t="shared" si="2"/>
        <v>0</v>
      </c>
      <c r="I383" s="420" t="str">
        <f t="shared" si="3"/>
        <v/>
      </c>
      <c r="J383" s="113"/>
      <c r="K383" s="114"/>
      <c r="L383" s="15"/>
      <c r="M383" s="13"/>
      <c r="N383" s="15"/>
      <c r="O383" s="15"/>
      <c r="P383" s="15"/>
      <c r="Q383" s="15"/>
      <c r="R383" s="15"/>
    </row>
    <row r="384" ht="15.75" customHeight="1">
      <c r="A384" s="122"/>
      <c r="B384" s="112"/>
      <c r="C384" s="113"/>
      <c r="D384" s="113"/>
      <c r="E384" s="113"/>
      <c r="F384" s="419"/>
      <c r="G384" s="419"/>
      <c r="H384" s="420">
        <f t="shared" si="2"/>
        <v>0</v>
      </c>
      <c r="I384" s="420" t="str">
        <f t="shared" si="3"/>
        <v/>
      </c>
      <c r="J384" s="113"/>
      <c r="K384" s="114"/>
      <c r="L384" s="15"/>
      <c r="M384" s="13"/>
      <c r="N384" s="15"/>
      <c r="O384" s="15"/>
      <c r="P384" s="15"/>
      <c r="Q384" s="15"/>
      <c r="R384" s="15"/>
    </row>
    <row r="385" ht="15.75" customHeight="1">
      <c r="A385" s="122"/>
      <c r="B385" s="112"/>
      <c r="C385" s="113"/>
      <c r="D385" s="113"/>
      <c r="E385" s="113"/>
      <c r="F385" s="419"/>
      <c r="G385" s="419"/>
      <c r="H385" s="420">
        <f t="shared" si="2"/>
        <v>0</v>
      </c>
      <c r="I385" s="420" t="str">
        <f t="shared" si="3"/>
        <v/>
      </c>
      <c r="J385" s="113"/>
      <c r="K385" s="114"/>
      <c r="L385" s="15"/>
      <c r="M385" s="13"/>
      <c r="N385" s="15"/>
      <c r="O385" s="15"/>
      <c r="P385" s="15"/>
      <c r="Q385" s="15"/>
      <c r="R385" s="15"/>
    </row>
    <row r="386" ht="15.75" customHeight="1">
      <c r="A386" s="122"/>
      <c r="B386" s="112"/>
      <c r="C386" s="113"/>
      <c r="D386" s="113"/>
      <c r="E386" s="113"/>
      <c r="F386" s="419"/>
      <c r="G386" s="419"/>
      <c r="H386" s="420">
        <f t="shared" si="2"/>
        <v>0</v>
      </c>
      <c r="I386" s="420" t="str">
        <f t="shared" si="3"/>
        <v/>
      </c>
      <c r="J386" s="113"/>
      <c r="K386" s="114"/>
      <c r="L386" s="15"/>
      <c r="M386" s="13"/>
      <c r="N386" s="15"/>
      <c r="O386" s="15"/>
      <c r="P386" s="15"/>
      <c r="Q386" s="15"/>
      <c r="R386" s="15"/>
    </row>
    <row r="387" ht="15.75" customHeight="1">
      <c r="A387" s="122"/>
      <c r="B387" s="112"/>
      <c r="C387" s="113"/>
      <c r="D387" s="113"/>
      <c r="E387" s="113"/>
      <c r="F387" s="419"/>
      <c r="G387" s="419"/>
      <c r="H387" s="420">
        <f t="shared" si="2"/>
        <v>0</v>
      </c>
      <c r="I387" s="420" t="str">
        <f t="shared" si="3"/>
        <v/>
      </c>
      <c r="J387" s="113"/>
      <c r="K387" s="114"/>
      <c r="L387" s="15"/>
      <c r="M387" s="13"/>
      <c r="N387" s="15"/>
      <c r="O387" s="15"/>
      <c r="P387" s="15"/>
      <c r="Q387" s="15"/>
      <c r="R387" s="15"/>
    </row>
    <row r="388" ht="15.75" customHeight="1">
      <c r="A388" s="122"/>
      <c r="B388" s="112"/>
      <c r="C388" s="113"/>
      <c r="D388" s="113"/>
      <c r="E388" s="113"/>
      <c r="F388" s="419"/>
      <c r="G388" s="419"/>
      <c r="H388" s="420">
        <f t="shared" si="2"/>
        <v>0</v>
      </c>
      <c r="I388" s="420" t="str">
        <f t="shared" si="3"/>
        <v/>
      </c>
      <c r="J388" s="113"/>
      <c r="K388" s="114"/>
      <c r="L388" s="15"/>
      <c r="M388" s="13"/>
      <c r="N388" s="15"/>
      <c r="O388" s="15"/>
      <c r="P388" s="15"/>
      <c r="Q388" s="15"/>
      <c r="R388" s="15"/>
    </row>
    <row r="389" ht="15.75" customHeight="1">
      <c r="A389" s="122"/>
      <c r="B389" s="112"/>
      <c r="C389" s="113"/>
      <c r="D389" s="113"/>
      <c r="E389" s="113"/>
      <c r="F389" s="419"/>
      <c r="G389" s="419"/>
      <c r="H389" s="420">
        <f t="shared" si="2"/>
        <v>0</v>
      </c>
      <c r="I389" s="420" t="str">
        <f t="shared" si="3"/>
        <v/>
      </c>
      <c r="J389" s="113"/>
      <c r="K389" s="114"/>
      <c r="L389" s="15"/>
      <c r="M389" s="13"/>
      <c r="N389" s="15"/>
      <c r="O389" s="15"/>
      <c r="P389" s="15"/>
      <c r="Q389" s="15"/>
      <c r="R389" s="15"/>
    </row>
    <row r="390" ht="15.75" customHeight="1">
      <c r="A390" s="122"/>
      <c r="B390" s="112"/>
      <c r="C390" s="113"/>
      <c r="D390" s="113"/>
      <c r="E390" s="113"/>
      <c r="F390" s="419"/>
      <c r="G390" s="419"/>
      <c r="H390" s="420">
        <f t="shared" si="2"/>
        <v>0</v>
      </c>
      <c r="I390" s="420" t="str">
        <f t="shared" si="3"/>
        <v/>
      </c>
      <c r="J390" s="113"/>
      <c r="K390" s="114"/>
      <c r="L390" s="15"/>
      <c r="M390" s="13"/>
      <c r="N390" s="15"/>
      <c r="O390" s="15"/>
      <c r="P390" s="15"/>
      <c r="Q390" s="15"/>
      <c r="R390" s="15"/>
    </row>
    <row r="391" ht="15.75" customHeight="1">
      <c r="A391" s="122"/>
      <c r="B391" s="112"/>
      <c r="C391" s="113"/>
      <c r="D391" s="113"/>
      <c r="E391" s="113"/>
      <c r="F391" s="419"/>
      <c r="G391" s="419"/>
      <c r="H391" s="420">
        <f t="shared" si="2"/>
        <v>0</v>
      </c>
      <c r="I391" s="420" t="str">
        <f t="shared" si="3"/>
        <v/>
      </c>
      <c r="J391" s="113"/>
      <c r="K391" s="114"/>
      <c r="L391" s="15"/>
      <c r="M391" s="13"/>
      <c r="N391" s="15"/>
      <c r="O391" s="15"/>
      <c r="P391" s="15"/>
      <c r="Q391" s="15"/>
      <c r="R391" s="15"/>
    </row>
    <row r="392" ht="15.75" customHeight="1">
      <c r="A392" s="122"/>
      <c r="B392" s="112"/>
      <c r="C392" s="113"/>
      <c r="D392" s="113"/>
      <c r="E392" s="113"/>
      <c r="F392" s="419"/>
      <c r="G392" s="419"/>
      <c r="H392" s="420">
        <f t="shared" si="2"/>
        <v>0</v>
      </c>
      <c r="I392" s="420" t="str">
        <f t="shared" si="3"/>
        <v/>
      </c>
      <c r="J392" s="113"/>
      <c r="K392" s="114"/>
      <c r="L392" s="15"/>
      <c r="M392" s="13"/>
      <c r="N392" s="15"/>
      <c r="O392" s="15"/>
      <c r="P392" s="15"/>
      <c r="Q392" s="15"/>
      <c r="R392" s="15"/>
    </row>
    <row r="393" ht="15.75" customHeight="1">
      <c r="A393" s="122"/>
      <c r="B393" s="112"/>
      <c r="C393" s="113"/>
      <c r="D393" s="113"/>
      <c r="E393" s="113"/>
      <c r="F393" s="419"/>
      <c r="G393" s="419"/>
      <c r="H393" s="420">
        <f t="shared" si="2"/>
        <v>0</v>
      </c>
      <c r="I393" s="420" t="str">
        <f t="shared" si="3"/>
        <v/>
      </c>
      <c r="J393" s="113"/>
      <c r="K393" s="114"/>
      <c r="L393" s="15"/>
      <c r="M393" s="13"/>
      <c r="N393" s="15"/>
      <c r="O393" s="15"/>
      <c r="P393" s="15"/>
      <c r="Q393" s="15"/>
      <c r="R393" s="15"/>
    </row>
    <row r="394" ht="15.75" customHeight="1">
      <c r="A394" s="122"/>
      <c r="B394" s="112"/>
      <c r="C394" s="113"/>
      <c r="D394" s="113"/>
      <c r="E394" s="113"/>
      <c r="F394" s="419"/>
      <c r="G394" s="419"/>
      <c r="H394" s="420">
        <f t="shared" si="2"/>
        <v>0</v>
      </c>
      <c r="I394" s="420" t="str">
        <f t="shared" si="3"/>
        <v/>
      </c>
      <c r="J394" s="113"/>
      <c r="K394" s="114"/>
      <c r="L394" s="15"/>
      <c r="M394" s="13"/>
      <c r="N394" s="15"/>
      <c r="O394" s="15"/>
      <c r="P394" s="15"/>
      <c r="Q394" s="15"/>
      <c r="R394" s="15"/>
    </row>
    <row r="395" ht="15.75" customHeight="1">
      <c r="A395" s="122"/>
      <c r="B395" s="112"/>
      <c r="C395" s="113"/>
      <c r="D395" s="113"/>
      <c r="E395" s="113"/>
      <c r="F395" s="419"/>
      <c r="G395" s="419"/>
      <c r="H395" s="420">
        <f t="shared" si="2"/>
        <v>0</v>
      </c>
      <c r="I395" s="420" t="str">
        <f t="shared" si="3"/>
        <v/>
      </c>
      <c r="J395" s="113"/>
      <c r="K395" s="114"/>
      <c r="L395" s="15"/>
      <c r="M395" s="13"/>
      <c r="N395" s="15"/>
      <c r="O395" s="15"/>
      <c r="P395" s="15"/>
      <c r="Q395" s="15"/>
      <c r="R395" s="15"/>
    </row>
    <row r="396" ht="15.75" customHeight="1">
      <c r="A396" s="122"/>
      <c r="B396" s="112"/>
      <c r="C396" s="113"/>
      <c r="D396" s="113"/>
      <c r="E396" s="113"/>
      <c r="F396" s="419"/>
      <c r="G396" s="419"/>
      <c r="H396" s="420">
        <f t="shared" si="2"/>
        <v>0</v>
      </c>
      <c r="I396" s="420" t="str">
        <f t="shared" si="3"/>
        <v/>
      </c>
      <c r="J396" s="113"/>
      <c r="K396" s="114"/>
      <c r="L396" s="15"/>
      <c r="M396" s="13"/>
      <c r="N396" s="15"/>
      <c r="O396" s="15"/>
      <c r="P396" s="15"/>
      <c r="Q396" s="15"/>
      <c r="R396" s="15"/>
    </row>
    <row r="397" ht="15.75" customHeight="1">
      <c r="A397" s="122"/>
      <c r="B397" s="112"/>
      <c r="C397" s="113"/>
      <c r="D397" s="113"/>
      <c r="E397" s="113"/>
      <c r="F397" s="419"/>
      <c r="G397" s="419"/>
      <c r="H397" s="420">
        <f t="shared" si="2"/>
        <v>0</v>
      </c>
      <c r="I397" s="420" t="str">
        <f t="shared" si="3"/>
        <v/>
      </c>
      <c r="J397" s="113"/>
      <c r="K397" s="114"/>
      <c r="L397" s="15"/>
      <c r="M397" s="13"/>
      <c r="N397" s="15"/>
      <c r="O397" s="15"/>
      <c r="P397" s="15"/>
      <c r="Q397" s="15"/>
      <c r="R397" s="15"/>
    </row>
    <row r="398" ht="15.75" customHeight="1">
      <c r="A398" s="122"/>
      <c r="B398" s="112"/>
      <c r="C398" s="113"/>
      <c r="D398" s="113"/>
      <c r="E398" s="113"/>
      <c r="F398" s="419"/>
      <c r="G398" s="419"/>
      <c r="H398" s="420">
        <f t="shared" si="2"/>
        <v>0</v>
      </c>
      <c r="I398" s="420" t="str">
        <f t="shared" si="3"/>
        <v/>
      </c>
      <c r="J398" s="113"/>
      <c r="K398" s="114"/>
      <c r="L398" s="15"/>
      <c r="M398" s="13"/>
      <c r="N398" s="15"/>
      <c r="O398" s="15"/>
      <c r="P398" s="15"/>
      <c r="Q398" s="15"/>
      <c r="R398" s="15"/>
    </row>
    <row r="399" ht="15.75" customHeight="1">
      <c r="A399" s="122"/>
      <c r="B399" s="112"/>
      <c r="C399" s="113"/>
      <c r="D399" s="113"/>
      <c r="E399" s="113"/>
      <c r="F399" s="419"/>
      <c r="G399" s="419"/>
      <c r="H399" s="420">
        <f t="shared" si="2"/>
        <v>0</v>
      </c>
      <c r="I399" s="420" t="str">
        <f t="shared" si="3"/>
        <v/>
      </c>
      <c r="J399" s="113"/>
      <c r="K399" s="114"/>
      <c r="L399" s="15"/>
      <c r="M399" s="13"/>
      <c r="N399" s="15"/>
      <c r="O399" s="15"/>
      <c r="P399" s="15"/>
      <c r="Q399" s="15"/>
      <c r="R399" s="15"/>
    </row>
    <row r="400" ht="15.75" customHeight="1">
      <c r="A400" s="122"/>
      <c r="B400" s="112"/>
      <c r="C400" s="113"/>
      <c r="D400" s="113"/>
      <c r="E400" s="113"/>
      <c r="F400" s="419"/>
      <c r="G400" s="419"/>
      <c r="H400" s="420">
        <f t="shared" si="2"/>
        <v>0</v>
      </c>
      <c r="I400" s="420" t="str">
        <f t="shared" si="3"/>
        <v/>
      </c>
      <c r="J400" s="113"/>
      <c r="K400" s="114"/>
      <c r="L400" s="15"/>
      <c r="M400" s="13"/>
      <c r="N400" s="15"/>
      <c r="O400" s="15"/>
      <c r="P400" s="15"/>
      <c r="Q400" s="15"/>
      <c r="R400" s="15"/>
    </row>
    <row r="401" ht="15.75" customHeight="1">
      <c r="A401" s="122"/>
      <c r="B401" s="112"/>
      <c r="C401" s="113"/>
      <c r="D401" s="113"/>
      <c r="E401" s="113"/>
      <c r="F401" s="419"/>
      <c r="G401" s="419"/>
      <c r="H401" s="420">
        <f t="shared" si="2"/>
        <v>0</v>
      </c>
      <c r="I401" s="420" t="str">
        <f t="shared" si="3"/>
        <v/>
      </c>
      <c r="J401" s="113"/>
      <c r="K401" s="114"/>
      <c r="L401" s="15"/>
      <c r="M401" s="13"/>
      <c r="N401" s="15"/>
      <c r="O401" s="15"/>
      <c r="P401" s="15"/>
      <c r="Q401" s="15"/>
      <c r="R401" s="15"/>
    </row>
    <row r="402" ht="15.75" customHeight="1">
      <c r="A402" s="122"/>
      <c r="B402" s="112"/>
      <c r="C402" s="113"/>
      <c r="D402" s="113"/>
      <c r="E402" s="113"/>
      <c r="F402" s="419"/>
      <c r="G402" s="419"/>
      <c r="H402" s="420">
        <f t="shared" si="2"/>
        <v>0</v>
      </c>
      <c r="I402" s="420" t="str">
        <f t="shared" si="3"/>
        <v/>
      </c>
      <c r="J402" s="113"/>
      <c r="K402" s="114"/>
      <c r="L402" s="15"/>
      <c r="M402" s="13"/>
      <c r="N402" s="15"/>
      <c r="O402" s="15"/>
      <c r="P402" s="15"/>
      <c r="Q402" s="15"/>
      <c r="R402" s="15"/>
    </row>
    <row r="403" ht="15.75" customHeight="1">
      <c r="A403" s="122"/>
      <c r="B403" s="112"/>
      <c r="C403" s="113"/>
      <c r="D403" s="113"/>
      <c r="E403" s="113"/>
      <c r="F403" s="419"/>
      <c r="G403" s="419"/>
      <c r="H403" s="420">
        <f t="shared" si="2"/>
        <v>0</v>
      </c>
      <c r="I403" s="420" t="str">
        <f t="shared" si="3"/>
        <v/>
      </c>
      <c r="J403" s="113"/>
      <c r="K403" s="114"/>
      <c r="L403" s="15"/>
      <c r="M403" s="13"/>
      <c r="N403" s="15"/>
      <c r="O403" s="15"/>
      <c r="P403" s="15"/>
      <c r="Q403" s="15"/>
      <c r="R403" s="15"/>
    </row>
    <row r="404" ht="15.75" customHeight="1">
      <c r="A404" s="122"/>
      <c r="B404" s="112"/>
      <c r="C404" s="113"/>
      <c r="D404" s="113"/>
      <c r="E404" s="113"/>
      <c r="F404" s="419"/>
      <c r="G404" s="419"/>
      <c r="H404" s="420">
        <f t="shared" si="2"/>
        <v>0</v>
      </c>
      <c r="I404" s="420" t="str">
        <f t="shared" si="3"/>
        <v/>
      </c>
      <c r="J404" s="113"/>
      <c r="K404" s="114"/>
      <c r="L404" s="15"/>
      <c r="M404" s="13"/>
      <c r="N404" s="15"/>
      <c r="O404" s="15"/>
      <c r="P404" s="15"/>
      <c r="Q404" s="15"/>
      <c r="R404" s="15"/>
    </row>
    <row r="405" ht="15.75" customHeight="1">
      <c r="A405" s="122"/>
      <c r="B405" s="112"/>
      <c r="C405" s="113"/>
      <c r="D405" s="113"/>
      <c r="E405" s="113"/>
      <c r="F405" s="419"/>
      <c r="G405" s="419"/>
      <c r="H405" s="420">
        <f t="shared" si="2"/>
        <v>0</v>
      </c>
      <c r="I405" s="420" t="str">
        <f t="shared" si="3"/>
        <v/>
      </c>
      <c r="J405" s="113"/>
      <c r="K405" s="114"/>
      <c r="L405" s="15"/>
      <c r="M405" s="13"/>
      <c r="N405" s="15"/>
      <c r="O405" s="15"/>
      <c r="P405" s="15"/>
      <c r="Q405" s="15"/>
      <c r="R405" s="15"/>
    </row>
    <row r="406" ht="15.75" customHeight="1">
      <c r="A406" s="122"/>
      <c r="B406" s="112"/>
      <c r="C406" s="113"/>
      <c r="D406" s="113"/>
      <c r="E406" s="113"/>
      <c r="F406" s="419"/>
      <c r="G406" s="419"/>
      <c r="H406" s="420">
        <f t="shared" si="2"/>
        <v>0</v>
      </c>
      <c r="I406" s="420" t="str">
        <f t="shared" si="3"/>
        <v/>
      </c>
      <c r="J406" s="113"/>
      <c r="K406" s="114"/>
      <c r="L406" s="15"/>
      <c r="M406" s="13"/>
      <c r="N406" s="15"/>
      <c r="O406" s="15"/>
      <c r="P406" s="15"/>
      <c r="Q406" s="15"/>
      <c r="R406" s="15"/>
    </row>
    <row r="407" ht="15.75" customHeight="1">
      <c r="A407" s="122"/>
      <c r="B407" s="112"/>
      <c r="C407" s="113"/>
      <c r="D407" s="113"/>
      <c r="E407" s="113"/>
      <c r="F407" s="419"/>
      <c r="G407" s="419"/>
      <c r="H407" s="420">
        <f t="shared" si="2"/>
        <v>0</v>
      </c>
      <c r="I407" s="420" t="str">
        <f t="shared" si="3"/>
        <v/>
      </c>
      <c r="J407" s="113"/>
      <c r="K407" s="114"/>
      <c r="L407" s="15"/>
      <c r="M407" s="13"/>
      <c r="N407" s="15"/>
      <c r="O407" s="15"/>
      <c r="P407" s="15"/>
      <c r="Q407" s="15"/>
      <c r="R407" s="15"/>
    </row>
    <row r="408" ht="15.75" customHeight="1">
      <c r="A408" s="122"/>
      <c r="B408" s="112"/>
      <c r="C408" s="113"/>
      <c r="D408" s="113"/>
      <c r="E408" s="113"/>
      <c r="F408" s="419"/>
      <c r="G408" s="419"/>
      <c r="H408" s="420">
        <f t="shared" si="2"/>
        <v>0</v>
      </c>
      <c r="I408" s="420" t="str">
        <f t="shared" si="3"/>
        <v/>
      </c>
      <c r="J408" s="113"/>
      <c r="K408" s="114"/>
      <c r="L408" s="15"/>
      <c r="M408" s="13"/>
      <c r="N408" s="15"/>
      <c r="O408" s="15"/>
      <c r="P408" s="15"/>
      <c r="Q408" s="15"/>
      <c r="R408" s="15"/>
    </row>
    <row r="409" ht="15.75" customHeight="1">
      <c r="A409" s="122"/>
      <c r="B409" s="112"/>
      <c r="C409" s="113"/>
      <c r="D409" s="113"/>
      <c r="E409" s="113"/>
      <c r="F409" s="419"/>
      <c r="G409" s="419"/>
      <c r="H409" s="420">
        <f t="shared" si="2"/>
        <v>0</v>
      </c>
      <c r="I409" s="420" t="str">
        <f t="shared" si="3"/>
        <v/>
      </c>
      <c r="J409" s="113"/>
      <c r="K409" s="114"/>
      <c r="L409" s="15"/>
      <c r="M409" s="13"/>
      <c r="N409" s="15"/>
      <c r="O409" s="15"/>
      <c r="P409" s="15"/>
      <c r="Q409" s="15"/>
      <c r="R409" s="15"/>
    </row>
    <row r="410" ht="15.75" customHeight="1">
      <c r="A410" s="122"/>
      <c r="B410" s="112"/>
      <c r="C410" s="113"/>
      <c r="D410" s="113"/>
      <c r="E410" s="113"/>
      <c r="F410" s="419"/>
      <c r="G410" s="419"/>
      <c r="H410" s="420">
        <f t="shared" si="2"/>
        <v>0</v>
      </c>
      <c r="I410" s="420" t="str">
        <f t="shared" si="3"/>
        <v/>
      </c>
      <c r="J410" s="113"/>
      <c r="K410" s="114"/>
      <c r="L410" s="15"/>
      <c r="M410" s="13"/>
      <c r="N410" s="15"/>
      <c r="O410" s="15"/>
      <c r="P410" s="15"/>
      <c r="Q410" s="15"/>
      <c r="R410" s="15"/>
    </row>
    <row r="411" ht="15.75" customHeight="1">
      <c r="A411" s="122"/>
      <c r="B411" s="112"/>
      <c r="C411" s="113"/>
      <c r="D411" s="113"/>
      <c r="E411" s="113"/>
      <c r="F411" s="419"/>
      <c r="G411" s="419"/>
      <c r="H411" s="420">
        <f t="shared" si="2"/>
        <v>0</v>
      </c>
      <c r="I411" s="420" t="str">
        <f t="shared" si="3"/>
        <v/>
      </c>
      <c r="J411" s="113"/>
      <c r="K411" s="114"/>
      <c r="L411" s="15"/>
      <c r="M411" s="13"/>
      <c r="N411" s="15"/>
      <c r="O411" s="15"/>
      <c r="P411" s="15"/>
      <c r="Q411" s="15"/>
      <c r="R411" s="15"/>
    </row>
    <row r="412" ht="15.75" customHeight="1">
      <c r="A412" s="122"/>
      <c r="B412" s="112"/>
      <c r="C412" s="113"/>
      <c r="D412" s="113"/>
      <c r="E412" s="113"/>
      <c r="F412" s="419"/>
      <c r="G412" s="419"/>
      <c r="H412" s="420">
        <f t="shared" si="2"/>
        <v>0</v>
      </c>
      <c r="I412" s="420" t="str">
        <f t="shared" si="3"/>
        <v/>
      </c>
      <c r="J412" s="113"/>
      <c r="K412" s="114"/>
      <c r="L412" s="15"/>
      <c r="M412" s="13"/>
      <c r="N412" s="15"/>
      <c r="O412" s="15"/>
      <c r="P412" s="15"/>
      <c r="Q412" s="15"/>
      <c r="R412" s="15"/>
    </row>
    <row r="413" ht="15.75" customHeight="1">
      <c r="A413" s="122"/>
      <c r="B413" s="112"/>
      <c r="C413" s="113"/>
      <c r="D413" s="113"/>
      <c r="E413" s="113"/>
      <c r="F413" s="419"/>
      <c r="G413" s="419"/>
      <c r="H413" s="420">
        <f t="shared" si="2"/>
        <v>0</v>
      </c>
      <c r="I413" s="420" t="str">
        <f t="shared" si="3"/>
        <v/>
      </c>
      <c r="J413" s="113"/>
      <c r="K413" s="114"/>
      <c r="L413" s="15"/>
      <c r="M413" s="13"/>
      <c r="N413" s="15"/>
      <c r="O413" s="15"/>
      <c r="P413" s="15"/>
      <c r="Q413" s="15"/>
      <c r="R413" s="15"/>
    </row>
    <row r="414" ht="15.75" customHeight="1">
      <c r="A414" s="122"/>
      <c r="B414" s="112"/>
      <c r="C414" s="113"/>
      <c r="D414" s="113"/>
      <c r="E414" s="113"/>
      <c r="F414" s="419"/>
      <c r="G414" s="419"/>
      <c r="H414" s="420">
        <f t="shared" si="2"/>
        <v>0</v>
      </c>
      <c r="I414" s="420" t="str">
        <f t="shared" si="3"/>
        <v/>
      </c>
      <c r="J414" s="113"/>
      <c r="K414" s="114"/>
      <c r="L414" s="15"/>
      <c r="M414" s="13"/>
      <c r="N414" s="15"/>
      <c r="O414" s="15"/>
      <c r="P414" s="15"/>
      <c r="Q414" s="15"/>
      <c r="R414" s="15"/>
    </row>
    <row r="415" ht="15.75" customHeight="1">
      <c r="A415" s="122"/>
      <c r="B415" s="112"/>
      <c r="C415" s="113"/>
      <c r="D415" s="113"/>
      <c r="E415" s="113"/>
      <c r="F415" s="419"/>
      <c r="G415" s="419"/>
      <c r="H415" s="420">
        <f t="shared" si="2"/>
        <v>0</v>
      </c>
      <c r="I415" s="420" t="str">
        <f t="shared" si="3"/>
        <v/>
      </c>
      <c r="J415" s="113"/>
      <c r="K415" s="114"/>
      <c r="L415" s="15"/>
      <c r="M415" s="13"/>
      <c r="N415" s="15"/>
      <c r="O415" s="15"/>
      <c r="P415" s="15"/>
      <c r="Q415" s="15"/>
      <c r="R415" s="15"/>
    </row>
    <row r="416" ht="15.75" customHeight="1">
      <c r="A416" s="122"/>
      <c r="B416" s="112"/>
      <c r="C416" s="113"/>
      <c r="D416" s="113"/>
      <c r="E416" s="113"/>
      <c r="F416" s="419"/>
      <c r="G416" s="419"/>
      <c r="H416" s="420">
        <f t="shared" si="2"/>
        <v>0</v>
      </c>
      <c r="I416" s="420" t="str">
        <f t="shared" si="3"/>
        <v/>
      </c>
      <c r="J416" s="113"/>
      <c r="K416" s="114"/>
      <c r="L416" s="15"/>
      <c r="M416" s="13"/>
      <c r="N416" s="15"/>
      <c r="O416" s="15"/>
      <c r="P416" s="15"/>
      <c r="Q416" s="15"/>
      <c r="R416" s="15"/>
    </row>
    <row r="417" ht="15.75" customHeight="1">
      <c r="A417" s="122"/>
      <c r="B417" s="112"/>
      <c r="C417" s="113"/>
      <c r="D417" s="113"/>
      <c r="E417" s="113"/>
      <c r="F417" s="419"/>
      <c r="G417" s="419"/>
      <c r="H417" s="420">
        <f t="shared" si="2"/>
        <v>0</v>
      </c>
      <c r="I417" s="420" t="str">
        <f t="shared" si="3"/>
        <v/>
      </c>
      <c r="J417" s="113"/>
      <c r="K417" s="114"/>
      <c r="L417" s="15"/>
      <c r="M417" s="13"/>
      <c r="N417" s="15"/>
      <c r="O417" s="15"/>
      <c r="P417" s="15"/>
      <c r="Q417" s="15"/>
      <c r="R417" s="15"/>
    </row>
    <row r="418" ht="15.75" customHeight="1">
      <c r="A418" s="122"/>
      <c r="B418" s="112"/>
      <c r="C418" s="113"/>
      <c r="D418" s="113"/>
      <c r="E418" s="113"/>
      <c r="F418" s="419"/>
      <c r="G418" s="419"/>
      <c r="H418" s="420">
        <f t="shared" si="2"/>
        <v>0</v>
      </c>
      <c r="I418" s="420" t="str">
        <f t="shared" si="3"/>
        <v/>
      </c>
      <c r="J418" s="113"/>
      <c r="K418" s="114"/>
      <c r="L418" s="15"/>
      <c r="M418" s="13"/>
      <c r="N418" s="15"/>
      <c r="O418" s="15"/>
      <c r="P418" s="15"/>
      <c r="Q418" s="15"/>
      <c r="R418" s="15"/>
    </row>
    <row r="419" ht="15.75" customHeight="1">
      <c r="A419" s="122"/>
      <c r="B419" s="112"/>
      <c r="C419" s="113"/>
      <c r="D419" s="113"/>
      <c r="E419" s="113"/>
      <c r="F419" s="419"/>
      <c r="G419" s="419"/>
      <c r="H419" s="420">
        <f t="shared" si="2"/>
        <v>0</v>
      </c>
      <c r="I419" s="420" t="str">
        <f t="shared" si="3"/>
        <v/>
      </c>
      <c r="J419" s="113"/>
      <c r="K419" s="114"/>
      <c r="L419" s="15"/>
      <c r="M419" s="13"/>
      <c r="N419" s="15"/>
      <c r="O419" s="15"/>
      <c r="P419" s="15"/>
      <c r="Q419" s="15"/>
      <c r="R419" s="15"/>
    </row>
    <row r="420" ht="15.75" customHeight="1">
      <c r="A420" s="122"/>
      <c r="B420" s="112"/>
      <c r="C420" s="113"/>
      <c r="D420" s="113"/>
      <c r="E420" s="113"/>
      <c r="F420" s="419"/>
      <c r="G420" s="419"/>
      <c r="H420" s="420">
        <f t="shared" si="2"/>
        <v>0</v>
      </c>
      <c r="I420" s="420" t="str">
        <f t="shared" si="3"/>
        <v/>
      </c>
      <c r="J420" s="113"/>
      <c r="K420" s="114"/>
      <c r="L420" s="15"/>
      <c r="M420" s="13"/>
      <c r="N420" s="15"/>
      <c r="O420" s="15"/>
      <c r="P420" s="15"/>
      <c r="Q420" s="15"/>
      <c r="R420" s="15"/>
    </row>
    <row r="421" ht="15.75" customHeight="1">
      <c r="A421" s="122"/>
      <c r="B421" s="112"/>
      <c r="C421" s="113"/>
      <c r="D421" s="113"/>
      <c r="E421" s="113"/>
      <c r="F421" s="419"/>
      <c r="G421" s="419"/>
      <c r="H421" s="420">
        <f t="shared" si="2"/>
        <v>0</v>
      </c>
      <c r="I421" s="420" t="str">
        <f t="shared" si="3"/>
        <v/>
      </c>
      <c r="J421" s="113"/>
      <c r="K421" s="114"/>
      <c r="L421" s="15"/>
      <c r="M421" s="13"/>
      <c r="N421" s="15"/>
      <c r="O421" s="15"/>
      <c r="P421" s="15"/>
      <c r="Q421" s="15"/>
      <c r="R421" s="15"/>
    </row>
    <row r="422" ht="15.75" customHeight="1">
      <c r="A422" s="122"/>
      <c r="B422" s="112"/>
      <c r="C422" s="113"/>
      <c r="D422" s="113"/>
      <c r="E422" s="113"/>
      <c r="F422" s="419"/>
      <c r="G422" s="419"/>
      <c r="H422" s="420">
        <f t="shared" si="2"/>
        <v>0</v>
      </c>
      <c r="I422" s="420" t="str">
        <f t="shared" si="3"/>
        <v/>
      </c>
      <c r="J422" s="113"/>
      <c r="K422" s="114"/>
      <c r="L422" s="15"/>
      <c r="M422" s="13"/>
      <c r="N422" s="15"/>
      <c r="O422" s="15"/>
      <c r="P422" s="15"/>
      <c r="Q422" s="15"/>
      <c r="R422" s="15"/>
    </row>
    <row r="423" ht="15.75" customHeight="1">
      <c r="A423" s="122"/>
      <c r="B423" s="112"/>
      <c r="C423" s="113"/>
      <c r="D423" s="113"/>
      <c r="E423" s="113"/>
      <c r="F423" s="419"/>
      <c r="G423" s="419"/>
      <c r="H423" s="420">
        <f t="shared" si="2"/>
        <v>0</v>
      </c>
      <c r="I423" s="420" t="str">
        <f t="shared" si="3"/>
        <v/>
      </c>
      <c r="J423" s="113"/>
      <c r="K423" s="114"/>
      <c r="L423" s="15"/>
      <c r="M423" s="13"/>
      <c r="N423" s="15"/>
      <c r="O423" s="15"/>
      <c r="P423" s="15"/>
      <c r="Q423" s="15"/>
      <c r="R423" s="15"/>
    </row>
    <row r="424" ht="15.75" customHeight="1">
      <c r="A424" s="122"/>
      <c r="B424" s="112"/>
      <c r="C424" s="113"/>
      <c r="D424" s="113"/>
      <c r="E424" s="113"/>
      <c r="F424" s="419"/>
      <c r="G424" s="419"/>
      <c r="H424" s="420">
        <f t="shared" si="2"/>
        <v>0</v>
      </c>
      <c r="I424" s="420" t="str">
        <f t="shared" si="3"/>
        <v/>
      </c>
      <c r="J424" s="113"/>
      <c r="K424" s="114"/>
      <c r="L424" s="15"/>
      <c r="M424" s="13"/>
      <c r="N424" s="15"/>
      <c r="O424" s="15"/>
      <c r="P424" s="15"/>
      <c r="Q424" s="15"/>
      <c r="R424" s="15"/>
    </row>
    <row r="425" ht="15.75" customHeight="1">
      <c r="A425" s="122"/>
      <c r="B425" s="112"/>
      <c r="C425" s="113"/>
      <c r="D425" s="113"/>
      <c r="E425" s="113"/>
      <c r="F425" s="419"/>
      <c r="G425" s="419"/>
      <c r="H425" s="420">
        <f t="shared" si="2"/>
        <v>0</v>
      </c>
      <c r="I425" s="420" t="str">
        <f t="shared" si="3"/>
        <v/>
      </c>
      <c r="J425" s="113"/>
      <c r="K425" s="114"/>
      <c r="L425" s="15"/>
      <c r="M425" s="13"/>
      <c r="N425" s="15"/>
      <c r="O425" s="15"/>
      <c r="P425" s="15"/>
      <c r="Q425" s="15"/>
      <c r="R425" s="15"/>
    </row>
    <row r="426" ht="15.75" customHeight="1">
      <c r="A426" s="122"/>
      <c r="B426" s="112"/>
      <c r="C426" s="113"/>
      <c r="D426" s="113"/>
      <c r="E426" s="113"/>
      <c r="F426" s="419"/>
      <c r="G426" s="419"/>
      <c r="H426" s="420">
        <f t="shared" si="2"/>
        <v>0</v>
      </c>
      <c r="I426" s="420" t="str">
        <f t="shared" si="3"/>
        <v/>
      </c>
      <c r="J426" s="113"/>
      <c r="K426" s="114"/>
      <c r="L426" s="15"/>
      <c r="M426" s="13"/>
      <c r="N426" s="15"/>
      <c r="O426" s="15"/>
      <c r="P426" s="15"/>
      <c r="Q426" s="15"/>
      <c r="R426" s="15"/>
    </row>
    <row r="427" ht="15.75" customHeight="1">
      <c r="A427" s="122"/>
      <c r="B427" s="112"/>
      <c r="C427" s="113"/>
      <c r="D427" s="113"/>
      <c r="E427" s="113"/>
      <c r="F427" s="419"/>
      <c r="G427" s="419"/>
      <c r="H427" s="420">
        <f t="shared" si="2"/>
        <v>0</v>
      </c>
      <c r="I427" s="420" t="str">
        <f t="shared" si="3"/>
        <v/>
      </c>
      <c r="J427" s="113"/>
      <c r="K427" s="114"/>
      <c r="L427" s="15"/>
      <c r="M427" s="13"/>
      <c r="N427" s="15"/>
      <c r="O427" s="15"/>
      <c r="P427" s="15"/>
      <c r="Q427" s="15"/>
      <c r="R427" s="15"/>
    </row>
    <row r="428" ht="15.75" customHeight="1">
      <c r="A428" s="122"/>
      <c r="B428" s="112"/>
      <c r="C428" s="113"/>
      <c r="D428" s="113"/>
      <c r="E428" s="113"/>
      <c r="F428" s="419"/>
      <c r="G428" s="419"/>
      <c r="H428" s="420">
        <f t="shared" si="2"/>
        <v>0</v>
      </c>
      <c r="I428" s="420" t="str">
        <f t="shared" si="3"/>
        <v/>
      </c>
      <c r="J428" s="113"/>
      <c r="K428" s="114"/>
      <c r="L428" s="15"/>
      <c r="M428" s="13"/>
      <c r="N428" s="15"/>
      <c r="O428" s="15"/>
      <c r="P428" s="15"/>
      <c r="Q428" s="15"/>
      <c r="R428" s="15"/>
    </row>
    <row r="429" ht="15.75" customHeight="1">
      <c r="A429" s="122"/>
      <c r="B429" s="112"/>
      <c r="C429" s="113"/>
      <c r="D429" s="113"/>
      <c r="E429" s="113"/>
      <c r="F429" s="419"/>
      <c r="G429" s="419"/>
      <c r="H429" s="420">
        <f t="shared" si="2"/>
        <v>0</v>
      </c>
      <c r="I429" s="420" t="str">
        <f t="shared" si="3"/>
        <v/>
      </c>
      <c r="J429" s="113"/>
      <c r="K429" s="114"/>
      <c r="L429" s="15"/>
      <c r="M429" s="13"/>
      <c r="N429" s="15"/>
      <c r="O429" s="15"/>
      <c r="P429" s="15"/>
      <c r="Q429" s="15"/>
      <c r="R429" s="15"/>
    </row>
    <row r="430" ht="15.75" customHeight="1">
      <c r="A430" s="122"/>
      <c r="B430" s="112"/>
      <c r="C430" s="113"/>
      <c r="D430" s="113"/>
      <c r="E430" s="113"/>
      <c r="F430" s="419"/>
      <c r="G430" s="419"/>
      <c r="H430" s="420">
        <f t="shared" si="2"/>
        <v>0</v>
      </c>
      <c r="I430" s="420" t="str">
        <f t="shared" si="3"/>
        <v/>
      </c>
      <c r="J430" s="113"/>
      <c r="K430" s="114"/>
      <c r="L430" s="15"/>
      <c r="M430" s="13"/>
      <c r="N430" s="15"/>
      <c r="O430" s="15"/>
      <c r="P430" s="15"/>
      <c r="Q430" s="15"/>
      <c r="R430" s="15"/>
    </row>
    <row r="431" ht="15.75" customHeight="1">
      <c r="A431" s="122"/>
      <c r="B431" s="112"/>
      <c r="C431" s="113"/>
      <c r="D431" s="113"/>
      <c r="E431" s="113"/>
      <c r="F431" s="419"/>
      <c r="G431" s="419"/>
      <c r="H431" s="420">
        <f t="shared" si="2"/>
        <v>0</v>
      </c>
      <c r="I431" s="420" t="str">
        <f t="shared" si="3"/>
        <v/>
      </c>
      <c r="J431" s="113"/>
      <c r="K431" s="114"/>
      <c r="L431" s="15"/>
      <c r="M431" s="13"/>
      <c r="N431" s="15"/>
      <c r="O431" s="15"/>
      <c r="P431" s="15"/>
      <c r="Q431" s="15"/>
      <c r="R431" s="15"/>
    </row>
    <row r="432" ht="15.75" customHeight="1">
      <c r="A432" s="122"/>
      <c r="B432" s="112"/>
      <c r="C432" s="113"/>
      <c r="D432" s="113"/>
      <c r="E432" s="113"/>
      <c r="F432" s="419"/>
      <c r="G432" s="419"/>
      <c r="H432" s="420">
        <f t="shared" si="2"/>
        <v>0</v>
      </c>
      <c r="I432" s="420" t="str">
        <f t="shared" si="3"/>
        <v/>
      </c>
      <c r="J432" s="113"/>
      <c r="K432" s="114"/>
      <c r="L432" s="15"/>
      <c r="M432" s="13"/>
      <c r="N432" s="15"/>
      <c r="O432" s="15"/>
      <c r="P432" s="15"/>
      <c r="Q432" s="15"/>
      <c r="R432" s="15"/>
    </row>
    <row r="433" ht="15.75" customHeight="1">
      <c r="A433" s="122"/>
      <c r="B433" s="112"/>
      <c r="C433" s="113"/>
      <c r="D433" s="113"/>
      <c r="E433" s="113"/>
      <c r="F433" s="419"/>
      <c r="G433" s="419"/>
      <c r="H433" s="420">
        <f t="shared" si="2"/>
        <v>0</v>
      </c>
      <c r="I433" s="420" t="str">
        <f t="shared" si="3"/>
        <v/>
      </c>
      <c r="J433" s="113"/>
      <c r="K433" s="114"/>
      <c r="L433" s="15"/>
      <c r="M433" s="13"/>
      <c r="N433" s="15"/>
      <c r="O433" s="15"/>
      <c r="P433" s="15"/>
      <c r="Q433" s="15"/>
      <c r="R433" s="15"/>
    </row>
    <row r="434" ht="15.75" customHeight="1">
      <c r="A434" s="122"/>
      <c r="B434" s="112"/>
      <c r="C434" s="113"/>
      <c r="D434" s="113"/>
      <c r="E434" s="113"/>
      <c r="F434" s="419"/>
      <c r="G434" s="419"/>
      <c r="H434" s="420">
        <f t="shared" si="2"/>
        <v>0</v>
      </c>
      <c r="I434" s="420" t="str">
        <f t="shared" si="3"/>
        <v/>
      </c>
      <c r="J434" s="113"/>
      <c r="K434" s="114"/>
      <c r="L434" s="15"/>
      <c r="M434" s="13"/>
      <c r="N434" s="15"/>
      <c r="O434" s="15"/>
      <c r="P434" s="15"/>
      <c r="Q434" s="15"/>
      <c r="R434" s="15"/>
    </row>
    <row r="435" ht="15.75" customHeight="1">
      <c r="A435" s="122"/>
      <c r="B435" s="112"/>
      <c r="C435" s="113"/>
      <c r="D435" s="113"/>
      <c r="E435" s="113"/>
      <c r="F435" s="419"/>
      <c r="G435" s="419"/>
      <c r="H435" s="420">
        <f t="shared" si="2"/>
        <v>0</v>
      </c>
      <c r="I435" s="420" t="str">
        <f t="shared" si="3"/>
        <v/>
      </c>
      <c r="J435" s="113"/>
      <c r="K435" s="114"/>
      <c r="L435" s="15"/>
      <c r="M435" s="13"/>
      <c r="N435" s="15"/>
      <c r="O435" s="15"/>
      <c r="P435" s="15"/>
      <c r="Q435" s="15"/>
      <c r="R435" s="15"/>
    </row>
    <row r="436" ht="15.75" customHeight="1">
      <c r="A436" s="122"/>
      <c r="B436" s="112"/>
      <c r="C436" s="113"/>
      <c r="D436" s="113"/>
      <c r="E436" s="113"/>
      <c r="F436" s="419"/>
      <c r="G436" s="419"/>
      <c r="H436" s="420">
        <f t="shared" si="2"/>
        <v>0</v>
      </c>
      <c r="I436" s="420" t="str">
        <f t="shared" si="3"/>
        <v/>
      </c>
      <c r="J436" s="113"/>
      <c r="K436" s="114"/>
      <c r="L436" s="15"/>
      <c r="M436" s="13"/>
      <c r="N436" s="15"/>
      <c r="O436" s="15"/>
      <c r="P436" s="15"/>
      <c r="Q436" s="15"/>
      <c r="R436" s="15"/>
    </row>
    <row r="437" ht="15.75" customHeight="1">
      <c r="A437" s="122"/>
      <c r="B437" s="112"/>
      <c r="C437" s="113"/>
      <c r="D437" s="113"/>
      <c r="E437" s="113"/>
      <c r="F437" s="419"/>
      <c r="G437" s="419"/>
      <c r="H437" s="420">
        <f t="shared" si="2"/>
        <v>0</v>
      </c>
      <c r="I437" s="420" t="str">
        <f t="shared" si="3"/>
        <v/>
      </c>
      <c r="J437" s="113"/>
      <c r="K437" s="114"/>
      <c r="L437" s="15"/>
      <c r="M437" s="13"/>
      <c r="N437" s="15"/>
      <c r="O437" s="15"/>
      <c r="P437" s="15"/>
      <c r="Q437" s="15"/>
      <c r="R437" s="15"/>
    </row>
    <row r="438" ht="15.75" customHeight="1">
      <c r="A438" s="122"/>
      <c r="B438" s="112"/>
      <c r="C438" s="113"/>
      <c r="D438" s="113"/>
      <c r="E438" s="113"/>
      <c r="F438" s="419"/>
      <c r="G438" s="419"/>
      <c r="H438" s="420">
        <f t="shared" si="2"/>
        <v>0</v>
      </c>
      <c r="I438" s="420" t="str">
        <f t="shared" si="3"/>
        <v/>
      </c>
      <c r="J438" s="113"/>
      <c r="K438" s="114"/>
      <c r="L438" s="15"/>
      <c r="M438" s="13"/>
      <c r="N438" s="15"/>
      <c r="O438" s="15"/>
      <c r="P438" s="15"/>
      <c r="Q438" s="15"/>
      <c r="R438" s="15"/>
    </row>
    <row r="439" ht="15.75" customHeight="1">
      <c r="A439" s="122"/>
      <c r="B439" s="112"/>
      <c r="C439" s="113"/>
      <c r="D439" s="113"/>
      <c r="E439" s="113"/>
      <c r="F439" s="419"/>
      <c r="G439" s="419"/>
      <c r="H439" s="420">
        <f t="shared" si="2"/>
        <v>0</v>
      </c>
      <c r="I439" s="420" t="str">
        <f t="shared" si="3"/>
        <v/>
      </c>
      <c r="J439" s="113"/>
      <c r="K439" s="114"/>
      <c r="L439" s="15"/>
      <c r="M439" s="13"/>
      <c r="N439" s="15"/>
      <c r="O439" s="15"/>
      <c r="P439" s="15"/>
      <c r="Q439" s="15"/>
      <c r="R439" s="15"/>
    </row>
    <row r="440" ht="15.75" customHeight="1">
      <c r="A440" s="122"/>
      <c r="B440" s="112"/>
      <c r="C440" s="113"/>
      <c r="D440" s="113"/>
      <c r="E440" s="113"/>
      <c r="F440" s="419"/>
      <c r="G440" s="419"/>
      <c r="H440" s="420">
        <f t="shared" si="2"/>
        <v>0</v>
      </c>
      <c r="I440" s="420" t="str">
        <f t="shared" si="3"/>
        <v/>
      </c>
      <c r="J440" s="113"/>
      <c r="K440" s="114"/>
      <c r="L440" s="15"/>
      <c r="M440" s="13"/>
      <c r="N440" s="15"/>
      <c r="O440" s="15"/>
      <c r="P440" s="15"/>
      <c r="Q440" s="15"/>
      <c r="R440" s="15"/>
    </row>
    <row r="441" ht="15.75" customHeight="1">
      <c r="A441" s="122"/>
      <c r="B441" s="112"/>
      <c r="C441" s="113"/>
      <c r="D441" s="113"/>
      <c r="E441" s="113"/>
      <c r="F441" s="419"/>
      <c r="G441" s="419"/>
      <c r="H441" s="420">
        <f t="shared" si="2"/>
        <v>0</v>
      </c>
      <c r="I441" s="420" t="str">
        <f t="shared" si="3"/>
        <v/>
      </c>
      <c r="J441" s="113"/>
      <c r="K441" s="114"/>
      <c r="L441" s="15"/>
      <c r="M441" s="13"/>
      <c r="N441" s="15"/>
      <c r="O441" s="15"/>
      <c r="P441" s="15"/>
      <c r="Q441" s="15"/>
      <c r="R441" s="15"/>
    </row>
    <row r="442" ht="15.75" customHeight="1">
      <c r="A442" s="122"/>
      <c r="B442" s="112"/>
      <c r="C442" s="113"/>
      <c r="D442" s="113"/>
      <c r="E442" s="113"/>
      <c r="F442" s="419"/>
      <c r="G442" s="419"/>
      <c r="H442" s="420">
        <f t="shared" si="2"/>
        <v>0</v>
      </c>
      <c r="I442" s="420" t="str">
        <f t="shared" si="3"/>
        <v/>
      </c>
      <c r="J442" s="113"/>
      <c r="K442" s="114"/>
      <c r="L442" s="15"/>
      <c r="M442" s="13"/>
      <c r="N442" s="15"/>
      <c r="O442" s="15"/>
      <c r="P442" s="15"/>
      <c r="Q442" s="15"/>
      <c r="R442" s="15"/>
    </row>
    <row r="443" ht="15.75" customHeight="1">
      <c r="A443" s="122"/>
      <c r="B443" s="112"/>
      <c r="C443" s="113"/>
      <c r="D443" s="113"/>
      <c r="E443" s="113"/>
      <c r="F443" s="419"/>
      <c r="G443" s="419"/>
      <c r="H443" s="420">
        <f t="shared" si="2"/>
        <v>0</v>
      </c>
      <c r="I443" s="420" t="str">
        <f t="shared" si="3"/>
        <v/>
      </c>
      <c r="J443" s="113"/>
      <c r="K443" s="114"/>
      <c r="L443" s="15"/>
      <c r="M443" s="13"/>
      <c r="N443" s="15"/>
      <c r="O443" s="15"/>
      <c r="P443" s="15"/>
      <c r="Q443" s="15"/>
      <c r="R443" s="15"/>
    </row>
    <row r="444" ht="15.75" customHeight="1">
      <c r="A444" s="122"/>
      <c r="B444" s="112"/>
      <c r="C444" s="113"/>
      <c r="D444" s="113"/>
      <c r="E444" s="113"/>
      <c r="F444" s="419"/>
      <c r="G444" s="419"/>
      <c r="H444" s="420">
        <f t="shared" si="2"/>
        <v>0</v>
      </c>
      <c r="I444" s="420" t="str">
        <f t="shared" si="3"/>
        <v/>
      </c>
      <c r="J444" s="113"/>
      <c r="K444" s="114"/>
      <c r="L444" s="15"/>
      <c r="M444" s="13"/>
      <c r="N444" s="15"/>
      <c r="O444" s="15"/>
      <c r="P444" s="15"/>
      <c r="Q444" s="15"/>
      <c r="R444" s="15"/>
    </row>
    <row r="445" ht="15.75" customHeight="1">
      <c r="A445" s="122"/>
      <c r="B445" s="112"/>
      <c r="C445" s="113"/>
      <c r="D445" s="113"/>
      <c r="E445" s="113"/>
      <c r="F445" s="419"/>
      <c r="G445" s="419"/>
      <c r="H445" s="420">
        <f t="shared" si="2"/>
        <v>0</v>
      </c>
      <c r="I445" s="420" t="str">
        <f t="shared" si="3"/>
        <v/>
      </c>
      <c r="J445" s="113"/>
      <c r="K445" s="114"/>
      <c r="L445" s="15"/>
      <c r="M445" s="13"/>
      <c r="N445" s="15"/>
      <c r="O445" s="15"/>
      <c r="P445" s="15"/>
      <c r="Q445" s="15"/>
      <c r="R445" s="15"/>
    </row>
    <row r="446" ht="15.75" customHeight="1">
      <c r="A446" s="122"/>
      <c r="B446" s="112"/>
      <c r="C446" s="113"/>
      <c r="D446" s="113"/>
      <c r="E446" s="113"/>
      <c r="F446" s="419"/>
      <c r="G446" s="419"/>
      <c r="H446" s="420">
        <f t="shared" si="2"/>
        <v>0</v>
      </c>
      <c r="I446" s="420" t="str">
        <f t="shared" si="3"/>
        <v/>
      </c>
      <c r="J446" s="113"/>
      <c r="K446" s="114"/>
      <c r="L446" s="15"/>
      <c r="M446" s="13"/>
      <c r="N446" s="15"/>
      <c r="O446" s="15"/>
      <c r="P446" s="15"/>
      <c r="Q446" s="15"/>
      <c r="R446" s="15"/>
    </row>
    <row r="447" ht="15.75" customHeight="1">
      <c r="A447" s="122"/>
      <c r="B447" s="112"/>
      <c r="C447" s="113"/>
      <c r="D447" s="113"/>
      <c r="E447" s="113"/>
      <c r="F447" s="419"/>
      <c r="G447" s="419"/>
      <c r="H447" s="420">
        <f t="shared" si="2"/>
        <v>0</v>
      </c>
      <c r="I447" s="420" t="str">
        <f t="shared" si="3"/>
        <v/>
      </c>
      <c r="J447" s="113"/>
      <c r="K447" s="114"/>
      <c r="L447" s="15"/>
      <c r="M447" s="13"/>
      <c r="N447" s="15"/>
      <c r="O447" s="15"/>
      <c r="P447" s="15"/>
      <c r="Q447" s="15"/>
      <c r="R447" s="15"/>
    </row>
    <row r="448" ht="15.75" customHeight="1">
      <c r="A448" s="122"/>
      <c r="B448" s="112"/>
      <c r="C448" s="113"/>
      <c r="D448" s="113"/>
      <c r="E448" s="113"/>
      <c r="F448" s="419"/>
      <c r="G448" s="419"/>
      <c r="H448" s="420">
        <f t="shared" si="2"/>
        <v>0</v>
      </c>
      <c r="I448" s="420" t="str">
        <f t="shared" si="3"/>
        <v/>
      </c>
      <c r="J448" s="113"/>
      <c r="K448" s="114"/>
      <c r="L448" s="15"/>
      <c r="M448" s="13"/>
      <c r="N448" s="15"/>
      <c r="O448" s="15"/>
      <c r="P448" s="15"/>
      <c r="Q448" s="15"/>
      <c r="R448" s="15"/>
    </row>
    <row r="449" ht="15.75" customHeight="1">
      <c r="A449" s="122"/>
      <c r="B449" s="112"/>
      <c r="C449" s="113"/>
      <c r="D449" s="113"/>
      <c r="E449" s="113"/>
      <c r="F449" s="419"/>
      <c r="G449" s="419"/>
      <c r="H449" s="420">
        <f t="shared" si="2"/>
        <v>0</v>
      </c>
      <c r="I449" s="420" t="str">
        <f t="shared" si="3"/>
        <v/>
      </c>
      <c r="J449" s="113"/>
      <c r="K449" s="114"/>
      <c r="L449" s="15"/>
      <c r="M449" s="13"/>
      <c r="N449" s="15"/>
      <c r="O449" s="15"/>
      <c r="P449" s="15"/>
      <c r="Q449" s="15"/>
      <c r="R449" s="15"/>
    </row>
    <row r="450" ht="15.75" customHeight="1">
      <c r="A450" s="122"/>
      <c r="B450" s="112"/>
      <c r="C450" s="113"/>
      <c r="D450" s="113"/>
      <c r="E450" s="113"/>
      <c r="F450" s="419"/>
      <c r="G450" s="419"/>
      <c r="H450" s="420">
        <f t="shared" si="2"/>
        <v>0</v>
      </c>
      <c r="I450" s="420" t="str">
        <f t="shared" si="3"/>
        <v/>
      </c>
      <c r="J450" s="113"/>
      <c r="K450" s="114"/>
      <c r="L450" s="15"/>
      <c r="M450" s="13"/>
      <c r="N450" s="15"/>
      <c r="O450" s="15"/>
      <c r="P450" s="15"/>
      <c r="Q450" s="15"/>
      <c r="R450" s="15"/>
    </row>
    <row r="451" ht="15.75" customHeight="1">
      <c r="A451" s="122"/>
      <c r="B451" s="112"/>
      <c r="C451" s="113"/>
      <c r="D451" s="113"/>
      <c r="E451" s="113"/>
      <c r="F451" s="419"/>
      <c r="G451" s="419"/>
      <c r="H451" s="420">
        <f t="shared" si="2"/>
        <v>0</v>
      </c>
      <c r="I451" s="420" t="str">
        <f t="shared" si="3"/>
        <v/>
      </c>
      <c r="J451" s="113"/>
      <c r="K451" s="114"/>
      <c r="L451" s="15"/>
      <c r="M451" s="13"/>
      <c r="N451" s="15"/>
      <c r="O451" s="15"/>
      <c r="P451" s="15"/>
      <c r="Q451" s="15"/>
      <c r="R451" s="15"/>
    </row>
    <row r="452" ht="15.75" customHeight="1">
      <c r="A452" s="122"/>
      <c r="B452" s="112"/>
      <c r="C452" s="113"/>
      <c r="D452" s="113"/>
      <c r="E452" s="113"/>
      <c r="F452" s="419"/>
      <c r="G452" s="419"/>
      <c r="H452" s="420">
        <f t="shared" si="2"/>
        <v>0</v>
      </c>
      <c r="I452" s="420" t="str">
        <f t="shared" si="3"/>
        <v/>
      </c>
      <c r="J452" s="113"/>
      <c r="K452" s="114"/>
      <c r="L452" s="15"/>
      <c r="M452" s="13"/>
      <c r="N452" s="15"/>
      <c r="O452" s="15"/>
      <c r="P452" s="15"/>
      <c r="Q452" s="15"/>
      <c r="R452" s="15"/>
    </row>
    <row r="453" ht="15.75" customHeight="1">
      <c r="A453" s="122"/>
      <c r="B453" s="112"/>
      <c r="C453" s="113"/>
      <c r="D453" s="113"/>
      <c r="E453" s="113"/>
      <c r="F453" s="419"/>
      <c r="G453" s="419"/>
      <c r="H453" s="420">
        <f t="shared" si="2"/>
        <v>0</v>
      </c>
      <c r="I453" s="420" t="str">
        <f t="shared" si="3"/>
        <v/>
      </c>
      <c r="J453" s="113"/>
      <c r="K453" s="114"/>
      <c r="L453" s="15"/>
      <c r="M453" s="13"/>
      <c r="N453" s="15"/>
      <c r="O453" s="15"/>
      <c r="P453" s="15"/>
      <c r="Q453" s="15"/>
      <c r="R453" s="15"/>
    </row>
    <row r="454" ht="15.75" customHeight="1">
      <c r="A454" s="122"/>
      <c r="B454" s="112"/>
      <c r="C454" s="113"/>
      <c r="D454" s="113"/>
      <c r="E454" s="113"/>
      <c r="F454" s="419"/>
      <c r="G454" s="419"/>
      <c r="H454" s="420">
        <f t="shared" si="2"/>
        <v>0</v>
      </c>
      <c r="I454" s="420" t="str">
        <f t="shared" si="3"/>
        <v/>
      </c>
      <c r="J454" s="113"/>
      <c r="K454" s="114"/>
      <c r="L454" s="15"/>
      <c r="M454" s="13"/>
      <c r="N454" s="15"/>
      <c r="O454" s="15"/>
      <c r="P454" s="15"/>
      <c r="Q454" s="15"/>
      <c r="R454" s="15"/>
    </row>
    <row r="455" ht="15.75" customHeight="1">
      <c r="A455" s="122"/>
      <c r="B455" s="112"/>
      <c r="C455" s="113"/>
      <c r="D455" s="113"/>
      <c r="E455" s="113"/>
      <c r="F455" s="419"/>
      <c r="G455" s="419"/>
      <c r="H455" s="420">
        <f t="shared" si="2"/>
        <v>0</v>
      </c>
      <c r="I455" s="420" t="str">
        <f t="shared" si="3"/>
        <v/>
      </c>
      <c r="J455" s="113"/>
      <c r="K455" s="114"/>
      <c r="L455" s="15"/>
      <c r="M455" s="13"/>
      <c r="N455" s="15"/>
      <c r="O455" s="15"/>
      <c r="P455" s="15"/>
      <c r="Q455" s="15"/>
      <c r="R455" s="15"/>
    </row>
    <row r="456" ht="15.75" customHeight="1">
      <c r="A456" s="122"/>
      <c r="B456" s="112"/>
      <c r="C456" s="113"/>
      <c r="D456" s="113"/>
      <c r="E456" s="113"/>
      <c r="F456" s="419"/>
      <c r="G456" s="419"/>
      <c r="H456" s="420">
        <f t="shared" si="2"/>
        <v>0</v>
      </c>
      <c r="I456" s="420" t="str">
        <f t="shared" si="3"/>
        <v/>
      </c>
      <c r="J456" s="113"/>
      <c r="K456" s="114"/>
      <c r="L456" s="15"/>
      <c r="M456" s="13"/>
      <c r="N456" s="15"/>
      <c r="O456" s="15"/>
      <c r="P456" s="15"/>
      <c r="Q456" s="15"/>
      <c r="R456" s="15"/>
    </row>
    <row r="457" ht="15.75" customHeight="1">
      <c r="A457" s="122"/>
      <c r="B457" s="112"/>
      <c r="C457" s="113"/>
      <c r="D457" s="113"/>
      <c r="E457" s="113"/>
      <c r="F457" s="419"/>
      <c r="G457" s="419"/>
      <c r="H457" s="420">
        <f t="shared" si="2"/>
        <v>0</v>
      </c>
      <c r="I457" s="420" t="str">
        <f t="shared" si="3"/>
        <v/>
      </c>
      <c r="J457" s="113"/>
      <c r="K457" s="114"/>
      <c r="L457" s="15"/>
      <c r="M457" s="13"/>
      <c r="N457" s="15"/>
      <c r="O457" s="15"/>
      <c r="P457" s="15"/>
      <c r="Q457" s="15"/>
      <c r="R457" s="15"/>
    </row>
    <row r="458" ht="15.75" customHeight="1">
      <c r="A458" s="122"/>
      <c r="B458" s="112"/>
      <c r="C458" s="113"/>
      <c r="D458" s="113"/>
      <c r="E458" s="113"/>
      <c r="F458" s="419"/>
      <c r="G458" s="419"/>
      <c r="H458" s="420">
        <f t="shared" si="2"/>
        <v>0</v>
      </c>
      <c r="I458" s="420" t="str">
        <f t="shared" si="3"/>
        <v/>
      </c>
      <c r="J458" s="113"/>
      <c r="K458" s="114"/>
      <c r="L458" s="15"/>
      <c r="M458" s="13"/>
      <c r="N458" s="15"/>
      <c r="O458" s="15"/>
      <c r="P458" s="15"/>
      <c r="Q458" s="15"/>
      <c r="R458" s="15"/>
    </row>
    <row r="459" ht="15.75" customHeight="1">
      <c r="A459" s="122"/>
      <c r="B459" s="112"/>
      <c r="C459" s="113"/>
      <c r="D459" s="113"/>
      <c r="E459" s="113"/>
      <c r="F459" s="419"/>
      <c r="G459" s="419"/>
      <c r="H459" s="420">
        <f t="shared" si="2"/>
        <v>0</v>
      </c>
      <c r="I459" s="420" t="str">
        <f t="shared" si="3"/>
        <v/>
      </c>
      <c r="J459" s="113"/>
      <c r="K459" s="114"/>
      <c r="L459" s="15"/>
      <c r="M459" s="13"/>
      <c r="N459" s="15"/>
      <c r="O459" s="15"/>
      <c r="P459" s="15"/>
      <c r="Q459" s="15"/>
      <c r="R459" s="15"/>
    </row>
    <row r="460" ht="15.75" customHeight="1">
      <c r="A460" s="122"/>
      <c r="B460" s="112"/>
      <c r="C460" s="113"/>
      <c r="D460" s="113"/>
      <c r="E460" s="113"/>
      <c r="F460" s="419"/>
      <c r="G460" s="419"/>
      <c r="H460" s="420">
        <f t="shared" si="2"/>
        <v>0</v>
      </c>
      <c r="I460" s="420" t="str">
        <f t="shared" si="3"/>
        <v/>
      </c>
      <c r="J460" s="113"/>
      <c r="K460" s="114"/>
      <c r="L460" s="15"/>
      <c r="M460" s="13"/>
      <c r="N460" s="15"/>
      <c r="O460" s="15"/>
      <c r="P460" s="15"/>
      <c r="Q460" s="15"/>
      <c r="R460" s="15"/>
    </row>
    <row r="461" ht="15.75" customHeight="1">
      <c r="A461" s="122"/>
      <c r="B461" s="112"/>
      <c r="C461" s="113"/>
      <c r="D461" s="113"/>
      <c r="E461" s="113"/>
      <c r="F461" s="419"/>
      <c r="G461" s="419"/>
      <c r="H461" s="420">
        <f t="shared" si="2"/>
        <v>0</v>
      </c>
      <c r="I461" s="420" t="str">
        <f t="shared" si="3"/>
        <v/>
      </c>
      <c r="J461" s="113"/>
      <c r="K461" s="114"/>
      <c r="L461" s="15"/>
      <c r="M461" s="13"/>
      <c r="N461" s="15"/>
      <c r="O461" s="15"/>
      <c r="P461" s="15"/>
      <c r="Q461" s="15"/>
      <c r="R461" s="15"/>
    </row>
    <row r="462" ht="15.75" customHeight="1">
      <c r="A462" s="122"/>
      <c r="B462" s="112"/>
      <c r="C462" s="113"/>
      <c r="D462" s="113"/>
      <c r="E462" s="113"/>
      <c r="F462" s="419"/>
      <c r="G462" s="419"/>
      <c r="H462" s="420">
        <f t="shared" si="2"/>
        <v>0</v>
      </c>
      <c r="I462" s="420" t="str">
        <f t="shared" si="3"/>
        <v/>
      </c>
      <c r="J462" s="113"/>
      <c r="K462" s="114"/>
      <c r="L462" s="15"/>
      <c r="M462" s="13"/>
      <c r="N462" s="15"/>
      <c r="O462" s="15"/>
      <c r="P462" s="15"/>
      <c r="Q462" s="15"/>
      <c r="R462" s="15"/>
    </row>
    <row r="463" ht="15.75" customHeight="1">
      <c r="A463" s="122"/>
      <c r="B463" s="112"/>
      <c r="C463" s="113"/>
      <c r="D463" s="113"/>
      <c r="E463" s="113"/>
      <c r="F463" s="419"/>
      <c r="G463" s="419"/>
      <c r="H463" s="420">
        <f t="shared" si="2"/>
        <v>0</v>
      </c>
      <c r="I463" s="420" t="str">
        <f t="shared" si="3"/>
        <v/>
      </c>
      <c r="J463" s="113"/>
      <c r="K463" s="114"/>
      <c r="L463" s="15"/>
      <c r="M463" s="13"/>
      <c r="N463" s="15"/>
      <c r="O463" s="15"/>
      <c r="P463" s="15"/>
      <c r="Q463" s="15"/>
      <c r="R463" s="15"/>
    </row>
    <row r="464" ht="15.75" customHeight="1">
      <c r="A464" s="122"/>
      <c r="B464" s="112"/>
      <c r="C464" s="113"/>
      <c r="D464" s="113"/>
      <c r="E464" s="113"/>
      <c r="F464" s="419"/>
      <c r="G464" s="419"/>
      <c r="H464" s="420">
        <f t="shared" si="2"/>
        <v>0</v>
      </c>
      <c r="I464" s="420" t="str">
        <f t="shared" si="3"/>
        <v/>
      </c>
      <c r="J464" s="113"/>
      <c r="K464" s="114"/>
      <c r="L464" s="15"/>
      <c r="M464" s="13"/>
      <c r="N464" s="15"/>
      <c r="O464" s="15"/>
      <c r="P464" s="15"/>
      <c r="Q464" s="15"/>
      <c r="R464" s="15"/>
    </row>
    <row r="465" ht="15.75" customHeight="1">
      <c r="A465" s="122"/>
      <c r="B465" s="112"/>
      <c r="C465" s="113"/>
      <c r="D465" s="113"/>
      <c r="E465" s="113"/>
      <c r="F465" s="419"/>
      <c r="G465" s="419"/>
      <c r="H465" s="420">
        <f t="shared" si="2"/>
        <v>0</v>
      </c>
      <c r="I465" s="420" t="str">
        <f t="shared" si="3"/>
        <v/>
      </c>
      <c r="J465" s="113"/>
      <c r="K465" s="114"/>
      <c r="L465" s="15"/>
      <c r="M465" s="13"/>
      <c r="N465" s="15"/>
      <c r="O465" s="15"/>
      <c r="P465" s="15"/>
      <c r="Q465" s="15"/>
      <c r="R465" s="15"/>
    </row>
    <row r="466" ht="15.75" customHeight="1">
      <c r="A466" s="122"/>
      <c r="B466" s="112"/>
      <c r="C466" s="113"/>
      <c r="D466" s="113"/>
      <c r="E466" s="113"/>
      <c r="F466" s="419"/>
      <c r="G466" s="419"/>
      <c r="H466" s="420">
        <f t="shared" si="2"/>
        <v>0</v>
      </c>
      <c r="I466" s="420" t="str">
        <f t="shared" si="3"/>
        <v/>
      </c>
      <c r="J466" s="113"/>
      <c r="K466" s="114"/>
      <c r="L466" s="15"/>
      <c r="M466" s="13"/>
      <c r="N466" s="15"/>
      <c r="O466" s="15"/>
      <c r="P466" s="15"/>
      <c r="Q466" s="15"/>
      <c r="R466" s="15"/>
    </row>
    <row r="467" ht="15.75" customHeight="1">
      <c r="A467" s="122"/>
      <c r="B467" s="112"/>
      <c r="C467" s="113"/>
      <c r="D467" s="113"/>
      <c r="E467" s="113"/>
      <c r="F467" s="419"/>
      <c r="G467" s="419"/>
      <c r="H467" s="420">
        <f t="shared" si="2"/>
        <v>0</v>
      </c>
      <c r="I467" s="420" t="str">
        <f t="shared" si="3"/>
        <v/>
      </c>
      <c r="J467" s="113"/>
      <c r="K467" s="114"/>
      <c r="L467" s="15"/>
      <c r="M467" s="13"/>
      <c r="N467" s="15"/>
      <c r="O467" s="15"/>
      <c r="P467" s="15"/>
      <c r="Q467" s="15"/>
      <c r="R467" s="15"/>
    </row>
    <row r="468" ht="15.75" customHeight="1">
      <c r="A468" s="122"/>
      <c r="B468" s="112"/>
      <c r="C468" s="113"/>
      <c r="D468" s="113"/>
      <c r="E468" s="113"/>
      <c r="F468" s="419"/>
      <c r="G468" s="419"/>
      <c r="H468" s="420">
        <f t="shared" si="2"/>
        <v>0</v>
      </c>
      <c r="I468" s="420" t="str">
        <f t="shared" si="3"/>
        <v/>
      </c>
      <c r="J468" s="113"/>
      <c r="K468" s="114"/>
      <c r="L468" s="15"/>
      <c r="M468" s="13"/>
      <c r="N468" s="15"/>
      <c r="O468" s="15"/>
      <c r="P468" s="15"/>
      <c r="Q468" s="15"/>
      <c r="R468" s="15"/>
    </row>
    <row r="469" ht="15.75" customHeight="1">
      <c r="A469" s="122"/>
      <c r="B469" s="112"/>
      <c r="C469" s="113"/>
      <c r="D469" s="113"/>
      <c r="E469" s="113"/>
      <c r="F469" s="419"/>
      <c r="G469" s="419"/>
      <c r="H469" s="420">
        <f t="shared" si="2"/>
        <v>0</v>
      </c>
      <c r="I469" s="420" t="str">
        <f t="shared" si="3"/>
        <v/>
      </c>
      <c r="J469" s="113"/>
      <c r="K469" s="114"/>
      <c r="L469" s="15"/>
      <c r="M469" s="13"/>
      <c r="N469" s="15"/>
      <c r="O469" s="15"/>
      <c r="P469" s="15"/>
      <c r="Q469" s="15"/>
      <c r="R469" s="15"/>
    </row>
    <row r="470" ht="15.75" customHeight="1">
      <c r="A470" s="122"/>
      <c r="B470" s="112"/>
      <c r="C470" s="113"/>
      <c r="D470" s="113"/>
      <c r="E470" s="113"/>
      <c r="F470" s="419"/>
      <c r="G470" s="419"/>
      <c r="H470" s="420">
        <f t="shared" si="2"/>
        <v>0</v>
      </c>
      <c r="I470" s="420" t="str">
        <f t="shared" si="3"/>
        <v/>
      </c>
      <c r="J470" s="113"/>
      <c r="K470" s="114"/>
      <c r="L470" s="15"/>
      <c r="M470" s="13"/>
      <c r="N470" s="15"/>
      <c r="O470" s="15"/>
      <c r="P470" s="15"/>
      <c r="Q470" s="15"/>
      <c r="R470" s="15"/>
    </row>
    <row r="471" ht="15.75" customHeight="1">
      <c r="A471" s="122"/>
      <c r="B471" s="112"/>
      <c r="C471" s="113"/>
      <c r="D471" s="113"/>
      <c r="E471" s="113"/>
      <c r="F471" s="419"/>
      <c r="G471" s="419"/>
      <c r="H471" s="420">
        <f t="shared" si="2"/>
        <v>0</v>
      </c>
      <c r="I471" s="420" t="str">
        <f t="shared" si="3"/>
        <v/>
      </c>
      <c r="J471" s="113"/>
      <c r="K471" s="114"/>
      <c r="L471" s="15"/>
      <c r="M471" s="13"/>
      <c r="N471" s="15"/>
      <c r="O471" s="15"/>
      <c r="P471" s="15"/>
      <c r="Q471" s="15"/>
      <c r="R471" s="15"/>
    </row>
    <row r="472" ht="15.75" customHeight="1">
      <c r="A472" s="122"/>
      <c r="B472" s="112"/>
      <c r="C472" s="113"/>
      <c r="D472" s="113"/>
      <c r="E472" s="113"/>
      <c r="F472" s="419"/>
      <c r="G472" s="419"/>
      <c r="H472" s="420">
        <f t="shared" si="2"/>
        <v>0</v>
      </c>
      <c r="I472" s="420" t="str">
        <f t="shared" si="3"/>
        <v/>
      </c>
      <c r="J472" s="113"/>
      <c r="K472" s="114"/>
      <c r="L472" s="15"/>
      <c r="M472" s="13"/>
      <c r="N472" s="15"/>
      <c r="O472" s="15"/>
      <c r="P472" s="15"/>
      <c r="Q472" s="15"/>
      <c r="R472" s="15"/>
    </row>
    <row r="473" ht="15.75" customHeight="1">
      <c r="A473" s="122"/>
      <c r="B473" s="112"/>
      <c r="C473" s="113"/>
      <c r="D473" s="113"/>
      <c r="E473" s="113"/>
      <c r="F473" s="419"/>
      <c r="G473" s="419"/>
      <c r="H473" s="420">
        <f t="shared" si="2"/>
        <v>0</v>
      </c>
      <c r="I473" s="420" t="str">
        <f t="shared" si="3"/>
        <v/>
      </c>
      <c r="J473" s="113"/>
      <c r="K473" s="114"/>
      <c r="L473" s="15"/>
      <c r="M473" s="13"/>
      <c r="N473" s="15"/>
      <c r="O473" s="15"/>
      <c r="P473" s="15"/>
      <c r="Q473" s="15"/>
      <c r="R473" s="15"/>
    </row>
    <row r="474" ht="15.75" customHeight="1">
      <c r="A474" s="122"/>
      <c r="B474" s="112"/>
      <c r="C474" s="113"/>
      <c r="D474" s="113"/>
      <c r="E474" s="113"/>
      <c r="F474" s="419"/>
      <c r="G474" s="419"/>
      <c r="H474" s="420">
        <f t="shared" si="2"/>
        <v>0</v>
      </c>
      <c r="I474" s="420" t="str">
        <f t="shared" si="3"/>
        <v/>
      </c>
      <c r="J474" s="113"/>
      <c r="K474" s="114"/>
      <c r="L474" s="15"/>
      <c r="M474" s="13"/>
      <c r="N474" s="15"/>
      <c r="O474" s="15"/>
      <c r="P474" s="15"/>
      <c r="Q474" s="15"/>
      <c r="R474" s="15"/>
    </row>
    <row r="475" ht="15.75" customHeight="1">
      <c r="A475" s="122"/>
      <c r="B475" s="112"/>
      <c r="C475" s="113"/>
      <c r="D475" s="113"/>
      <c r="E475" s="113"/>
      <c r="F475" s="419"/>
      <c r="G475" s="419"/>
      <c r="H475" s="420">
        <f t="shared" si="2"/>
        <v>0</v>
      </c>
      <c r="I475" s="420" t="str">
        <f t="shared" si="3"/>
        <v/>
      </c>
      <c r="J475" s="113"/>
      <c r="K475" s="114"/>
      <c r="L475" s="15"/>
      <c r="M475" s="13"/>
      <c r="N475" s="15"/>
      <c r="O475" s="15"/>
      <c r="P475" s="15"/>
      <c r="Q475" s="15"/>
      <c r="R475" s="15"/>
    </row>
    <row r="476" ht="15.75" customHeight="1">
      <c r="A476" s="122"/>
      <c r="B476" s="112"/>
      <c r="C476" s="113"/>
      <c r="D476" s="113"/>
      <c r="E476" s="113"/>
      <c r="F476" s="419"/>
      <c r="G476" s="419"/>
      <c r="H476" s="420">
        <f t="shared" si="2"/>
        <v>0</v>
      </c>
      <c r="I476" s="420" t="str">
        <f t="shared" si="3"/>
        <v/>
      </c>
      <c r="J476" s="113"/>
      <c r="K476" s="114"/>
      <c r="L476" s="15"/>
      <c r="M476" s="13"/>
      <c r="N476" s="15"/>
      <c r="O476" s="15"/>
      <c r="P476" s="15"/>
      <c r="Q476" s="15"/>
      <c r="R476" s="15"/>
    </row>
    <row r="477" ht="15.75" customHeight="1">
      <c r="A477" s="122"/>
      <c r="B477" s="112"/>
      <c r="C477" s="113"/>
      <c r="D477" s="113"/>
      <c r="E477" s="113"/>
      <c r="F477" s="419"/>
      <c r="G477" s="419"/>
      <c r="H477" s="420">
        <f t="shared" si="2"/>
        <v>0</v>
      </c>
      <c r="I477" s="420" t="str">
        <f t="shared" si="3"/>
        <v/>
      </c>
      <c r="J477" s="113"/>
      <c r="K477" s="114"/>
      <c r="L477" s="15"/>
      <c r="M477" s="13"/>
      <c r="N477" s="15"/>
      <c r="O477" s="15"/>
      <c r="P477" s="15"/>
      <c r="Q477" s="15"/>
      <c r="R477" s="15"/>
    </row>
    <row r="478" ht="15.75" customHeight="1">
      <c r="A478" s="122"/>
      <c r="B478" s="112"/>
      <c r="C478" s="113"/>
      <c r="D478" s="113"/>
      <c r="E478" s="113"/>
      <c r="F478" s="419"/>
      <c r="G478" s="419"/>
      <c r="H478" s="420">
        <f t="shared" si="2"/>
        <v>0</v>
      </c>
      <c r="I478" s="420" t="str">
        <f t="shared" si="3"/>
        <v/>
      </c>
      <c r="J478" s="113"/>
      <c r="K478" s="114"/>
      <c r="L478" s="15"/>
      <c r="M478" s="13"/>
      <c r="N478" s="15"/>
      <c r="O478" s="15"/>
      <c r="P478" s="15"/>
      <c r="Q478" s="15"/>
      <c r="R478" s="15"/>
    </row>
    <row r="479" ht="15.75" customHeight="1">
      <c r="A479" s="122"/>
      <c r="B479" s="112"/>
      <c r="C479" s="113"/>
      <c r="D479" s="113"/>
      <c r="E479" s="113"/>
      <c r="F479" s="419"/>
      <c r="G479" s="419"/>
      <c r="H479" s="420">
        <f t="shared" si="2"/>
        <v>0</v>
      </c>
      <c r="I479" s="420" t="str">
        <f t="shared" si="3"/>
        <v/>
      </c>
      <c r="J479" s="113"/>
      <c r="K479" s="114"/>
      <c r="L479" s="15"/>
      <c r="M479" s="13"/>
      <c r="N479" s="15"/>
      <c r="O479" s="15"/>
      <c r="P479" s="15"/>
      <c r="Q479" s="15"/>
      <c r="R479" s="15"/>
    </row>
    <row r="480" ht="15.75" customHeight="1">
      <c r="A480" s="122"/>
      <c r="B480" s="112"/>
      <c r="C480" s="113"/>
      <c r="D480" s="113"/>
      <c r="E480" s="113"/>
      <c r="F480" s="419"/>
      <c r="G480" s="419"/>
      <c r="H480" s="420">
        <f t="shared" si="2"/>
        <v>0</v>
      </c>
      <c r="I480" s="420" t="str">
        <f t="shared" si="3"/>
        <v/>
      </c>
      <c r="J480" s="113"/>
      <c r="K480" s="114"/>
      <c r="L480" s="15"/>
      <c r="M480" s="13"/>
      <c r="N480" s="15"/>
      <c r="O480" s="15"/>
      <c r="P480" s="15"/>
      <c r="Q480" s="15"/>
      <c r="R480" s="15"/>
    </row>
    <row r="481" ht="15.75" customHeight="1">
      <c r="A481" s="122"/>
      <c r="B481" s="112"/>
      <c r="C481" s="113"/>
      <c r="D481" s="113"/>
      <c r="E481" s="113"/>
      <c r="F481" s="419"/>
      <c r="G481" s="419"/>
      <c r="H481" s="420">
        <f t="shared" si="2"/>
        <v>0</v>
      </c>
      <c r="I481" s="420" t="str">
        <f t="shared" si="3"/>
        <v/>
      </c>
      <c r="J481" s="113"/>
      <c r="K481" s="114"/>
      <c r="L481" s="15"/>
      <c r="M481" s="13"/>
      <c r="N481" s="15"/>
      <c r="O481" s="15"/>
      <c r="P481" s="15"/>
      <c r="Q481" s="15"/>
      <c r="R481" s="15"/>
    </row>
    <row r="482" ht="15.75" customHeight="1">
      <c r="A482" s="122"/>
      <c r="B482" s="112"/>
      <c r="C482" s="113"/>
      <c r="D482" s="113"/>
      <c r="E482" s="113"/>
      <c r="F482" s="419"/>
      <c r="G482" s="419"/>
      <c r="H482" s="420">
        <f t="shared" si="2"/>
        <v>0</v>
      </c>
      <c r="I482" s="420" t="str">
        <f t="shared" si="3"/>
        <v/>
      </c>
      <c r="J482" s="113"/>
      <c r="K482" s="114"/>
      <c r="L482" s="15"/>
      <c r="M482" s="13"/>
      <c r="N482" s="15"/>
      <c r="O482" s="15"/>
      <c r="P482" s="15"/>
      <c r="Q482" s="15"/>
      <c r="R482" s="15"/>
    </row>
    <row r="483" ht="15.75" customHeight="1">
      <c r="A483" s="122"/>
      <c r="B483" s="112"/>
      <c r="C483" s="113"/>
      <c r="D483" s="113"/>
      <c r="E483" s="113"/>
      <c r="F483" s="419"/>
      <c r="G483" s="419"/>
      <c r="H483" s="420">
        <f t="shared" si="2"/>
        <v>0</v>
      </c>
      <c r="I483" s="420" t="str">
        <f t="shared" si="3"/>
        <v/>
      </c>
      <c r="J483" s="113"/>
      <c r="K483" s="114"/>
      <c r="L483" s="15"/>
      <c r="M483" s="13"/>
      <c r="N483" s="15"/>
      <c r="O483" s="15"/>
      <c r="P483" s="15"/>
      <c r="Q483" s="15"/>
      <c r="R483" s="15"/>
    </row>
    <row r="484" ht="15.75" customHeight="1">
      <c r="A484" s="122"/>
      <c r="B484" s="112"/>
      <c r="C484" s="113"/>
      <c r="D484" s="113"/>
      <c r="E484" s="113"/>
      <c r="F484" s="419"/>
      <c r="G484" s="419"/>
      <c r="H484" s="420">
        <f t="shared" si="2"/>
        <v>0</v>
      </c>
      <c r="I484" s="420" t="str">
        <f t="shared" si="3"/>
        <v/>
      </c>
      <c r="J484" s="113"/>
      <c r="K484" s="114"/>
      <c r="L484" s="15"/>
      <c r="M484" s="13"/>
      <c r="N484" s="15"/>
      <c r="O484" s="15"/>
      <c r="P484" s="15"/>
      <c r="Q484" s="15"/>
      <c r="R484" s="15"/>
    </row>
    <row r="485" ht="15.75" customHeight="1">
      <c r="A485" s="122"/>
      <c r="B485" s="112"/>
      <c r="C485" s="113"/>
      <c r="D485" s="113"/>
      <c r="E485" s="113"/>
      <c r="F485" s="419"/>
      <c r="G485" s="419"/>
      <c r="H485" s="420">
        <f t="shared" si="2"/>
        <v>0</v>
      </c>
      <c r="I485" s="420" t="str">
        <f t="shared" si="3"/>
        <v/>
      </c>
      <c r="J485" s="113"/>
      <c r="K485" s="114"/>
      <c r="L485" s="15"/>
      <c r="M485" s="13"/>
      <c r="N485" s="15"/>
      <c r="O485" s="15"/>
      <c r="P485" s="15"/>
      <c r="Q485" s="15"/>
      <c r="R485" s="15"/>
    </row>
    <row r="486" ht="15.75" customHeight="1">
      <c r="A486" s="122"/>
      <c r="B486" s="112"/>
      <c r="C486" s="113"/>
      <c r="D486" s="113"/>
      <c r="E486" s="113"/>
      <c r="F486" s="419"/>
      <c r="G486" s="419"/>
      <c r="H486" s="420">
        <f t="shared" si="2"/>
        <v>0</v>
      </c>
      <c r="I486" s="420" t="str">
        <f t="shared" si="3"/>
        <v/>
      </c>
      <c r="J486" s="113"/>
      <c r="K486" s="114"/>
      <c r="L486" s="15"/>
      <c r="M486" s="13"/>
      <c r="N486" s="15"/>
      <c r="O486" s="15"/>
      <c r="P486" s="15"/>
      <c r="Q486" s="15"/>
      <c r="R486" s="15"/>
    </row>
    <row r="487" ht="15.75" customHeight="1">
      <c r="A487" s="122"/>
      <c r="B487" s="112"/>
      <c r="C487" s="113"/>
      <c r="D487" s="113"/>
      <c r="E487" s="113"/>
      <c r="F487" s="419"/>
      <c r="G487" s="419"/>
      <c r="H487" s="420">
        <f t="shared" si="2"/>
        <v>0</v>
      </c>
      <c r="I487" s="420" t="str">
        <f t="shared" si="3"/>
        <v/>
      </c>
      <c r="J487" s="113"/>
      <c r="K487" s="114"/>
      <c r="L487" s="15"/>
      <c r="M487" s="13"/>
      <c r="N487" s="15"/>
      <c r="O487" s="15"/>
      <c r="P487" s="15"/>
      <c r="Q487" s="15"/>
      <c r="R487" s="15"/>
    </row>
    <row r="488" ht="15.75" customHeight="1">
      <c r="A488" s="122"/>
      <c r="B488" s="112"/>
      <c r="C488" s="113"/>
      <c r="D488" s="113"/>
      <c r="E488" s="113"/>
      <c r="F488" s="419"/>
      <c r="G488" s="419"/>
      <c r="H488" s="420">
        <f t="shared" si="2"/>
        <v>0</v>
      </c>
      <c r="I488" s="420" t="str">
        <f t="shared" si="3"/>
        <v/>
      </c>
      <c r="J488" s="113"/>
      <c r="K488" s="114"/>
      <c r="L488" s="15"/>
      <c r="M488" s="13"/>
      <c r="N488" s="15"/>
      <c r="O488" s="15"/>
      <c r="P488" s="15"/>
      <c r="Q488" s="15"/>
      <c r="R488" s="15"/>
    </row>
    <row r="489" ht="15.75" customHeight="1">
      <c r="A489" s="122"/>
      <c r="B489" s="112"/>
      <c r="C489" s="113"/>
      <c r="D489" s="113"/>
      <c r="E489" s="113"/>
      <c r="F489" s="419"/>
      <c r="G489" s="419"/>
      <c r="H489" s="420">
        <f t="shared" si="2"/>
        <v>0</v>
      </c>
      <c r="I489" s="420" t="str">
        <f t="shared" si="3"/>
        <v/>
      </c>
      <c r="J489" s="113"/>
      <c r="K489" s="114"/>
      <c r="L489" s="15"/>
      <c r="M489" s="13"/>
      <c r="N489" s="15"/>
      <c r="O489" s="15"/>
      <c r="P489" s="15"/>
      <c r="Q489" s="15"/>
      <c r="R489" s="15"/>
    </row>
    <row r="490" ht="15.75" customHeight="1">
      <c r="A490" s="122"/>
      <c r="B490" s="112"/>
      <c r="C490" s="113"/>
      <c r="D490" s="113"/>
      <c r="E490" s="113"/>
      <c r="F490" s="419"/>
      <c r="G490" s="419"/>
      <c r="H490" s="420">
        <f t="shared" si="2"/>
        <v>0</v>
      </c>
      <c r="I490" s="420" t="str">
        <f t="shared" si="3"/>
        <v/>
      </c>
      <c r="J490" s="113"/>
      <c r="K490" s="114"/>
      <c r="L490" s="15"/>
      <c r="M490" s="13"/>
      <c r="N490" s="15"/>
      <c r="O490" s="15"/>
      <c r="P490" s="15"/>
      <c r="Q490" s="15"/>
      <c r="R490" s="15"/>
    </row>
    <row r="491" ht="15.75" customHeight="1">
      <c r="A491" s="122"/>
      <c r="B491" s="112"/>
      <c r="C491" s="113"/>
      <c r="D491" s="113"/>
      <c r="E491" s="113"/>
      <c r="F491" s="419"/>
      <c r="G491" s="419"/>
      <c r="H491" s="420">
        <f t="shared" si="2"/>
        <v>0</v>
      </c>
      <c r="I491" s="420" t="str">
        <f t="shared" si="3"/>
        <v/>
      </c>
      <c r="J491" s="113"/>
      <c r="K491" s="114"/>
      <c r="L491" s="15"/>
      <c r="M491" s="13"/>
      <c r="N491" s="15"/>
      <c r="O491" s="15"/>
      <c r="P491" s="15"/>
      <c r="Q491" s="15"/>
      <c r="R491" s="15"/>
    </row>
    <row r="492" ht="15.75" customHeight="1">
      <c r="A492" s="122"/>
      <c r="B492" s="112"/>
      <c r="C492" s="113"/>
      <c r="D492" s="113"/>
      <c r="E492" s="113"/>
      <c r="F492" s="419"/>
      <c r="G492" s="419"/>
      <c r="H492" s="420">
        <f t="shared" si="2"/>
        <v>0</v>
      </c>
      <c r="I492" s="420" t="str">
        <f t="shared" si="3"/>
        <v/>
      </c>
      <c r="J492" s="113"/>
      <c r="K492" s="114"/>
      <c r="L492" s="15"/>
      <c r="M492" s="13"/>
      <c r="N492" s="15"/>
      <c r="O492" s="15"/>
      <c r="P492" s="15"/>
      <c r="Q492" s="15"/>
      <c r="R492" s="15"/>
    </row>
    <row r="493" ht="15.75" customHeight="1">
      <c r="A493" s="122"/>
      <c r="B493" s="112"/>
      <c r="C493" s="113"/>
      <c r="D493" s="113"/>
      <c r="E493" s="113"/>
      <c r="F493" s="419"/>
      <c r="G493" s="419"/>
      <c r="H493" s="420">
        <f t="shared" si="2"/>
        <v>0</v>
      </c>
      <c r="I493" s="420" t="str">
        <f t="shared" si="3"/>
        <v/>
      </c>
      <c r="J493" s="113"/>
      <c r="K493" s="114"/>
      <c r="L493" s="15"/>
      <c r="M493" s="13"/>
      <c r="N493" s="15"/>
      <c r="O493" s="15"/>
      <c r="P493" s="15"/>
      <c r="Q493" s="15"/>
      <c r="R493" s="15"/>
    </row>
    <row r="494" ht="15.75" customHeight="1">
      <c r="A494" s="122"/>
      <c r="B494" s="112"/>
      <c r="C494" s="113"/>
      <c r="D494" s="113"/>
      <c r="E494" s="113"/>
      <c r="F494" s="419"/>
      <c r="G494" s="419"/>
      <c r="H494" s="420">
        <f t="shared" si="2"/>
        <v>0</v>
      </c>
      <c r="I494" s="420" t="str">
        <f t="shared" si="3"/>
        <v/>
      </c>
      <c r="J494" s="113"/>
      <c r="K494" s="114"/>
      <c r="L494" s="15"/>
      <c r="M494" s="13"/>
      <c r="N494" s="15"/>
      <c r="O494" s="15"/>
      <c r="P494" s="15"/>
      <c r="Q494" s="15"/>
      <c r="R494" s="15"/>
    </row>
    <row r="495" ht="15.75" customHeight="1">
      <c r="A495" s="122"/>
      <c r="B495" s="112"/>
      <c r="C495" s="113"/>
      <c r="D495" s="113"/>
      <c r="E495" s="113"/>
      <c r="F495" s="419"/>
      <c r="G495" s="419"/>
      <c r="H495" s="420">
        <f t="shared" si="2"/>
        <v>0</v>
      </c>
      <c r="I495" s="420" t="str">
        <f t="shared" si="3"/>
        <v/>
      </c>
      <c r="J495" s="113"/>
      <c r="K495" s="114"/>
      <c r="L495" s="15"/>
      <c r="M495" s="13"/>
      <c r="N495" s="15"/>
      <c r="O495" s="15"/>
      <c r="P495" s="15"/>
      <c r="Q495" s="15"/>
      <c r="R495" s="15"/>
    </row>
    <row r="496" ht="15.75" customHeight="1">
      <c r="A496" s="122"/>
      <c r="B496" s="112"/>
      <c r="C496" s="113"/>
      <c r="D496" s="113"/>
      <c r="E496" s="113"/>
      <c r="F496" s="419"/>
      <c r="G496" s="419"/>
      <c r="H496" s="420">
        <f t="shared" si="2"/>
        <v>0</v>
      </c>
      <c r="I496" s="420" t="str">
        <f t="shared" si="3"/>
        <v/>
      </c>
      <c r="J496" s="113"/>
      <c r="K496" s="114"/>
      <c r="L496" s="15"/>
      <c r="M496" s="13"/>
      <c r="N496" s="15"/>
      <c r="O496" s="15"/>
      <c r="P496" s="15"/>
      <c r="Q496" s="15"/>
      <c r="R496" s="15"/>
    </row>
    <row r="497" ht="15.75" customHeight="1">
      <c r="A497" s="122"/>
      <c r="B497" s="112"/>
      <c r="C497" s="113"/>
      <c r="D497" s="113"/>
      <c r="E497" s="113"/>
      <c r="F497" s="419"/>
      <c r="G497" s="419"/>
      <c r="H497" s="420">
        <f t="shared" si="2"/>
        <v>0</v>
      </c>
      <c r="I497" s="420" t="str">
        <f t="shared" si="3"/>
        <v/>
      </c>
      <c r="J497" s="113"/>
      <c r="K497" s="114"/>
      <c r="L497" s="15"/>
      <c r="M497" s="13"/>
      <c r="N497" s="15"/>
      <c r="O497" s="15"/>
      <c r="P497" s="15"/>
      <c r="Q497" s="15"/>
      <c r="R497" s="15"/>
    </row>
    <row r="498" ht="15.75" customHeight="1">
      <c r="A498" s="122"/>
      <c r="B498" s="112"/>
      <c r="C498" s="113"/>
      <c r="D498" s="113"/>
      <c r="E498" s="113"/>
      <c r="F498" s="419"/>
      <c r="G498" s="419"/>
      <c r="H498" s="420">
        <f t="shared" si="2"/>
        <v>0</v>
      </c>
      <c r="I498" s="420" t="str">
        <f t="shared" si="3"/>
        <v/>
      </c>
      <c r="J498" s="113"/>
      <c r="K498" s="114"/>
      <c r="L498" s="15"/>
      <c r="M498" s="13"/>
      <c r="N498" s="15"/>
      <c r="O498" s="15"/>
      <c r="P498" s="15"/>
      <c r="Q498" s="15"/>
      <c r="R498" s="15"/>
    </row>
    <row r="499" ht="15.75" customHeight="1">
      <c r="A499" s="122"/>
      <c r="B499" s="112"/>
      <c r="C499" s="113"/>
      <c r="D499" s="113"/>
      <c r="E499" s="113"/>
      <c r="F499" s="419"/>
      <c r="G499" s="419"/>
      <c r="H499" s="420">
        <f t="shared" si="2"/>
        <v>0</v>
      </c>
      <c r="I499" s="420" t="str">
        <f t="shared" si="3"/>
        <v/>
      </c>
      <c r="J499" s="113"/>
      <c r="K499" s="114"/>
      <c r="L499" s="15"/>
      <c r="M499" s="13"/>
      <c r="N499" s="15"/>
      <c r="O499" s="15"/>
      <c r="P499" s="15"/>
      <c r="Q499" s="15"/>
      <c r="R499" s="15"/>
    </row>
    <row r="500" ht="15.75" customHeight="1">
      <c r="A500" s="122"/>
      <c r="B500" s="112"/>
      <c r="C500" s="113"/>
      <c r="D500" s="113"/>
      <c r="E500" s="113"/>
      <c r="F500" s="419"/>
      <c r="G500" s="419"/>
      <c r="H500" s="420">
        <f t="shared" si="2"/>
        <v>0</v>
      </c>
      <c r="I500" s="420" t="str">
        <f t="shared" si="3"/>
        <v/>
      </c>
      <c r="J500" s="113"/>
      <c r="K500" s="114"/>
      <c r="L500" s="15"/>
      <c r="M500" s="13"/>
      <c r="N500" s="15"/>
      <c r="O500" s="15"/>
      <c r="P500" s="15"/>
      <c r="Q500" s="15"/>
      <c r="R500" s="15"/>
    </row>
    <row r="501" ht="15.75" customHeight="1">
      <c r="A501" s="122"/>
      <c r="B501" s="112"/>
      <c r="C501" s="113"/>
      <c r="D501" s="113"/>
      <c r="E501" s="113"/>
      <c r="F501" s="419"/>
      <c r="G501" s="419"/>
      <c r="H501" s="420">
        <f t="shared" si="2"/>
        <v>0</v>
      </c>
      <c r="I501" s="420" t="str">
        <f t="shared" si="3"/>
        <v/>
      </c>
      <c r="J501" s="113"/>
      <c r="K501" s="114"/>
      <c r="L501" s="15"/>
      <c r="M501" s="13"/>
      <c r="N501" s="15"/>
      <c r="O501" s="15"/>
      <c r="P501" s="15"/>
      <c r="Q501" s="15"/>
      <c r="R501" s="15"/>
    </row>
    <row r="502" ht="15.75" customHeight="1">
      <c r="A502" s="122"/>
      <c r="B502" s="112"/>
      <c r="C502" s="113"/>
      <c r="D502" s="113"/>
      <c r="E502" s="113"/>
      <c r="F502" s="419"/>
      <c r="G502" s="419"/>
      <c r="H502" s="420">
        <f t="shared" si="2"/>
        <v>0</v>
      </c>
      <c r="I502" s="420" t="str">
        <f t="shared" si="3"/>
        <v/>
      </c>
      <c r="J502" s="113"/>
      <c r="K502" s="114"/>
      <c r="L502" s="15"/>
      <c r="M502" s="13"/>
      <c r="N502" s="15"/>
      <c r="O502" s="15"/>
      <c r="P502" s="15"/>
      <c r="Q502" s="15"/>
      <c r="R502" s="15"/>
    </row>
    <row r="503" ht="15.75" customHeight="1">
      <c r="A503" s="122"/>
      <c r="B503" s="112"/>
      <c r="C503" s="113"/>
      <c r="D503" s="113"/>
      <c r="E503" s="113"/>
      <c r="F503" s="419"/>
      <c r="G503" s="419"/>
      <c r="H503" s="420">
        <f t="shared" si="2"/>
        <v>0</v>
      </c>
      <c r="I503" s="420" t="str">
        <f t="shared" si="3"/>
        <v/>
      </c>
      <c r="J503" s="113"/>
      <c r="K503" s="114"/>
      <c r="L503" s="15"/>
      <c r="M503" s="13"/>
      <c r="N503" s="15"/>
      <c r="O503" s="15"/>
      <c r="P503" s="15"/>
      <c r="Q503" s="15"/>
      <c r="R503" s="15"/>
    </row>
    <row r="504" ht="15.75" customHeight="1">
      <c r="A504" s="122"/>
      <c r="B504" s="112"/>
      <c r="C504" s="113"/>
      <c r="D504" s="113"/>
      <c r="E504" s="113"/>
      <c r="F504" s="419"/>
      <c r="G504" s="419"/>
      <c r="H504" s="420">
        <f t="shared" si="2"/>
        <v>0</v>
      </c>
      <c r="I504" s="420" t="str">
        <f t="shared" si="3"/>
        <v/>
      </c>
      <c r="J504" s="113"/>
      <c r="K504" s="114"/>
      <c r="L504" s="15"/>
      <c r="M504" s="13"/>
      <c r="N504" s="15"/>
      <c r="O504" s="15"/>
      <c r="P504" s="15"/>
      <c r="Q504" s="15"/>
      <c r="R504" s="15"/>
    </row>
    <row r="505" ht="15.75" customHeight="1">
      <c r="A505" s="122"/>
      <c r="B505" s="112"/>
      <c r="C505" s="113"/>
      <c r="D505" s="113"/>
      <c r="E505" s="113"/>
      <c r="F505" s="419"/>
      <c r="G505" s="419"/>
      <c r="H505" s="420">
        <f t="shared" si="2"/>
        <v>0</v>
      </c>
      <c r="I505" s="420" t="str">
        <f t="shared" si="3"/>
        <v/>
      </c>
      <c r="J505" s="113"/>
      <c r="K505" s="114"/>
      <c r="L505" s="15"/>
      <c r="M505" s="13"/>
      <c r="N505" s="15"/>
      <c r="O505" s="15"/>
      <c r="P505" s="15"/>
      <c r="Q505" s="15"/>
      <c r="R505" s="15"/>
    </row>
    <row r="506" ht="15.75" customHeight="1">
      <c r="A506" s="122"/>
      <c r="B506" s="112"/>
      <c r="C506" s="113"/>
      <c r="D506" s="113"/>
      <c r="E506" s="113"/>
      <c r="F506" s="419"/>
      <c r="G506" s="419"/>
      <c r="H506" s="420">
        <f t="shared" si="2"/>
        <v>0</v>
      </c>
      <c r="I506" s="420" t="str">
        <f t="shared" si="3"/>
        <v/>
      </c>
      <c r="J506" s="113"/>
      <c r="K506" s="114"/>
      <c r="L506" s="15"/>
      <c r="M506" s="13"/>
      <c r="N506" s="15"/>
      <c r="O506" s="15"/>
      <c r="P506" s="15"/>
      <c r="Q506" s="15"/>
      <c r="R506" s="15"/>
    </row>
    <row r="507" ht="15.75" customHeight="1">
      <c r="A507" s="122"/>
      <c r="B507" s="112"/>
      <c r="C507" s="113"/>
      <c r="D507" s="113"/>
      <c r="E507" s="113"/>
      <c r="F507" s="419"/>
      <c r="G507" s="419"/>
      <c r="H507" s="420">
        <f t="shared" si="2"/>
        <v>0</v>
      </c>
      <c r="I507" s="420" t="str">
        <f t="shared" si="3"/>
        <v/>
      </c>
      <c r="J507" s="113"/>
      <c r="K507" s="114"/>
      <c r="L507" s="15"/>
      <c r="M507" s="13"/>
      <c r="N507" s="15"/>
      <c r="O507" s="15"/>
      <c r="P507" s="15"/>
      <c r="Q507" s="15"/>
      <c r="R507" s="15"/>
    </row>
    <row r="508" ht="15.75" customHeight="1">
      <c r="A508" s="122"/>
      <c r="B508" s="112"/>
      <c r="C508" s="113"/>
      <c r="D508" s="113"/>
      <c r="E508" s="113"/>
      <c r="F508" s="419"/>
      <c r="G508" s="419"/>
      <c r="H508" s="420">
        <f t="shared" si="2"/>
        <v>0</v>
      </c>
      <c r="I508" s="420" t="str">
        <f t="shared" si="3"/>
        <v/>
      </c>
      <c r="J508" s="113"/>
      <c r="K508" s="114"/>
      <c r="L508" s="15"/>
      <c r="M508" s="13"/>
      <c r="N508" s="15"/>
      <c r="O508" s="15"/>
      <c r="P508" s="15"/>
      <c r="Q508" s="15"/>
      <c r="R508" s="15"/>
    </row>
    <row r="509" ht="15.75" customHeight="1">
      <c r="A509" s="122"/>
      <c r="B509" s="112"/>
      <c r="C509" s="113"/>
      <c r="D509" s="113"/>
      <c r="E509" s="113"/>
      <c r="F509" s="419"/>
      <c r="G509" s="419"/>
      <c r="H509" s="420">
        <f t="shared" si="2"/>
        <v>0</v>
      </c>
      <c r="I509" s="420" t="str">
        <f t="shared" si="3"/>
        <v/>
      </c>
      <c r="J509" s="113"/>
      <c r="K509" s="114"/>
      <c r="L509" s="15"/>
      <c r="M509" s="13"/>
      <c r="N509" s="15"/>
      <c r="O509" s="15"/>
      <c r="P509" s="15"/>
      <c r="Q509" s="15"/>
      <c r="R509" s="15"/>
    </row>
    <row r="510" ht="15.75" customHeight="1">
      <c r="A510" s="122"/>
      <c r="B510" s="112"/>
      <c r="C510" s="113"/>
      <c r="D510" s="113"/>
      <c r="E510" s="113"/>
      <c r="F510" s="419"/>
      <c r="G510" s="419"/>
      <c r="H510" s="420">
        <f t="shared" si="2"/>
        <v>0</v>
      </c>
      <c r="I510" s="420" t="str">
        <f t="shared" si="3"/>
        <v/>
      </c>
      <c r="J510" s="113"/>
      <c r="K510" s="114"/>
      <c r="L510" s="15"/>
      <c r="M510" s="13"/>
      <c r="N510" s="15"/>
      <c r="O510" s="15"/>
      <c r="P510" s="15"/>
      <c r="Q510" s="15"/>
      <c r="R510" s="15"/>
    </row>
    <row r="511" ht="15.75" customHeight="1">
      <c r="A511" s="122"/>
      <c r="B511" s="112"/>
      <c r="C511" s="113"/>
      <c r="D511" s="113"/>
      <c r="E511" s="113"/>
      <c r="F511" s="419"/>
      <c r="G511" s="419"/>
      <c r="H511" s="420">
        <f t="shared" si="2"/>
        <v>0</v>
      </c>
      <c r="I511" s="420" t="str">
        <f t="shared" si="3"/>
        <v/>
      </c>
      <c r="J511" s="113"/>
      <c r="K511" s="114"/>
      <c r="L511" s="15"/>
      <c r="M511" s="13"/>
      <c r="N511" s="15"/>
      <c r="O511" s="15"/>
      <c r="P511" s="15"/>
      <c r="Q511" s="15"/>
      <c r="R511" s="15"/>
    </row>
    <row r="512" ht="15.75" customHeight="1">
      <c r="A512" s="122"/>
      <c r="B512" s="112"/>
      <c r="C512" s="113"/>
      <c r="D512" s="113"/>
      <c r="E512" s="113"/>
      <c r="F512" s="419"/>
      <c r="G512" s="419"/>
      <c r="H512" s="420">
        <f t="shared" si="2"/>
        <v>0</v>
      </c>
      <c r="I512" s="420" t="str">
        <f t="shared" si="3"/>
        <v/>
      </c>
      <c r="J512" s="113"/>
      <c r="K512" s="114"/>
      <c r="L512" s="15"/>
      <c r="M512" s="13"/>
      <c r="N512" s="15"/>
      <c r="O512" s="15"/>
      <c r="P512" s="15"/>
      <c r="Q512" s="15"/>
      <c r="R512" s="15"/>
    </row>
    <row r="513" ht="15.75" customHeight="1">
      <c r="A513" s="122"/>
      <c r="B513" s="112"/>
      <c r="C513" s="113"/>
      <c r="D513" s="113"/>
      <c r="E513" s="113"/>
      <c r="F513" s="419"/>
      <c r="G513" s="419"/>
      <c r="H513" s="420">
        <f t="shared" si="2"/>
        <v>0</v>
      </c>
      <c r="I513" s="420" t="str">
        <f t="shared" si="3"/>
        <v/>
      </c>
      <c r="J513" s="113"/>
      <c r="K513" s="114"/>
      <c r="L513" s="15"/>
      <c r="M513" s="13"/>
      <c r="N513" s="15"/>
      <c r="O513" s="15"/>
      <c r="P513" s="15"/>
      <c r="Q513" s="15"/>
      <c r="R513" s="15"/>
    </row>
    <row r="514" ht="15.75" customHeight="1">
      <c r="A514" s="122"/>
      <c r="B514" s="112"/>
      <c r="C514" s="113"/>
      <c r="D514" s="113"/>
      <c r="E514" s="113"/>
      <c r="F514" s="419"/>
      <c r="G514" s="419"/>
      <c r="H514" s="420">
        <f t="shared" si="2"/>
        <v>0</v>
      </c>
      <c r="I514" s="420" t="str">
        <f t="shared" si="3"/>
        <v/>
      </c>
      <c r="J514" s="113"/>
      <c r="K514" s="114"/>
      <c r="L514" s="15"/>
      <c r="M514" s="13"/>
      <c r="N514" s="15"/>
      <c r="O514" s="15"/>
      <c r="P514" s="15"/>
      <c r="Q514" s="15"/>
      <c r="R514" s="15"/>
    </row>
    <row r="515" ht="15.75" customHeight="1">
      <c r="A515" s="122"/>
      <c r="B515" s="112"/>
      <c r="C515" s="113"/>
      <c r="D515" s="113"/>
      <c r="E515" s="113"/>
      <c r="F515" s="419"/>
      <c r="G515" s="419"/>
      <c r="H515" s="420">
        <f t="shared" si="2"/>
        <v>0</v>
      </c>
      <c r="I515" s="420" t="str">
        <f t="shared" si="3"/>
        <v/>
      </c>
      <c r="J515" s="113"/>
      <c r="K515" s="114"/>
      <c r="L515" s="15"/>
      <c r="M515" s="13"/>
      <c r="N515" s="15"/>
      <c r="O515" s="15"/>
      <c r="P515" s="15"/>
      <c r="Q515" s="15"/>
      <c r="R515" s="15"/>
    </row>
    <row r="516" ht="15.75" customHeight="1">
      <c r="A516" s="122"/>
      <c r="B516" s="112"/>
      <c r="C516" s="113"/>
      <c r="D516" s="113"/>
      <c r="E516" s="113"/>
      <c r="F516" s="419"/>
      <c r="G516" s="419"/>
      <c r="H516" s="420">
        <f t="shared" si="2"/>
        <v>0</v>
      </c>
      <c r="I516" s="420" t="str">
        <f t="shared" si="3"/>
        <v/>
      </c>
      <c r="J516" s="113"/>
      <c r="K516" s="114"/>
      <c r="L516" s="15"/>
      <c r="M516" s="13"/>
      <c r="N516" s="15"/>
      <c r="O516" s="15"/>
      <c r="P516" s="15"/>
      <c r="Q516" s="15"/>
      <c r="R516" s="15"/>
    </row>
    <row r="517" ht="15.75" customHeight="1">
      <c r="A517" s="122"/>
      <c r="B517" s="112"/>
      <c r="C517" s="113"/>
      <c r="D517" s="113"/>
      <c r="E517" s="113"/>
      <c r="F517" s="419"/>
      <c r="G517" s="419"/>
      <c r="H517" s="420">
        <f t="shared" si="2"/>
        <v>0</v>
      </c>
      <c r="I517" s="420" t="str">
        <f t="shared" si="3"/>
        <v/>
      </c>
      <c r="J517" s="113"/>
      <c r="K517" s="114"/>
      <c r="L517" s="15"/>
      <c r="M517" s="13"/>
      <c r="N517" s="15"/>
      <c r="O517" s="15"/>
      <c r="P517" s="15"/>
      <c r="Q517" s="15"/>
      <c r="R517" s="15"/>
    </row>
    <row r="518" ht="15.75" customHeight="1">
      <c r="A518" s="122"/>
      <c r="B518" s="112"/>
      <c r="C518" s="113"/>
      <c r="D518" s="113"/>
      <c r="E518" s="113"/>
      <c r="F518" s="419"/>
      <c r="G518" s="419"/>
      <c r="H518" s="420">
        <f t="shared" si="2"/>
        <v>0</v>
      </c>
      <c r="I518" s="420" t="str">
        <f t="shared" si="3"/>
        <v/>
      </c>
      <c r="J518" s="113"/>
      <c r="K518" s="114"/>
      <c r="L518" s="15"/>
      <c r="M518" s="13"/>
      <c r="N518" s="15"/>
      <c r="O518" s="15"/>
      <c r="P518" s="15"/>
      <c r="Q518" s="15"/>
      <c r="R518" s="15"/>
    </row>
    <row r="519" ht="15.75" customHeight="1">
      <c r="A519" s="122"/>
      <c r="B519" s="112"/>
      <c r="C519" s="113"/>
      <c r="D519" s="113"/>
      <c r="E519" s="113"/>
      <c r="F519" s="419"/>
      <c r="G519" s="419"/>
      <c r="H519" s="420">
        <f t="shared" si="2"/>
        <v>0</v>
      </c>
      <c r="I519" s="420" t="str">
        <f t="shared" si="3"/>
        <v/>
      </c>
      <c r="J519" s="113"/>
      <c r="K519" s="114"/>
      <c r="L519" s="15"/>
      <c r="M519" s="13"/>
      <c r="N519" s="15"/>
      <c r="O519" s="15"/>
      <c r="P519" s="15"/>
      <c r="Q519" s="15"/>
      <c r="R519" s="15"/>
    </row>
    <row r="520" ht="15.75" customHeight="1">
      <c r="A520" s="122"/>
      <c r="B520" s="112"/>
      <c r="C520" s="113"/>
      <c r="D520" s="113"/>
      <c r="E520" s="113"/>
      <c r="F520" s="419"/>
      <c r="G520" s="419"/>
      <c r="H520" s="420">
        <f t="shared" si="2"/>
        <v>0</v>
      </c>
      <c r="I520" s="420" t="str">
        <f t="shared" si="3"/>
        <v/>
      </c>
      <c r="J520" s="113"/>
      <c r="K520" s="114"/>
      <c r="L520" s="15"/>
      <c r="M520" s="13"/>
      <c r="N520" s="15"/>
      <c r="O520" s="15"/>
      <c r="P520" s="15"/>
      <c r="Q520" s="15"/>
      <c r="R520" s="15"/>
    </row>
    <row r="521" ht="15.75" customHeight="1">
      <c r="A521" s="122"/>
      <c r="B521" s="112"/>
      <c r="C521" s="113"/>
      <c r="D521" s="113"/>
      <c r="E521" s="113"/>
      <c r="F521" s="419"/>
      <c r="G521" s="419"/>
      <c r="H521" s="420">
        <f t="shared" si="2"/>
        <v>0</v>
      </c>
      <c r="I521" s="420" t="str">
        <f t="shared" si="3"/>
        <v/>
      </c>
      <c r="J521" s="113"/>
      <c r="K521" s="114"/>
      <c r="L521" s="15"/>
      <c r="M521" s="13"/>
      <c r="N521" s="15"/>
      <c r="O521" s="15"/>
      <c r="P521" s="15"/>
      <c r="Q521" s="15"/>
      <c r="R521" s="15"/>
    </row>
    <row r="522" ht="15.75" customHeight="1">
      <c r="A522" s="122"/>
      <c r="B522" s="112"/>
      <c r="C522" s="113"/>
      <c r="D522" s="113"/>
      <c r="E522" s="113"/>
      <c r="F522" s="419"/>
      <c r="G522" s="419"/>
      <c r="H522" s="420">
        <f t="shared" si="2"/>
        <v>0</v>
      </c>
      <c r="I522" s="420" t="str">
        <f t="shared" si="3"/>
        <v/>
      </c>
      <c r="J522" s="113"/>
      <c r="K522" s="114"/>
      <c r="L522" s="15"/>
      <c r="M522" s="13"/>
      <c r="N522" s="15"/>
      <c r="O522" s="15"/>
      <c r="P522" s="15"/>
      <c r="Q522" s="15"/>
      <c r="R522" s="15"/>
    </row>
    <row r="523" ht="15.75" customHeight="1">
      <c r="A523" s="122"/>
      <c r="B523" s="112"/>
      <c r="C523" s="113"/>
      <c r="D523" s="113"/>
      <c r="E523" s="113"/>
      <c r="F523" s="419"/>
      <c r="G523" s="419"/>
      <c r="H523" s="420">
        <f t="shared" si="2"/>
        <v>0</v>
      </c>
      <c r="I523" s="420" t="str">
        <f t="shared" si="3"/>
        <v/>
      </c>
      <c r="J523" s="113"/>
      <c r="K523" s="114"/>
      <c r="L523" s="15"/>
      <c r="M523" s="13"/>
      <c r="N523" s="15"/>
      <c r="O523" s="15"/>
      <c r="P523" s="15"/>
      <c r="Q523" s="15"/>
      <c r="R523" s="15"/>
    </row>
    <row r="524" ht="15.75" customHeight="1">
      <c r="A524" s="122"/>
      <c r="B524" s="112"/>
      <c r="C524" s="113"/>
      <c r="D524" s="113"/>
      <c r="E524" s="113"/>
      <c r="F524" s="419"/>
      <c r="G524" s="419"/>
      <c r="H524" s="420">
        <f t="shared" si="2"/>
        <v>0</v>
      </c>
      <c r="I524" s="420" t="str">
        <f t="shared" si="3"/>
        <v/>
      </c>
      <c r="J524" s="113"/>
      <c r="K524" s="114"/>
      <c r="L524" s="15"/>
      <c r="M524" s="13"/>
      <c r="N524" s="15"/>
      <c r="O524" s="15"/>
      <c r="P524" s="15"/>
      <c r="Q524" s="15"/>
      <c r="R524" s="15"/>
    </row>
    <row r="525" ht="15.75" customHeight="1">
      <c r="A525" s="122"/>
      <c r="B525" s="112"/>
      <c r="C525" s="113"/>
      <c r="D525" s="113"/>
      <c r="E525" s="113"/>
      <c r="F525" s="419"/>
      <c r="G525" s="419"/>
      <c r="H525" s="420">
        <f t="shared" si="2"/>
        <v>0</v>
      </c>
      <c r="I525" s="420" t="str">
        <f t="shared" si="3"/>
        <v/>
      </c>
      <c r="J525" s="113"/>
      <c r="K525" s="114"/>
      <c r="L525" s="15"/>
      <c r="M525" s="13"/>
      <c r="N525" s="15"/>
      <c r="O525" s="15"/>
      <c r="P525" s="15"/>
      <c r="Q525" s="15"/>
      <c r="R525" s="15"/>
    </row>
    <row r="526" ht="15.75" customHeight="1">
      <c r="A526" s="122"/>
      <c r="B526" s="112"/>
      <c r="C526" s="113"/>
      <c r="D526" s="113"/>
      <c r="E526" s="113"/>
      <c r="F526" s="419"/>
      <c r="G526" s="419"/>
      <c r="H526" s="420">
        <f t="shared" si="2"/>
        <v>0</v>
      </c>
      <c r="I526" s="420" t="str">
        <f t="shared" si="3"/>
        <v/>
      </c>
      <c r="J526" s="113"/>
      <c r="K526" s="114"/>
      <c r="L526" s="15"/>
      <c r="M526" s="13"/>
      <c r="N526" s="15"/>
      <c r="O526" s="15"/>
      <c r="P526" s="15"/>
      <c r="Q526" s="15"/>
      <c r="R526" s="15"/>
    </row>
    <row r="527" ht="15.75" customHeight="1">
      <c r="A527" s="122"/>
      <c r="B527" s="112"/>
      <c r="C527" s="113"/>
      <c r="D527" s="113"/>
      <c r="E527" s="113"/>
      <c r="F527" s="419"/>
      <c r="G527" s="419"/>
      <c r="H527" s="420">
        <f t="shared" si="2"/>
        <v>0</v>
      </c>
      <c r="I527" s="420" t="str">
        <f t="shared" si="3"/>
        <v/>
      </c>
      <c r="J527" s="113"/>
      <c r="K527" s="114"/>
      <c r="L527" s="15"/>
      <c r="M527" s="13"/>
      <c r="N527" s="15"/>
      <c r="O527" s="15"/>
      <c r="P527" s="15"/>
      <c r="Q527" s="15"/>
      <c r="R527" s="15"/>
    </row>
    <row r="528" ht="15.75" customHeight="1">
      <c r="A528" s="122"/>
      <c r="B528" s="112"/>
      <c r="C528" s="113"/>
      <c r="D528" s="113"/>
      <c r="E528" s="113"/>
      <c r="F528" s="419"/>
      <c r="G528" s="419"/>
      <c r="H528" s="420">
        <f t="shared" si="2"/>
        <v>0</v>
      </c>
      <c r="I528" s="420" t="str">
        <f t="shared" si="3"/>
        <v/>
      </c>
      <c r="J528" s="113"/>
      <c r="K528" s="114"/>
      <c r="L528" s="15"/>
      <c r="M528" s="13"/>
      <c r="N528" s="15"/>
      <c r="O528" s="15"/>
      <c r="P528" s="15"/>
      <c r="Q528" s="15"/>
      <c r="R528" s="15"/>
    </row>
    <row r="529" ht="15.75" customHeight="1">
      <c r="A529" s="122"/>
      <c r="B529" s="112"/>
      <c r="C529" s="113"/>
      <c r="D529" s="113"/>
      <c r="E529" s="113"/>
      <c r="F529" s="419"/>
      <c r="G529" s="419"/>
      <c r="H529" s="420">
        <f t="shared" si="2"/>
        <v>0</v>
      </c>
      <c r="I529" s="420" t="str">
        <f t="shared" si="3"/>
        <v/>
      </c>
      <c r="J529" s="113"/>
      <c r="K529" s="114"/>
      <c r="L529" s="15"/>
      <c r="M529" s="13"/>
      <c r="N529" s="15"/>
      <c r="O529" s="15"/>
      <c r="P529" s="15"/>
      <c r="Q529" s="15"/>
      <c r="R529" s="15"/>
    </row>
    <row r="530" ht="15.75" customHeight="1">
      <c r="A530" s="122"/>
      <c r="B530" s="112"/>
      <c r="C530" s="113"/>
      <c r="D530" s="113"/>
      <c r="E530" s="113"/>
      <c r="F530" s="419"/>
      <c r="G530" s="419"/>
      <c r="H530" s="420">
        <f t="shared" si="2"/>
        <v>0</v>
      </c>
      <c r="I530" s="420" t="str">
        <f t="shared" si="3"/>
        <v/>
      </c>
      <c r="J530" s="113"/>
      <c r="K530" s="114"/>
      <c r="L530" s="15"/>
      <c r="M530" s="13"/>
      <c r="N530" s="15"/>
      <c r="O530" s="15"/>
      <c r="P530" s="15"/>
      <c r="Q530" s="15"/>
      <c r="R530" s="15"/>
    </row>
    <row r="531" ht="15.75" customHeight="1">
      <c r="A531" s="122"/>
      <c r="B531" s="112"/>
      <c r="C531" s="113"/>
      <c r="D531" s="113"/>
      <c r="E531" s="113"/>
      <c r="F531" s="419"/>
      <c r="G531" s="419"/>
      <c r="H531" s="420">
        <f t="shared" si="2"/>
        <v>0</v>
      </c>
      <c r="I531" s="420" t="str">
        <f t="shared" si="3"/>
        <v/>
      </c>
      <c r="J531" s="113"/>
      <c r="K531" s="114"/>
      <c r="L531" s="15"/>
      <c r="M531" s="13"/>
      <c r="N531" s="15"/>
      <c r="O531" s="15"/>
      <c r="P531" s="15"/>
      <c r="Q531" s="15"/>
      <c r="R531" s="15"/>
    </row>
    <row r="532" ht="15.75" customHeight="1">
      <c r="A532" s="122"/>
      <c r="B532" s="112"/>
      <c r="C532" s="113"/>
      <c r="D532" s="113"/>
      <c r="E532" s="113"/>
      <c r="F532" s="419"/>
      <c r="G532" s="419"/>
      <c r="H532" s="420">
        <f t="shared" si="2"/>
        <v>0</v>
      </c>
      <c r="I532" s="420" t="str">
        <f t="shared" si="3"/>
        <v/>
      </c>
      <c r="J532" s="113"/>
      <c r="K532" s="114"/>
      <c r="L532" s="15"/>
      <c r="M532" s="13"/>
      <c r="N532" s="15"/>
      <c r="O532" s="15"/>
      <c r="P532" s="15"/>
      <c r="Q532" s="15"/>
      <c r="R532" s="15"/>
    </row>
    <row r="533" ht="15.75" customHeight="1">
      <c r="A533" s="122"/>
      <c r="B533" s="112"/>
      <c r="C533" s="113"/>
      <c r="D533" s="113"/>
      <c r="E533" s="113"/>
      <c r="F533" s="419"/>
      <c r="G533" s="419"/>
      <c r="H533" s="420">
        <f t="shared" si="2"/>
        <v>0</v>
      </c>
      <c r="I533" s="420" t="str">
        <f t="shared" si="3"/>
        <v/>
      </c>
      <c r="J533" s="113"/>
      <c r="K533" s="114"/>
      <c r="L533" s="15"/>
      <c r="M533" s="13"/>
      <c r="N533" s="15"/>
      <c r="O533" s="15"/>
      <c r="P533" s="15"/>
      <c r="Q533" s="15"/>
      <c r="R533" s="15"/>
    </row>
    <row r="534" ht="15.75" customHeight="1">
      <c r="A534" s="122"/>
      <c r="B534" s="112"/>
      <c r="C534" s="113"/>
      <c r="D534" s="113"/>
      <c r="E534" s="113"/>
      <c r="F534" s="419"/>
      <c r="G534" s="419"/>
      <c r="H534" s="420">
        <f t="shared" si="2"/>
        <v>0</v>
      </c>
      <c r="I534" s="420" t="str">
        <f t="shared" si="3"/>
        <v/>
      </c>
      <c r="J534" s="113"/>
      <c r="K534" s="114"/>
      <c r="L534" s="15"/>
      <c r="M534" s="13"/>
      <c r="N534" s="15"/>
      <c r="O534" s="15"/>
      <c r="P534" s="15"/>
      <c r="Q534" s="15"/>
      <c r="R534" s="15"/>
    </row>
    <row r="535" ht="15.75" customHeight="1">
      <c r="A535" s="122"/>
      <c r="B535" s="112"/>
      <c r="C535" s="113"/>
      <c r="D535" s="113"/>
      <c r="E535" s="113"/>
      <c r="F535" s="419"/>
      <c r="G535" s="419"/>
      <c r="H535" s="420">
        <f t="shared" si="2"/>
        <v>0</v>
      </c>
      <c r="I535" s="420" t="str">
        <f t="shared" si="3"/>
        <v/>
      </c>
      <c r="J535" s="113"/>
      <c r="K535" s="114"/>
      <c r="L535" s="15"/>
      <c r="M535" s="13"/>
      <c r="N535" s="15"/>
      <c r="O535" s="15"/>
      <c r="P535" s="15"/>
      <c r="Q535" s="15"/>
      <c r="R535" s="15"/>
    </row>
    <row r="536" ht="15.75" customHeight="1">
      <c r="A536" s="122"/>
      <c r="B536" s="112"/>
      <c r="C536" s="113"/>
      <c r="D536" s="113"/>
      <c r="E536" s="113"/>
      <c r="F536" s="419"/>
      <c r="G536" s="419"/>
      <c r="H536" s="420">
        <f t="shared" si="2"/>
        <v>0</v>
      </c>
      <c r="I536" s="420" t="str">
        <f t="shared" si="3"/>
        <v/>
      </c>
      <c r="J536" s="113"/>
      <c r="K536" s="114"/>
      <c r="L536" s="15"/>
      <c r="M536" s="13"/>
      <c r="N536" s="15"/>
      <c r="O536" s="15"/>
      <c r="P536" s="15"/>
      <c r="Q536" s="15"/>
      <c r="R536" s="15"/>
    </row>
    <row r="537" ht="15.75" customHeight="1">
      <c r="A537" s="122"/>
      <c r="B537" s="112"/>
      <c r="C537" s="113"/>
      <c r="D537" s="113"/>
      <c r="E537" s="113"/>
      <c r="F537" s="419"/>
      <c r="G537" s="419"/>
      <c r="H537" s="420">
        <f t="shared" si="2"/>
        <v>0</v>
      </c>
      <c r="I537" s="420" t="str">
        <f t="shared" si="3"/>
        <v/>
      </c>
      <c r="J537" s="113"/>
      <c r="K537" s="114"/>
      <c r="L537" s="15"/>
      <c r="M537" s="13"/>
      <c r="N537" s="15"/>
      <c r="O537" s="15"/>
      <c r="P537" s="15"/>
      <c r="Q537" s="15"/>
      <c r="R537" s="15"/>
    </row>
    <row r="538" ht="15.75" customHeight="1">
      <c r="A538" s="122"/>
      <c r="B538" s="112"/>
      <c r="C538" s="113"/>
      <c r="D538" s="113"/>
      <c r="E538" s="113"/>
      <c r="F538" s="419"/>
      <c r="G538" s="419"/>
      <c r="H538" s="420">
        <f t="shared" si="2"/>
        <v>0</v>
      </c>
      <c r="I538" s="420" t="str">
        <f t="shared" si="3"/>
        <v/>
      </c>
      <c r="J538" s="113"/>
      <c r="K538" s="114"/>
      <c r="L538" s="15"/>
      <c r="M538" s="13"/>
      <c r="N538" s="15"/>
      <c r="O538" s="15"/>
      <c r="P538" s="15"/>
      <c r="Q538" s="15"/>
      <c r="R538" s="15"/>
    </row>
    <row r="539" ht="15.75" customHeight="1">
      <c r="A539" s="122"/>
      <c r="B539" s="112"/>
      <c r="C539" s="113"/>
      <c r="D539" s="113"/>
      <c r="E539" s="113"/>
      <c r="F539" s="419"/>
      <c r="G539" s="419"/>
      <c r="H539" s="420">
        <f t="shared" si="2"/>
        <v>0</v>
      </c>
      <c r="I539" s="420" t="str">
        <f t="shared" si="3"/>
        <v/>
      </c>
      <c r="J539" s="113"/>
      <c r="K539" s="114"/>
      <c r="L539" s="15"/>
      <c r="M539" s="13"/>
      <c r="N539" s="15"/>
      <c r="O539" s="15"/>
      <c r="P539" s="15"/>
      <c r="Q539" s="15"/>
      <c r="R539" s="15"/>
    </row>
    <row r="540" ht="15.75" customHeight="1">
      <c r="A540" s="122"/>
      <c r="B540" s="112"/>
      <c r="C540" s="113"/>
      <c r="D540" s="113"/>
      <c r="E540" s="113"/>
      <c r="F540" s="419"/>
      <c r="G540" s="419"/>
      <c r="H540" s="420">
        <f t="shared" si="2"/>
        <v>0</v>
      </c>
      <c r="I540" s="420" t="str">
        <f t="shared" si="3"/>
        <v/>
      </c>
      <c r="J540" s="113"/>
      <c r="K540" s="114"/>
      <c r="L540" s="15"/>
      <c r="M540" s="13"/>
      <c r="N540" s="15"/>
      <c r="O540" s="15"/>
      <c r="P540" s="15"/>
      <c r="Q540" s="15"/>
      <c r="R540" s="15"/>
    </row>
    <row r="541" ht="15.75" customHeight="1">
      <c r="A541" s="122"/>
      <c r="B541" s="112"/>
      <c r="C541" s="113"/>
      <c r="D541" s="113"/>
      <c r="E541" s="113"/>
      <c r="F541" s="419"/>
      <c r="G541" s="419"/>
      <c r="H541" s="420">
        <f t="shared" si="2"/>
        <v>0</v>
      </c>
      <c r="I541" s="420" t="str">
        <f t="shared" si="3"/>
        <v/>
      </c>
      <c r="J541" s="113"/>
      <c r="K541" s="114"/>
      <c r="L541" s="15"/>
      <c r="M541" s="13"/>
      <c r="N541" s="15"/>
      <c r="O541" s="15"/>
      <c r="P541" s="15"/>
      <c r="Q541" s="15"/>
      <c r="R541" s="15"/>
    </row>
    <row r="542" ht="15.75" customHeight="1">
      <c r="A542" s="122"/>
      <c r="B542" s="112"/>
      <c r="C542" s="113"/>
      <c r="D542" s="113"/>
      <c r="E542" s="113"/>
      <c r="F542" s="419"/>
      <c r="G542" s="419"/>
      <c r="H542" s="420">
        <f t="shared" si="2"/>
        <v>0</v>
      </c>
      <c r="I542" s="420" t="str">
        <f t="shared" si="3"/>
        <v/>
      </c>
      <c r="J542" s="113"/>
      <c r="K542" s="114"/>
      <c r="L542" s="15"/>
      <c r="M542" s="13"/>
      <c r="N542" s="15"/>
      <c r="O542" s="15"/>
      <c r="P542" s="15"/>
      <c r="Q542" s="15"/>
      <c r="R542" s="15"/>
    </row>
    <row r="543" ht="15.75" customHeight="1">
      <c r="A543" s="122"/>
      <c r="B543" s="112"/>
      <c r="C543" s="113"/>
      <c r="D543" s="113"/>
      <c r="E543" s="113"/>
      <c r="F543" s="419"/>
      <c r="G543" s="419"/>
      <c r="H543" s="420">
        <f t="shared" si="2"/>
        <v>0</v>
      </c>
      <c r="I543" s="420" t="str">
        <f t="shared" si="3"/>
        <v/>
      </c>
      <c r="J543" s="113"/>
      <c r="K543" s="114"/>
      <c r="L543" s="15"/>
      <c r="M543" s="13"/>
      <c r="N543" s="15"/>
      <c r="O543" s="15"/>
      <c r="P543" s="15"/>
      <c r="Q543" s="15"/>
      <c r="R543" s="15"/>
    </row>
    <row r="544" ht="15.75" customHeight="1">
      <c r="A544" s="122"/>
      <c r="B544" s="112"/>
      <c r="C544" s="113"/>
      <c r="D544" s="113"/>
      <c r="E544" s="113"/>
      <c r="F544" s="419"/>
      <c r="G544" s="419"/>
      <c r="H544" s="420">
        <f t="shared" si="2"/>
        <v>0</v>
      </c>
      <c r="I544" s="420" t="str">
        <f t="shared" si="3"/>
        <v/>
      </c>
      <c r="J544" s="113"/>
      <c r="K544" s="114"/>
      <c r="L544" s="15"/>
      <c r="M544" s="13"/>
      <c r="N544" s="15"/>
      <c r="O544" s="15"/>
      <c r="P544" s="15"/>
      <c r="Q544" s="15"/>
      <c r="R544" s="15"/>
    </row>
    <row r="545" ht="15.75" customHeight="1">
      <c r="A545" s="122"/>
      <c r="B545" s="112"/>
      <c r="C545" s="113"/>
      <c r="D545" s="113"/>
      <c r="E545" s="113"/>
      <c r="F545" s="419"/>
      <c r="G545" s="419"/>
      <c r="H545" s="420">
        <f t="shared" si="2"/>
        <v>0</v>
      </c>
      <c r="I545" s="420" t="str">
        <f t="shared" si="3"/>
        <v/>
      </c>
      <c r="J545" s="113"/>
      <c r="K545" s="114"/>
      <c r="L545" s="15"/>
      <c r="M545" s="13"/>
      <c r="N545" s="15"/>
      <c r="O545" s="15"/>
      <c r="P545" s="15"/>
      <c r="Q545" s="15"/>
      <c r="R545" s="15"/>
    </row>
    <row r="546" ht="15.75" customHeight="1">
      <c r="A546" s="122"/>
      <c r="B546" s="112"/>
      <c r="C546" s="113"/>
      <c r="D546" s="113"/>
      <c r="E546" s="113"/>
      <c r="F546" s="419"/>
      <c r="G546" s="419"/>
      <c r="H546" s="420">
        <f t="shared" si="2"/>
        <v>0</v>
      </c>
      <c r="I546" s="420" t="str">
        <f t="shared" si="3"/>
        <v/>
      </c>
      <c r="J546" s="113"/>
      <c r="K546" s="114"/>
      <c r="L546" s="15"/>
      <c r="M546" s="13"/>
      <c r="N546" s="15"/>
      <c r="O546" s="15"/>
      <c r="P546" s="15"/>
      <c r="Q546" s="15"/>
      <c r="R546" s="15"/>
    </row>
    <row r="547" ht="15.75" customHeight="1">
      <c r="A547" s="122"/>
      <c r="B547" s="112"/>
      <c r="C547" s="113"/>
      <c r="D547" s="113"/>
      <c r="E547" s="113"/>
      <c r="F547" s="419"/>
      <c r="G547" s="419"/>
      <c r="H547" s="420">
        <f t="shared" si="2"/>
        <v>0</v>
      </c>
      <c r="I547" s="420" t="str">
        <f t="shared" si="3"/>
        <v/>
      </c>
      <c r="J547" s="113"/>
      <c r="K547" s="114"/>
      <c r="L547" s="15"/>
      <c r="M547" s="13"/>
      <c r="N547" s="15"/>
      <c r="O547" s="15"/>
      <c r="P547" s="15"/>
      <c r="Q547" s="15"/>
      <c r="R547" s="15"/>
    </row>
    <row r="548" ht="15.75" customHeight="1">
      <c r="A548" s="122"/>
      <c r="B548" s="112"/>
      <c r="C548" s="113"/>
      <c r="D548" s="113"/>
      <c r="E548" s="113"/>
      <c r="F548" s="419"/>
      <c r="G548" s="419"/>
      <c r="H548" s="420">
        <f t="shared" si="2"/>
        <v>0</v>
      </c>
      <c r="I548" s="420" t="str">
        <f t="shared" si="3"/>
        <v/>
      </c>
      <c r="J548" s="113"/>
      <c r="K548" s="114"/>
      <c r="L548" s="15"/>
      <c r="M548" s="13"/>
      <c r="N548" s="15"/>
      <c r="O548" s="15"/>
      <c r="P548" s="15"/>
      <c r="Q548" s="15"/>
      <c r="R548" s="15"/>
    </row>
    <row r="549" ht="15.75" customHeight="1">
      <c r="A549" s="122"/>
      <c r="B549" s="112"/>
      <c r="C549" s="113"/>
      <c r="D549" s="113"/>
      <c r="E549" s="113"/>
      <c r="F549" s="419"/>
      <c r="G549" s="419"/>
      <c r="H549" s="420">
        <f t="shared" si="2"/>
        <v>0</v>
      </c>
      <c r="I549" s="420" t="str">
        <f t="shared" si="3"/>
        <v/>
      </c>
      <c r="J549" s="113"/>
      <c r="K549" s="114"/>
      <c r="L549" s="15"/>
      <c r="M549" s="13"/>
      <c r="N549" s="15"/>
      <c r="O549" s="15"/>
      <c r="P549" s="15"/>
      <c r="Q549" s="15"/>
      <c r="R549" s="15"/>
    </row>
    <row r="550" ht="15.75" customHeight="1">
      <c r="A550" s="122"/>
      <c r="B550" s="112"/>
      <c r="C550" s="113"/>
      <c r="D550" s="113"/>
      <c r="E550" s="113"/>
      <c r="F550" s="419"/>
      <c r="G550" s="419"/>
      <c r="H550" s="420">
        <f t="shared" si="2"/>
        <v>0</v>
      </c>
      <c r="I550" s="420" t="str">
        <f t="shared" si="3"/>
        <v/>
      </c>
      <c r="J550" s="113"/>
      <c r="K550" s="114"/>
      <c r="L550" s="15"/>
      <c r="M550" s="13"/>
      <c r="N550" s="15"/>
      <c r="O550" s="15"/>
      <c r="P550" s="15"/>
      <c r="Q550" s="15"/>
      <c r="R550" s="15"/>
    </row>
    <row r="551" ht="15.75" customHeight="1">
      <c r="A551" s="122"/>
      <c r="B551" s="112"/>
      <c r="C551" s="113"/>
      <c r="D551" s="113"/>
      <c r="E551" s="113"/>
      <c r="F551" s="419"/>
      <c r="G551" s="419"/>
      <c r="H551" s="420">
        <f t="shared" si="2"/>
        <v>0</v>
      </c>
      <c r="I551" s="420" t="str">
        <f t="shared" si="3"/>
        <v/>
      </c>
      <c r="J551" s="113"/>
      <c r="K551" s="114"/>
      <c r="L551" s="15"/>
      <c r="M551" s="13"/>
      <c r="N551" s="15"/>
      <c r="O551" s="15"/>
      <c r="P551" s="15"/>
      <c r="Q551" s="15"/>
      <c r="R551" s="15"/>
    </row>
    <row r="552" ht="15.75" customHeight="1">
      <c r="A552" s="122"/>
      <c r="B552" s="112"/>
      <c r="C552" s="113"/>
      <c r="D552" s="113"/>
      <c r="E552" s="113"/>
      <c r="F552" s="419"/>
      <c r="G552" s="419"/>
      <c r="H552" s="420">
        <f t="shared" si="2"/>
        <v>0</v>
      </c>
      <c r="I552" s="420" t="str">
        <f t="shared" si="3"/>
        <v/>
      </c>
      <c r="J552" s="113"/>
      <c r="K552" s="114"/>
      <c r="L552" s="15"/>
      <c r="M552" s="13"/>
      <c r="N552" s="15"/>
      <c r="O552" s="15"/>
      <c r="P552" s="15"/>
      <c r="Q552" s="15"/>
      <c r="R552" s="15"/>
    </row>
    <row r="553" ht="15.75" customHeight="1">
      <c r="A553" s="122"/>
      <c r="B553" s="112"/>
      <c r="C553" s="113"/>
      <c r="D553" s="113"/>
      <c r="E553" s="113"/>
      <c r="F553" s="419"/>
      <c r="G553" s="419"/>
      <c r="H553" s="420">
        <f t="shared" si="2"/>
        <v>0</v>
      </c>
      <c r="I553" s="420" t="str">
        <f t="shared" si="3"/>
        <v/>
      </c>
      <c r="J553" s="113"/>
      <c r="K553" s="114"/>
      <c r="L553" s="15"/>
      <c r="M553" s="13"/>
      <c r="N553" s="15"/>
      <c r="O553" s="15"/>
      <c r="P553" s="15"/>
      <c r="Q553" s="15"/>
      <c r="R553" s="15"/>
    </row>
    <row r="554" ht="15.75" customHeight="1">
      <c r="A554" s="122"/>
      <c r="B554" s="112"/>
      <c r="C554" s="113"/>
      <c r="D554" s="113"/>
      <c r="E554" s="113"/>
      <c r="F554" s="419"/>
      <c r="G554" s="419"/>
      <c r="H554" s="420">
        <f t="shared" si="2"/>
        <v>0</v>
      </c>
      <c r="I554" s="420" t="str">
        <f t="shared" si="3"/>
        <v/>
      </c>
      <c r="J554" s="113"/>
      <c r="K554" s="114"/>
      <c r="L554" s="15"/>
      <c r="M554" s="13"/>
      <c r="N554" s="15"/>
      <c r="O554" s="15"/>
      <c r="P554" s="15"/>
      <c r="Q554" s="15"/>
      <c r="R554" s="15"/>
    </row>
    <row r="555" ht="15.75" customHeight="1">
      <c r="A555" s="122"/>
      <c r="B555" s="112"/>
      <c r="C555" s="113"/>
      <c r="D555" s="113"/>
      <c r="E555" s="113"/>
      <c r="F555" s="419"/>
      <c r="G555" s="419"/>
      <c r="H555" s="420">
        <f t="shared" si="2"/>
        <v>0</v>
      </c>
      <c r="I555" s="420" t="str">
        <f t="shared" si="3"/>
        <v/>
      </c>
      <c r="J555" s="113"/>
      <c r="K555" s="114"/>
      <c r="L555" s="15"/>
      <c r="M555" s="13"/>
      <c r="N555" s="15"/>
      <c r="O555" s="15"/>
      <c r="P555" s="15"/>
      <c r="Q555" s="15"/>
      <c r="R555" s="15"/>
    </row>
    <row r="556" ht="15.75" customHeight="1">
      <c r="A556" s="122"/>
      <c r="B556" s="112"/>
      <c r="C556" s="113"/>
      <c r="D556" s="113"/>
      <c r="E556" s="113"/>
      <c r="F556" s="419"/>
      <c r="G556" s="419"/>
      <c r="H556" s="420">
        <f t="shared" si="2"/>
        <v>0</v>
      </c>
      <c r="I556" s="420" t="str">
        <f t="shared" si="3"/>
        <v/>
      </c>
      <c r="J556" s="113"/>
      <c r="K556" s="114"/>
      <c r="L556" s="15"/>
      <c r="M556" s="13"/>
      <c r="N556" s="15"/>
      <c r="O556" s="15"/>
      <c r="P556" s="15"/>
      <c r="Q556" s="15"/>
      <c r="R556" s="15"/>
    </row>
    <row r="557" ht="15.75" customHeight="1">
      <c r="A557" s="122"/>
      <c r="B557" s="112"/>
      <c r="C557" s="113"/>
      <c r="D557" s="113"/>
      <c r="E557" s="113"/>
      <c r="F557" s="419"/>
      <c r="G557" s="419"/>
      <c r="H557" s="420">
        <f t="shared" si="2"/>
        <v>0</v>
      </c>
      <c r="I557" s="420" t="str">
        <f t="shared" si="3"/>
        <v/>
      </c>
      <c r="J557" s="113"/>
      <c r="K557" s="114"/>
      <c r="L557" s="15"/>
      <c r="M557" s="13"/>
      <c r="N557" s="15"/>
      <c r="O557" s="15"/>
      <c r="P557" s="15"/>
      <c r="Q557" s="15"/>
      <c r="R557" s="15"/>
    </row>
    <row r="558" ht="15.75" customHeight="1">
      <c r="A558" s="122"/>
      <c r="B558" s="112"/>
      <c r="C558" s="113"/>
      <c r="D558" s="113"/>
      <c r="E558" s="113"/>
      <c r="F558" s="419"/>
      <c r="G558" s="419"/>
      <c r="H558" s="420">
        <f t="shared" si="2"/>
        <v>0</v>
      </c>
      <c r="I558" s="420" t="str">
        <f t="shared" si="3"/>
        <v/>
      </c>
      <c r="J558" s="113"/>
      <c r="K558" s="114"/>
      <c r="L558" s="15"/>
      <c r="M558" s="13"/>
      <c r="N558" s="15"/>
      <c r="O558" s="15"/>
      <c r="P558" s="15"/>
      <c r="Q558" s="15"/>
      <c r="R558" s="15"/>
    </row>
    <row r="559" ht="15.75" customHeight="1">
      <c r="A559" s="122"/>
      <c r="B559" s="112"/>
      <c r="C559" s="113"/>
      <c r="D559" s="113"/>
      <c r="E559" s="113"/>
      <c r="F559" s="419"/>
      <c r="G559" s="419"/>
      <c r="H559" s="420">
        <f t="shared" si="2"/>
        <v>0</v>
      </c>
      <c r="I559" s="420" t="str">
        <f t="shared" si="3"/>
        <v/>
      </c>
      <c r="J559" s="113"/>
      <c r="K559" s="114"/>
      <c r="L559" s="15"/>
      <c r="M559" s="13"/>
      <c r="N559" s="15"/>
      <c r="O559" s="15"/>
      <c r="P559" s="15"/>
      <c r="Q559" s="15"/>
      <c r="R559" s="15"/>
    </row>
    <row r="560" ht="15.75" customHeight="1">
      <c r="A560" s="122"/>
      <c r="B560" s="112"/>
      <c r="C560" s="113"/>
      <c r="D560" s="113"/>
      <c r="E560" s="113"/>
      <c r="F560" s="419"/>
      <c r="G560" s="419"/>
      <c r="H560" s="420">
        <f t="shared" si="2"/>
        <v>0</v>
      </c>
      <c r="I560" s="420" t="str">
        <f t="shared" si="3"/>
        <v/>
      </c>
      <c r="J560" s="113"/>
      <c r="K560" s="114"/>
      <c r="L560" s="15"/>
      <c r="M560" s="13"/>
      <c r="N560" s="15"/>
      <c r="O560" s="15"/>
      <c r="P560" s="15"/>
      <c r="Q560" s="15"/>
      <c r="R560" s="15"/>
    </row>
    <row r="561" ht="15.75" customHeight="1">
      <c r="A561" s="122"/>
      <c r="B561" s="112"/>
      <c r="C561" s="113"/>
      <c r="D561" s="113"/>
      <c r="E561" s="113"/>
      <c r="F561" s="419"/>
      <c r="G561" s="419"/>
      <c r="H561" s="420">
        <f t="shared" si="2"/>
        <v>0</v>
      </c>
      <c r="I561" s="420" t="str">
        <f t="shared" si="3"/>
        <v/>
      </c>
      <c r="J561" s="113"/>
      <c r="K561" s="114"/>
      <c r="L561" s="15"/>
      <c r="M561" s="13"/>
      <c r="N561" s="15"/>
      <c r="O561" s="15"/>
      <c r="P561" s="15"/>
      <c r="Q561" s="15"/>
      <c r="R561" s="15"/>
    </row>
    <row r="562" ht="15.75" customHeight="1">
      <c r="A562" s="122"/>
      <c r="B562" s="112"/>
      <c r="C562" s="113"/>
      <c r="D562" s="113"/>
      <c r="E562" s="113"/>
      <c r="F562" s="419"/>
      <c r="G562" s="419"/>
      <c r="H562" s="420">
        <f t="shared" si="2"/>
        <v>0</v>
      </c>
      <c r="I562" s="420" t="str">
        <f t="shared" si="3"/>
        <v/>
      </c>
      <c r="J562" s="113"/>
      <c r="K562" s="114"/>
      <c r="L562" s="15"/>
      <c r="M562" s="13"/>
      <c r="N562" s="15"/>
      <c r="O562" s="15"/>
      <c r="P562" s="15"/>
      <c r="Q562" s="15"/>
      <c r="R562" s="15"/>
    </row>
    <row r="563" ht="15.75" customHeight="1">
      <c r="A563" s="122"/>
      <c r="B563" s="112"/>
      <c r="C563" s="113"/>
      <c r="D563" s="113"/>
      <c r="E563" s="113"/>
      <c r="F563" s="419"/>
      <c r="G563" s="419"/>
      <c r="H563" s="420">
        <f t="shared" si="2"/>
        <v>0</v>
      </c>
      <c r="I563" s="420" t="str">
        <f t="shared" si="3"/>
        <v/>
      </c>
      <c r="J563" s="113"/>
      <c r="K563" s="114"/>
      <c r="L563" s="15"/>
      <c r="M563" s="13"/>
      <c r="N563" s="15"/>
      <c r="O563" s="15"/>
      <c r="P563" s="15"/>
      <c r="Q563" s="15"/>
      <c r="R563" s="15"/>
    </row>
    <row r="564" ht="15.75" customHeight="1">
      <c r="A564" s="122"/>
      <c r="B564" s="112"/>
      <c r="C564" s="113"/>
      <c r="D564" s="113"/>
      <c r="E564" s="113"/>
      <c r="F564" s="419"/>
      <c r="G564" s="419"/>
      <c r="H564" s="420">
        <f t="shared" si="2"/>
        <v>0</v>
      </c>
      <c r="I564" s="420" t="str">
        <f t="shared" si="3"/>
        <v/>
      </c>
      <c r="J564" s="113"/>
      <c r="K564" s="114"/>
      <c r="L564" s="15"/>
      <c r="M564" s="13"/>
      <c r="N564" s="15"/>
      <c r="O564" s="15"/>
      <c r="P564" s="15"/>
      <c r="Q564" s="15"/>
      <c r="R564" s="15"/>
    </row>
    <row r="565" ht="15.75" customHeight="1">
      <c r="A565" s="122"/>
      <c r="B565" s="112"/>
      <c r="C565" s="113"/>
      <c r="D565" s="113"/>
      <c r="E565" s="113"/>
      <c r="F565" s="419"/>
      <c r="G565" s="419"/>
      <c r="H565" s="420">
        <f t="shared" si="2"/>
        <v>0</v>
      </c>
      <c r="I565" s="420" t="str">
        <f t="shared" si="3"/>
        <v/>
      </c>
      <c r="J565" s="113"/>
      <c r="K565" s="114"/>
      <c r="L565" s="15"/>
      <c r="M565" s="13"/>
      <c r="N565" s="15"/>
      <c r="O565" s="15"/>
      <c r="P565" s="15"/>
      <c r="Q565" s="15"/>
      <c r="R565" s="15"/>
    </row>
    <row r="566" ht="15.75" customHeight="1">
      <c r="A566" s="122"/>
      <c r="B566" s="112"/>
      <c r="C566" s="113"/>
      <c r="D566" s="113"/>
      <c r="E566" s="113"/>
      <c r="F566" s="419"/>
      <c r="G566" s="419"/>
      <c r="H566" s="420">
        <f t="shared" si="2"/>
        <v>0</v>
      </c>
      <c r="I566" s="420" t="str">
        <f t="shared" si="3"/>
        <v/>
      </c>
      <c r="J566" s="113"/>
      <c r="K566" s="114"/>
      <c r="L566" s="15"/>
      <c r="M566" s="13"/>
      <c r="N566" s="15"/>
      <c r="O566" s="15"/>
      <c r="P566" s="15"/>
      <c r="Q566" s="15"/>
      <c r="R566" s="15"/>
    </row>
    <row r="567" ht="15.75" customHeight="1">
      <c r="A567" s="122"/>
      <c r="B567" s="112"/>
      <c r="C567" s="113"/>
      <c r="D567" s="113"/>
      <c r="E567" s="113"/>
      <c r="F567" s="419"/>
      <c r="G567" s="419"/>
      <c r="H567" s="420">
        <f t="shared" si="2"/>
        <v>0</v>
      </c>
      <c r="I567" s="420" t="str">
        <f t="shared" si="3"/>
        <v/>
      </c>
      <c r="J567" s="113"/>
      <c r="K567" s="114"/>
      <c r="L567" s="15"/>
      <c r="M567" s="13"/>
      <c r="N567" s="15"/>
      <c r="O567" s="15"/>
      <c r="P567" s="15"/>
      <c r="Q567" s="15"/>
      <c r="R567" s="15"/>
    </row>
    <row r="568" ht="15.75" customHeight="1">
      <c r="A568" s="122"/>
      <c r="B568" s="112"/>
      <c r="C568" s="113"/>
      <c r="D568" s="113"/>
      <c r="E568" s="113"/>
      <c r="F568" s="419"/>
      <c r="G568" s="419"/>
      <c r="H568" s="420">
        <f t="shared" si="2"/>
        <v>0</v>
      </c>
      <c r="I568" s="420" t="str">
        <f t="shared" si="3"/>
        <v/>
      </c>
      <c r="J568" s="113"/>
      <c r="K568" s="114"/>
      <c r="L568" s="15"/>
      <c r="M568" s="13"/>
      <c r="N568" s="15"/>
      <c r="O568" s="15"/>
      <c r="P568" s="15"/>
      <c r="Q568" s="15"/>
      <c r="R568" s="15"/>
    </row>
    <row r="569" ht="15.75" customHeight="1">
      <c r="A569" s="122"/>
      <c r="B569" s="112"/>
      <c r="C569" s="113"/>
      <c r="D569" s="113"/>
      <c r="E569" s="113"/>
      <c r="F569" s="419"/>
      <c r="G569" s="419"/>
      <c r="H569" s="420">
        <f t="shared" si="2"/>
        <v>0</v>
      </c>
      <c r="I569" s="420" t="str">
        <f t="shared" si="3"/>
        <v/>
      </c>
      <c r="J569" s="113"/>
      <c r="K569" s="114"/>
      <c r="L569" s="15"/>
      <c r="M569" s="13"/>
      <c r="N569" s="15"/>
      <c r="O569" s="15"/>
      <c r="P569" s="15"/>
      <c r="Q569" s="15"/>
      <c r="R569" s="15"/>
    </row>
    <row r="570" ht="15.75" customHeight="1">
      <c r="A570" s="122"/>
      <c r="B570" s="112"/>
      <c r="C570" s="113"/>
      <c r="D570" s="113"/>
      <c r="E570" s="113"/>
      <c r="F570" s="419"/>
      <c r="G570" s="419"/>
      <c r="H570" s="420">
        <f t="shared" si="2"/>
        <v>0</v>
      </c>
      <c r="I570" s="420" t="str">
        <f t="shared" si="3"/>
        <v/>
      </c>
      <c r="J570" s="113"/>
      <c r="K570" s="114"/>
      <c r="L570" s="15"/>
      <c r="M570" s="13"/>
      <c r="N570" s="15"/>
      <c r="O570" s="15"/>
      <c r="P570" s="15"/>
      <c r="Q570" s="15"/>
      <c r="R570" s="15"/>
    </row>
    <row r="571" ht="15.75" customHeight="1">
      <c r="A571" s="122"/>
      <c r="B571" s="112"/>
      <c r="C571" s="113"/>
      <c r="D571" s="113"/>
      <c r="E571" s="113"/>
      <c r="F571" s="419"/>
      <c r="G571" s="419"/>
      <c r="H571" s="420">
        <f t="shared" si="2"/>
        <v>0</v>
      </c>
      <c r="I571" s="420" t="str">
        <f t="shared" si="3"/>
        <v/>
      </c>
      <c r="J571" s="113"/>
      <c r="K571" s="114"/>
      <c r="L571" s="15"/>
      <c r="M571" s="13"/>
      <c r="N571" s="15"/>
      <c r="O571" s="15"/>
      <c r="P571" s="15"/>
      <c r="Q571" s="15"/>
      <c r="R571" s="15"/>
    </row>
    <row r="572" ht="15.75" customHeight="1">
      <c r="A572" s="122"/>
      <c r="B572" s="112"/>
      <c r="C572" s="113"/>
      <c r="D572" s="113"/>
      <c r="E572" s="113"/>
      <c r="F572" s="419"/>
      <c r="G572" s="419"/>
      <c r="H572" s="420">
        <f t="shared" si="2"/>
        <v>0</v>
      </c>
      <c r="I572" s="420" t="str">
        <f t="shared" si="3"/>
        <v/>
      </c>
      <c r="J572" s="113"/>
      <c r="K572" s="114"/>
      <c r="L572" s="15"/>
      <c r="M572" s="13"/>
      <c r="N572" s="15"/>
      <c r="O572" s="15"/>
      <c r="P572" s="15"/>
      <c r="Q572" s="15"/>
      <c r="R572" s="15"/>
    </row>
    <row r="573" ht="15.75" customHeight="1">
      <c r="A573" s="122"/>
      <c r="B573" s="112"/>
      <c r="C573" s="113"/>
      <c r="D573" s="113"/>
      <c r="E573" s="113"/>
      <c r="F573" s="419"/>
      <c r="G573" s="419"/>
      <c r="H573" s="420">
        <f t="shared" si="2"/>
        <v>0</v>
      </c>
      <c r="I573" s="420" t="str">
        <f t="shared" si="3"/>
        <v/>
      </c>
      <c r="J573" s="113"/>
      <c r="K573" s="114"/>
      <c r="L573" s="15"/>
      <c r="M573" s="13"/>
      <c r="N573" s="15"/>
      <c r="O573" s="15"/>
      <c r="P573" s="15"/>
      <c r="Q573" s="15"/>
      <c r="R573" s="15"/>
    </row>
    <row r="574" ht="15.75" customHeight="1">
      <c r="A574" s="122"/>
      <c r="B574" s="112"/>
      <c r="C574" s="113"/>
      <c r="D574" s="113"/>
      <c r="E574" s="113"/>
      <c r="F574" s="419"/>
      <c r="G574" s="419"/>
      <c r="H574" s="420">
        <f t="shared" si="2"/>
        <v>0</v>
      </c>
      <c r="I574" s="420" t="str">
        <f t="shared" si="3"/>
        <v/>
      </c>
      <c r="J574" s="113"/>
      <c r="K574" s="114"/>
      <c r="L574" s="15"/>
      <c r="M574" s="13"/>
      <c r="N574" s="15"/>
      <c r="O574" s="15"/>
      <c r="P574" s="15"/>
      <c r="Q574" s="15"/>
      <c r="R574" s="15"/>
    </row>
    <row r="575" ht="15.75" customHeight="1">
      <c r="A575" s="122"/>
      <c r="B575" s="112"/>
      <c r="C575" s="113"/>
      <c r="D575" s="113"/>
      <c r="E575" s="113"/>
      <c r="F575" s="419"/>
      <c r="G575" s="419"/>
      <c r="H575" s="420">
        <f t="shared" si="2"/>
        <v>0</v>
      </c>
      <c r="I575" s="420" t="str">
        <f t="shared" si="3"/>
        <v/>
      </c>
      <c r="J575" s="113"/>
      <c r="K575" s="114"/>
      <c r="L575" s="15"/>
      <c r="M575" s="13"/>
      <c r="N575" s="15"/>
      <c r="O575" s="15"/>
      <c r="P575" s="15"/>
      <c r="Q575" s="15"/>
      <c r="R575" s="15"/>
    </row>
    <row r="576" ht="15.75" customHeight="1">
      <c r="A576" s="122"/>
      <c r="B576" s="112"/>
      <c r="C576" s="113"/>
      <c r="D576" s="113"/>
      <c r="E576" s="113"/>
      <c r="F576" s="419"/>
      <c r="G576" s="419"/>
      <c r="H576" s="420">
        <f t="shared" si="2"/>
        <v>0</v>
      </c>
      <c r="I576" s="420" t="str">
        <f t="shared" si="3"/>
        <v/>
      </c>
      <c r="J576" s="113"/>
      <c r="K576" s="114"/>
      <c r="L576" s="15"/>
      <c r="M576" s="13"/>
      <c r="N576" s="15"/>
      <c r="O576" s="15"/>
      <c r="P576" s="15"/>
      <c r="Q576" s="15"/>
      <c r="R576" s="15"/>
    </row>
    <row r="577" ht="15.75" customHeight="1">
      <c r="A577" s="122"/>
      <c r="B577" s="112"/>
      <c r="C577" s="113"/>
      <c r="D577" s="113"/>
      <c r="E577" s="113"/>
      <c r="F577" s="419"/>
      <c r="G577" s="419"/>
      <c r="H577" s="420">
        <f t="shared" si="2"/>
        <v>0</v>
      </c>
      <c r="I577" s="420" t="str">
        <f t="shared" si="3"/>
        <v/>
      </c>
      <c r="J577" s="113"/>
      <c r="K577" s="114"/>
      <c r="L577" s="15"/>
      <c r="M577" s="13"/>
      <c r="N577" s="15"/>
      <c r="O577" s="15"/>
      <c r="P577" s="15"/>
      <c r="Q577" s="15"/>
      <c r="R577" s="15"/>
    </row>
    <row r="578" ht="15.75" customHeight="1">
      <c r="A578" s="122"/>
      <c r="B578" s="112"/>
      <c r="C578" s="113"/>
      <c r="D578" s="113"/>
      <c r="E578" s="113"/>
      <c r="F578" s="419"/>
      <c r="G578" s="419"/>
      <c r="H578" s="420">
        <f t="shared" si="2"/>
        <v>0</v>
      </c>
      <c r="I578" s="420" t="str">
        <f t="shared" si="3"/>
        <v/>
      </c>
      <c r="J578" s="113"/>
      <c r="K578" s="114"/>
      <c r="L578" s="15"/>
      <c r="M578" s="13"/>
      <c r="N578" s="15"/>
      <c r="O578" s="15"/>
      <c r="P578" s="15"/>
      <c r="Q578" s="15"/>
      <c r="R578" s="15"/>
    </row>
    <row r="579" ht="15.75" customHeight="1">
      <c r="A579" s="122"/>
      <c r="B579" s="112"/>
      <c r="C579" s="113"/>
      <c r="D579" s="113"/>
      <c r="E579" s="113"/>
      <c r="F579" s="419"/>
      <c r="G579" s="419"/>
      <c r="H579" s="420">
        <f t="shared" si="2"/>
        <v>0</v>
      </c>
      <c r="I579" s="420" t="str">
        <f t="shared" si="3"/>
        <v/>
      </c>
      <c r="J579" s="113"/>
      <c r="K579" s="114"/>
      <c r="L579" s="15"/>
      <c r="M579" s="13"/>
      <c r="N579" s="15"/>
      <c r="O579" s="15"/>
      <c r="P579" s="15"/>
      <c r="Q579" s="15"/>
      <c r="R579" s="15"/>
    </row>
    <row r="580" ht="15.75" customHeight="1">
      <c r="A580" s="122"/>
      <c r="B580" s="112"/>
      <c r="C580" s="113"/>
      <c r="D580" s="113"/>
      <c r="E580" s="113"/>
      <c r="F580" s="419"/>
      <c r="G580" s="419"/>
      <c r="H580" s="420">
        <f t="shared" si="2"/>
        <v>0</v>
      </c>
      <c r="I580" s="420" t="str">
        <f t="shared" si="3"/>
        <v/>
      </c>
      <c r="J580" s="113"/>
      <c r="K580" s="114"/>
      <c r="L580" s="15"/>
      <c r="M580" s="13"/>
      <c r="N580" s="15"/>
      <c r="O580" s="15"/>
      <c r="P580" s="15"/>
      <c r="Q580" s="15"/>
      <c r="R580" s="15"/>
    </row>
    <row r="581" ht="15.75" customHeight="1">
      <c r="A581" s="122"/>
      <c r="B581" s="112"/>
      <c r="C581" s="113"/>
      <c r="D581" s="113"/>
      <c r="E581" s="113"/>
      <c r="F581" s="419"/>
      <c r="G581" s="419"/>
      <c r="H581" s="420">
        <f t="shared" si="2"/>
        <v>0</v>
      </c>
      <c r="I581" s="420" t="str">
        <f t="shared" si="3"/>
        <v/>
      </c>
      <c r="J581" s="113"/>
      <c r="K581" s="114"/>
      <c r="L581" s="15"/>
      <c r="M581" s="13"/>
      <c r="N581" s="15"/>
      <c r="O581" s="15"/>
      <c r="P581" s="15"/>
      <c r="Q581" s="15"/>
      <c r="R581" s="15"/>
    </row>
    <row r="582" ht="15.75" customHeight="1">
      <c r="A582" s="122"/>
      <c r="B582" s="112"/>
      <c r="C582" s="113"/>
      <c r="D582" s="113"/>
      <c r="E582" s="113"/>
      <c r="F582" s="419"/>
      <c r="G582" s="419"/>
      <c r="H582" s="420">
        <f t="shared" si="2"/>
        <v>0</v>
      </c>
      <c r="I582" s="420" t="str">
        <f t="shared" si="3"/>
        <v/>
      </c>
      <c r="J582" s="113"/>
      <c r="K582" s="114"/>
      <c r="L582" s="15"/>
      <c r="M582" s="13"/>
      <c r="N582" s="15"/>
      <c r="O582" s="15"/>
      <c r="P582" s="15"/>
      <c r="Q582" s="15"/>
      <c r="R582" s="15"/>
    </row>
    <row r="583" ht="15.75" customHeight="1">
      <c r="A583" s="122"/>
      <c r="B583" s="112"/>
      <c r="C583" s="113"/>
      <c r="D583" s="113"/>
      <c r="E583" s="113"/>
      <c r="F583" s="419"/>
      <c r="G583" s="419"/>
      <c r="H583" s="420">
        <f t="shared" si="2"/>
        <v>0</v>
      </c>
      <c r="I583" s="420" t="str">
        <f t="shared" si="3"/>
        <v/>
      </c>
      <c r="J583" s="113"/>
      <c r="K583" s="114"/>
      <c r="L583" s="15"/>
      <c r="M583" s="13"/>
      <c r="N583" s="15"/>
      <c r="O583" s="15"/>
      <c r="P583" s="15"/>
      <c r="Q583" s="15"/>
      <c r="R583" s="15"/>
    </row>
    <row r="584" ht="15.75" customHeight="1">
      <c r="A584" s="122"/>
      <c r="B584" s="112"/>
      <c r="C584" s="113"/>
      <c r="D584" s="113"/>
      <c r="E584" s="113"/>
      <c r="F584" s="419"/>
      <c r="G584" s="419"/>
      <c r="H584" s="420">
        <f t="shared" si="2"/>
        <v>0</v>
      </c>
      <c r="I584" s="420" t="str">
        <f t="shared" si="3"/>
        <v/>
      </c>
      <c r="J584" s="113"/>
      <c r="K584" s="114"/>
      <c r="L584" s="15"/>
      <c r="M584" s="13"/>
      <c r="N584" s="15"/>
      <c r="O584" s="15"/>
      <c r="P584" s="15"/>
      <c r="Q584" s="15"/>
      <c r="R584" s="15"/>
    </row>
    <row r="585" ht="15.75" customHeight="1">
      <c r="A585" s="122"/>
      <c r="B585" s="112"/>
      <c r="C585" s="113"/>
      <c r="D585" s="113"/>
      <c r="E585" s="113"/>
      <c r="F585" s="419"/>
      <c r="G585" s="419"/>
      <c r="H585" s="420">
        <f t="shared" si="2"/>
        <v>0</v>
      </c>
      <c r="I585" s="420" t="str">
        <f t="shared" si="3"/>
        <v/>
      </c>
      <c r="J585" s="113"/>
      <c r="K585" s="114"/>
      <c r="L585" s="15"/>
      <c r="M585" s="13"/>
      <c r="N585" s="15"/>
      <c r="O585" s="15"/>
      <c r="P585" s="15"/>
      <c r="Q585" s="15"/>
      <c r="R585" s="15"/>
    </row>
    <row r="586" ht="15.75" customHeight="1">
      <c r="A586" s="122"/>
      <c r="B586" s="112"/>
      <c r="C586" s="113"/>
      <c r="D586" s="113"/>
      <c r="E586" s="113"/>
      <c r="F586" s="419"/>
      <c r="G586" s="419"/>
      <c r="H586" s="420">
        <f t="shared" si="2"/>
        <v>0</v>
      </c>
      <c r="I586" s="420" t="str">
        <f t="shared" si="3"/>
        <v/>
      </c>
      <c r="J586" s="113"/>
      <c r="K586" s="114"/>
      <c r="L586" s="15"/>
      <c r="M586" s="13"/>
      <c r="N586" s="15"/>
      <c r="O586" s="15"/>
      <c r="P586" s="15"/>
      <c r="Q586" s="15"/>
      <c r="R586" s="15"/>
    </row>
    <row r="587" ht="15.75" customHeight="1">
      <c r="A587" s="122"/>
      <c r="B587" s="112"/>
      <c r="C587" s="113"/>
      <c r="D587" s="113"/>
      <c r="E587" s="113"/>
      <c r="F587" s="419"/>
      <c r="G587" s="419"/>
      <c r="H587" s="420">
        <f t="shared" si="2"/>
        <v>0</v>
      </c>
      <c r="I587" s="420" t="str">
        <f t="shared" si="3"/>
        <v/>
      </c>
      <c r="J587" s="113"/>
      <c r="K587" s="114"/>
      <c r="L587" s="15"/>
      <c r="M587" s="13"/>
      <c r="N587" s="15"/>
      <c r="O587" s="15"/>
      <c r="P587" s="15"/>
      <c r="Q587" s="15"/>
      <c r="R587" s="15"/>
    </row>
    <row r="588" ht="15.75" customHeight="1">
      <c r="A588" s="122"/>
      <c r="B588" s="112"/>
      <c r="C588" s="113"/>
      <c r="D588" s="113"/>
      <c r="E588" s="113"/>
      <c r="F588" s="419"/>
      <c r="G588" s="419"/>
      <c r="H588" s="420">
        <f t="shared" si="2"/>
        <v>0</v>
      </c>
      <c r="I588" s="420" t="str">
        <f t="shared" si="3"/>
        <v/>
      </c>
      <c r="J588" s="113"/>
      <c r="K588" s="114"/>
      <c r="L588" s="15"/>
      <c r="M588" s="13"/>
      <c r="N588" s="15"/>
      <c r="O588" s="15"/>
      <c r="P588" s="15"/>
      <c r="Q588" s="15"/>
      <c r="R588" s="15"/>
    </row>
    <row r="589" ht="15.75" customHeight="1">
      <c r="A589" s="122"/>
      <c r="B589" s="112"/>
      <c r="C589" s="113"/>
      <c r="D589" s="113"/>
      <c r="E589" s="113"/>
      <c r="F589" s="419"/>
      <c r="G589" s="419"/>
      <c r="H589" s="420">
        <f t="shared" si="2"/>
        <v>0</v>
      </c>
      <c r="I589" s="420" t="str">
        <f t="shared" si="3"/>
        <v/>
      </c>
      <c r="J589" s="113"/>
      <c r="K589" s="114"/>
      <c r="L589" s="15"/>
      <c r="M589" s="13"/>
      <c r="N589" s="15"/>
      <c r="O589" s="15"/>
      <c r="P589" s="15"/>
      <c r="Q589" s="15"/>
      <c r="R589" s="15"/>
    </row>
    <row r="590" ht="15.75" customHeight="1">
      <c r="A590" s="122"/>
      <c r="B590" s="112"/>
      <c r="C590" s="113"/>
      <c r="D590" s="113"/>
      <c r="E590" s="113"/>
      <c r="F590" s="419"/>
      <c r="G590" s="419"/>
      <c r="H590" s="420">
        <f t="shared" si="2"/>
        <v>0</v>
      </c>
      <c r="I590" s="420" t="str">
        <f t="shared" si="3"/>
        <v/>
      </c>
      <c r="J590" s="113"/>
      <c r="K590" s="114"/>
      <c r="L590" s="15"/>
      <c r="M590" s="13"/>
      <c r="N590" s="15"/>
      <c r="O590" s="15"/>
      <c r="P590" s="15"/>
      <c r="Q590" s="15"/>
      <c r="R590" s="15"/>
    </row>
    <row r="591" ht="15.75" customHeight="1">
      <c r="A591" s="122"/>
      <c r="B591" s="112"/>
      <c r="C591" s="113"/>
      <c r="D591" s="113"/>
      <c r="E591" s="113"/>
      <c r="F591" s="419"/>
      <c r="G591" s="419"/>
      <c r="H591" s="420">
        <f t="shared" si="2"/>
        <v>0</v>
      </c>
      <c r="I591" s="420" t="str">
        <f t="shared" si="3"/>
        <v/>
      </c>
      <c r="J591" s="113"/>
      <c r="K591" s="114"/>
      <c r="L591" s="15"/>
      <c r="M591" s="13"/>
      <c r="N591" s="15"/>
      <c r="O591" s="15"/>
      <c r="P591" s="15"/>
      <c r="Q591" s="15"/>
      <c r="R591" s="15"/>
    </row>
    <row r="592" ht="15.75" customHeight="1">
      <c r="A592" s="122"/>
      <c r="B592" s="112"/>
      <c r="C592" s="113"/>
      <c r="D592" s="113"/>
      <c r="E592" s="113"/>
      <c r="F592" s="419"/>
      <c r="G592" s="419"/>
      <c r="H592" s="420">
        <f t="shared" si="2"/>
        <v>0</v>
      </c>
      <c r="I592" s="420" t="str">
        <f t="shared" si="3"/>
        <v/>
      </c>
      <c r="J592" s="113"/>
      <c r="K592" s="114"/>
      <c r="L592" s="15"/>
      <c r="M592" s="13"/>
      <c r="N592" s="15"/>
      <c r="O592" s="15"/>
      <c r="P592" s="15"/>
      <c r="Q592" s="15"/>
      <c r="R592" s="15"/>
    </row>
    <row r="593" ht="15.75" customHeight="1">
      <c r="A593" s="122"/>
      <c r="B593" s="112"/>
      <c r="C593" s="113"/>
      <c r="D593" s="113"/>
      <c r="E593" s="113"/>
      <c r="F593" s="419"/>
      <c r="G593" s="419"/>
      <c r="H593" s="420">
        <f t="shared" si="2"/>
        <v>0</v>
      </c>
      <c r="I593" s="420" t="str">
        <f t="shared" si="3"/>
        <v/>
      </c>
      <c r="J593" s="113"/>
      <c r="K593" s="114"/>
      <c r="L593" s="15"/>
      <c r="M593" s="13"/>
      <c r="N593" s="15"/>
      <c r="O593" s="15"/>
      <c r="P593" s="15"/>
      <c r="Q593" s="15"/>
      <c r="R593" s="15"/>
    </row>
    <row r="594" ht="15.75" customHeight="1">
      <c r="A594" s="122"/>
      <c r="B594" s="112"/>
      <c r="C594" s="113"/>
      <c r="D594" s="113"/>
      <c r="E594" s="113"/>
      <c r="F594" s="419"/>
      <c r="G594" s="419"/>
      <c r="H594" s="420">
        <f t="shared" si="2"/>
        <v>0</v>
      </c>
      <c r="I594" s="420" t="str">
        <f t="shared" si="3"/>
        <v/>
      </c>
      <c r="J594" s="113"/>
      <c r="K594" s="114"/>
      <c r="L594" s="15"/>
      <c r="M594" s="13"/>
      <c r="N594" s="15"/>
      <c r="O594" s="15"/>
      <c r="P594" s="15"/>
      <c r="Q594" s="15"/>
      <c r="R594" s="15"/>
    </row>
    <row r="595" ht="15.75" customHeight="1">
      <c r="A595" s="122"/>
      <c r="B595" s="112"/>
      <c r="C595" s="113"/>
      <c r="D595" s="113"/>
      <c r="E595" s="113"/>
      <c r="F595" s="419"/>
      <c r="G595" s="419"/>
      <c r="H595" s="420">
        <f t="shared" si="2"/>
        <v>0</v>
      </c>
      <c r="I595" s="420" t="str">
        <f t="shared" si="3"/>
        <v/>
      </c>
      <c r="J595" s="113"/>
      <c r="K595" s="114"/>
      <c r="L595" s="15"/>
      <c r="M595" s="13"/>
      <c r="N595" s="15"/>
      <c r="O595" s="15"/>
      <c r="P595" s="15"/>
      <c r="Q595" s="15"/>
      <c r="R595" s="15"/>
    </row>
    <row r="596" ht="15.75" customHeight="1">
      <c r="A596" s="122"/>
      <c r="B596" s="112"/>
      <c r="C596" s="113"/>
      <c r="D596" s="113"/>
      <c r="E596" s="113"/>
      <c r="F596" s="419"/>
      <c r="G596" s="419"/>
      <c r="H596" s="420">
        <f t="shared" si="2"/>
        <v>0</v>
      </c>
      <c r="I596" s="420" t="str">
        <f t="shared" si="3"/>
        <v/>
      </c>
      <c r="J596" s="113"/>
      <c r="K596" s="114"/>
      <c r="L596" s="15"/>
      <c r="M596" s="13"/>
      <c r="N596" s="15"/>
      <c r="O596" s="15"/>
      <c r="P596" s="15"/>
      <c r="Q596" s="15"/>
      <c r="R596" s="15"/>
    </row>
    <row r="597" ht="15.75" customHeight="1">
      <c r="A597" s="122"/>
      <c r="B597" s="112"/>
      <c r="C597" s="113"/>
      <c r="D597" s="113"/>
      <c r="E597" s="113"/>
      <c r="F597" s="419"/>
      <c r="G597" s="419"/>
      <c r="H597" s="420">
        <f t="shared" si="2"/>
        <v>0</v>
      </c>
      <c r="I597" s="420" t="str">
        <f t="shared" si="3"/>
        <v/>
      </c>
      <c r="J597" s="113"/>
      <c r="K597" s="114"/>
      <c r="L597" s="15"/>
      <c r="M597" s="13"/>
      <c r="N597" s="15"/>
      <c r="O597" s="15"/>
      <c r="P597" s="15"/>
      <c r="Q597" s="15"/>
      <c r="R597" s="15"/>
    </row>
    <row r="598" ht="15.75" customHeight="1">
      <c r="A598" s="122"/>
      <c r="B598" s="112"/>
      <c r="C598" s="113"/>
      <c r="D598" s="113"/>
      <c r="E598" s="113"/>
      <c r="F598" s="419"/>
      <c r="G598" s="419"/>
      <c r="H598" s="420">
        <f t="shared" si="2"/>
        <v>0</v>
      </c>
      <c r="I598" s="420" t="str">
        <f t="shared" si="3"/>
        <v/>
      </c>
      <c r="J598" s="113"/>
      <c r="K598" s="114"/>
      <c r="L598" s="15"/>
      <c r="M598" s="13"/>
      <c r="N598" s="15"/>
      <c r="O598" s="15"/>
      <c r="P598" s="15"/>
      <c r="Q598" s="15"/>
      <c r="R598" s="15"/>
    </row>
    <row r="599" ht="15.75" customHeight="1">
      <c r="A599" s="122"/>
      <c r="B599" s="112"/>
      <c r="C599" s="113"/>
      <c r="D599" s="113"/>
      <c r="E599" s="113"/>
      <c r="F599" s="419"/>
      <c r="G599" s="419"/>
      <c r="H599" s="420">
        <f t="shared" si="2"/>
        <v>0</v>
      </c>
      <c r="I599" s="420" t="str">
        <f t="shared" si="3"/>
        <v/>
      </c>
      <c r="J599" s="113"/>
      <c r="K599" s="114"/>
      <c r="L599" s="15"/>
      <c r="M599" s="13"/>
      <c r="N599" s="15"/>
      <c r="O599" s="15"/>
      <c r="P599" s="15"/>
      <c r="Q599" s="15"/>
      <c r="R599" s="15"/>
    </row>
    <row r="600" ht="15.75" customHeight="1">
      <c r="A600" s="122"/>
      <c r="B600" s="112"/>
      <c r="C600" s="113"/>
      <c r="D600" s="113"/>
      <c r="E600" s="113"/>
      <c r="F600" s="419"/>
      <c r="G600" s="419"/>
      <c r="H600" s="420">
        <f t="shared" si="2"/>
        <v>0</v>
      </c>
      <c r="I600" s="420" t="str">
        <f t="shared" si="3"/>
        <v/>
      </c>
      <c r="J600" s="113"/>
      <c r="K600" s="114"/>
      <c r="L600" s="15"/>
      <c r="M600" s="13"/>
      <c r="N600" s="15"/>
      <c r="O600" s="15"/>
      <c r="P600" s="15"/>
      <c r="Q600" s="15"/>
      <c r="R600" s="15"/>
    </row>
    <row r="601" ht="15.75" customHeight="1">
      <c r="A601" s="122"/>
      <c r="B601" s="112"/>
      <c r="C601" s="113"/>
      <c r="D601" s="113"/>
      <c r="E601" s="113"/>
      <c r="F601" s="419"/>
      <c r="G601" s="419"/>
      <c r="H601" s="420">
        <f t="shared" si="2"/>
        <v>0</v>
      </c>
      <c r="I601" s="420" t="str">
        <f t="shared" si="3"/>
        <v/>
      </c>
      <c r="J601" s="113"/>
      <c r="K601" s="114"/>
      <c r="L601" s="15"/>
      <c r="M601" s="13"/>
      <c r="N601" s="15"/>
      <c r="O601" s="15"/>
      <c r="P601" s="15"/>
      <c r="Q601" s="15"/>
      <c r="R601" s="15"/>
    </row>
    <row r="602" ht="15.75" customHeight="1">
      <c r="A602" s="122"/>
      <c r="B602" s="112"/>
      <c r="C602" s="113"/>
      <c r="D602" s="113"/>
      <c r="E602" s="113"/>
      <c r="F602" s="419"/>
      <c r="G602" s="419"/>
      <c r="H602" s="420">
        <f t="shared" si="2"/>
        <v>0</v>
      </c>
      <c r="I602" s="420" t="str">
        <f t="shared" si="3"/>
        <v/>
      </c>
      <c r="J602" s="113"/>
      <c r="K602" s="114"/>
      <c r="L602" s="15"/>
      <c r="M602" s="13"/>
      <c r="N602" s="15"/>
      <c r="O602" s="15"/>
      <c r="P602" s="15"/>
      <c r="Q602" s="15"/>
      <c r="R602" s="15"/>
    </row>
    <row r="603" ht="15.75" customHeight="1">
      <c r="A603" s="122"/>
      <c r="B603" s="112"/>
      <c r="C603" s="113"/>
      <c r="D603" s="113"/>
      <c r="E603" s="113"/>
      <c r="F603" s="419"/>
      <c r="G603" s="419"/>
      <c r="H603" s="420">
        <f t="shared" si="2"/>
        <v>0</v>
      </c>
      <c r="I603" s="420" t="str">
        <f t="shared" si="3"/>
        <v/>
      </c>
      <c r="J603" s="113"/>
      <c r="K603" s="114"/>
      <c r="L603" s="15"/>
      <c r="M603" s="13"/>
      <c r="N603" s="15"/>
      <c r="O603" s="15"/>
      <c r="P603" s="15"/>
      <c r="Q603" s="15"/>
      <c r="R603" s="15"/>
    </row>
    <row r="604" ht="15.75" customHeight="1">
      <c r="A604" s="122"/>
      <c r="B604" s="112"/>
      <c r="C604" s="113"/>
      <c r="D604" s="113"/>
      <c r="E604" s="113"/>
      <c r="F604" s="419"/>
      <c r="G604" s="419"/>
      <c r="H604" s="420">
        <f t="shared" si="2"/>
        <v>0</v>
      </c>
      <c r="I604" s="420" t="str">
        <f t="shared" si="3"/>
        <v/>
      </c>
      <c r="J604" s="113"/>
      <c r="K604" s="114"/>
      <c r="L604" s="15"/>
      <c r="M604" s="13"/>
      <c r="N604" s="15"/>
      <c r="O604" s="15"/>
      <c r="P604" s="15"/>
      <c r="Q604" s="15"/>
      <c r="R604" s="15"/>
    </row>
    <row r="605" ht="15.75" customHeight="1">
      <c r="A605" s="122"/>
      <c r="B605" s="112"/>
      <c r="C605" s="113"/>
      <c r="D605" s="113"/>
      <c r="E605" s="113"/>
      <c r="F605" s="419"/>
      <c r="G605" s="419"/>
      <c r="H605" s="420">
        <f t="shared" si="2"/>
        <v>0</v>
      </c>
      <c r="I605" s="420" t="str">
        <f t="shared" si="3"/>
        <v/>
      </c>
      <c r="J605" s="113"/>
      <c r="K605" s="114"/>
      <c r="L605" s="15"/>
      <c r="M605" s="13"/>
      <c r="N605" s="15"/>
      <c r="O605" s="15"/>
      <c r="P605" s="15"/>
      <c r="Q605" s="15"/>
      <c r="R605" s="15"/>
    </row>
    <row r="606" ht="15.75" customHeight="1">
      <c r="A606" s="122"/>
      <c r="B606" s="112"/>
      <c r="C606" s="113"/>
      <c r="D606" s="113"/>
      <c r="E606" s="113"/>
      <c r="F606" s="419"/>
      <c r="G606" s="419"/>
      <c r="H606" s="420">
        <f t="shared" si="2"/>
        <v>0</v>
      </c>
      <c r="I606" s="420" t="str">
        <f t="shared" si="3"/>
        <v/>
      </c>
      <c r="J606" s="113"/>
      <c r="K606" s="114"/>
      <c r="L606" s="15"/>
      <c r="M606" s="13"/>
      <c r="N606" s="15"/>
      <c r="O606" s="15"/>
      <c r="P606" s="15"/>
      <c r="Q606" s="15"/>
      <c r="R606" s="15"/>
    </row>
    <row r="607" ht="15.75" customHeight="1">
      <c r="A607" s="122"/>
      <c r="B607" s="112"/>
      <c r="C607" s="113"/>
      <c r="D607" s="113"/>
      <c r="E607" s="113"/>
      <c r="F607" s="419"/>
      <c r="G607" s="419"/>
      <c r="H607" s="420">
        <f t="shared" si="2"/>
        <v>0</v>
      </c>
      <c r="I607" s="420" t="str">
        <f t="shared" si="3"/>
        <v/>
      </c>
      <c r="J607" s="113"/>
      <c r="K607" s="114"/>
      <c r="L607" s="15"/>
      <c r="M607" s="13"/>
      <c r="N607" s="15"/>
      <c r="O607" s="15"/>
      <c r="P607" s="15"/>
      <c r="Q607" s="15"/>
      <c r="R607" s="15"/>
    </row>
    <row r="608" ht="15.75" customHeight="1">
      <c r="A608" s="122"/>
      <c r="B608" s="112"/>
      <c r="C608" s="113"/>
      <c r="D608" s="113"/>
      <c r="E608" s="113"/>
      <c r="F608" s="419"/>
      <c r="G608" s="419"/>
      <c r="H608" s="420">
        <f t="shared" si="2"/>
        <v>0</v>
      </c>
      <c r="I608" s="420" t="str">
        <f t="shared" si="3"/>
        <v/>
      </c>
      <c r="J608" s="113"/>
      <c r="K608" s="114"/>
      <c r="L608" s="15"/>
      <c r="M608" s="13"/>
      <c r="N608" s="15"/>
      <c r="O608" s="15"/>
      <c r="P608" s="15"/>
      <c r="Q608" s="15"/>
      <c r="R608" s="15"/>
    </row>
    <row r="609" ht="15.75" customHeight="1">
      <c r="A609" s="122"/>
      <c r="B609" s="112"/>
      <c r="C609" s="113"/>
      <c r="D609" s="113"/>
      <c r="E609" s="113"/>
      <c r="F609" s="419"/>
      <c r="G609" s="419"/>
      <c r="H609" s="420">
        <f t="shared" si="2"/>
        <v>0</v>
      </c>
      <c r="I609" s="420" t="str">
        <f t="shared" si="3"/>
        <v/>
      </c>
      <c r="J609" s="113"/>
      <c r="K609" s="114"/>
      <c r="L609" s="15"/>
      <c r="M609" s="13"/>
      <c r="N609" s="15"/>
      <c r="O609" s="15"/>
      <c r="P609" s="15"/>
      <c r="Q609" s="15"/>
      <c r="R609" s="15"/>
    </row>
    <row r="610" ht="15.75" customHeight="1">
      <c r="A610" s="122"/>
      <c r="B610" s="112"/>
      <c r="C610" s="113"/>
      <c r="D610" s="113"/>
      <c r="E610" s="113"/>
      <c r="F610" s="419"/>
      <c r="G610" s="419"/>
      <c r="H610" s="420">
        <f t="shared" si="2"/>
        <v>0</v>
      </c>
      <c r="I610" s="420" t="str">
        <f t="shared" si="3"/>
        <v/>
      </c>
      <c r="J610" s="113"/>
      <c r="K610" s="114"/>
      <c r="L610" s="15"/>
      <c r="M610" s="13"/>
      <c r="N610" s="15"/>
      <c r="O610" s="15"/>
      <c r="P610" s="15"/>
      <c r="Q610" s="15"/>
      <c r="R610" s="15"/>
    </row>
    <row r="611" ht="15.75" customHeight="1">
      <c r="A611" s="122"/>
      <c r="B611" s="112"/>
      <c r="C611" s="113"/>
      <c r="D611" s="113"/>
      <c r="E611" s="113"/>
      <c r="F611" s="419"/>
      <c r="G611" s="419"/>
      <c r="H611" s="420">
        <f t="shared" si="2"/>
        <v>0</v>
      </c>
      <c r="I611" s="420" t="str">
        <f t="shared" si="3"/>
        <v/>
      </c>
      <c r="J611" s="113"/>
      <c r="K611" s="114"/>
      <c r="L611" s="15"/>
      <c r="M611" s="13"/>
      <c r="N611" s="15"/>
      <c r="O611" s="15"/>
      <c r="P611" s="15"/>
      <c r="Q611" s="15"/>
      <c r="R611" s="15"/>
    </row>
    <row r="612" ht="15.75" customHeight="1">
      <c r="A612" s="122"/>
      <c r="B612" s="112"/>
      <c r="C612" s="113"/>
      <c r="D612" s="113"/>
      <c r="E612" s="113"/>
      <c r="F612" s="419"/>
      <c r="G612" s="419"/>
      <c r="H612" s="420">
        <f t="shared" si="2"/>
        <v>0</v>
      </c>
      <c r="I612" s="420" t="str">
        <f t="shared" si="3"/>
        <v/>
      </c>
      <c r="J612" s="113"/>
      <c r="K612" s="114"/>
      <c r="L612" s="15"/>
      <c r="M612" s="13"/>
      <c r="N612" s="15"/>
      <c r="O612" s="15"/>
      <c r="P612" s="15"/>
      <c r="Q612" s="15"/>
      <c r="R612" s="15"/>
    </row>
    <row r="613" ht="15.75" customHeight="1">
      <c r="A613" s="122"/>
      <c r="B613" s="112"/>
      <c r="C613" s="113"/>
      <c r="D613" s="113"/>
      <c r="E613" s="113"/>
      <c r="F613" s="419"/>
      <c r="G613" s="419"/>
      <c r="H613" s="420">
        <f t="shared" si="2"/>
        <v>0</v>
      </c>
      <c r="I613" s="420" t="str">
        <f t="shared" si="3"/>
        <v/>
      </c>
      <c r="J613" s="113"/>
      <c r="K613" s="114"/>
      <c r="L613" s="15"/>
      <c r="M613" s="13"/>
      <c r="N613" s="15"/>
      <c r="O613" s="15"/>
      <c r="P613" s="15"/>
      <c r="Q613" s="15"/>
      <c r="R613" s="15"/>
    </row>
    <row r="614" ht="15.75" customHeight="1">
      <c r="A614" s="122"/>
      <c r="B614" s="112"/>
      <c r="C614" s="113"/>
      <c r="D614" s="113"/>
      <c r="E614" s="113"/>
      <c r="F614" s="419"/>
      <c r="G614" s="419"/>
      <c r="H614" s="420">
        <f t="shared" si="2"/>
        <v>0</v>
      </c>
      <c r="I614" s="420" t="str">
        <f t="shared" si="3"/>
        <v/>
      </c>
      <c r="J614" s="113"/>
      <c r="K614" s="114"/>
      <c r="L614" s="15"/>
      <c r="M614" s="13"/>
      <c r="N614" s="15"/>
      <c r="O614" s="15"/>
      <c r="P614" s="15"/>
      <c r="Q614" s="15"/>
      <c r="R614" s="15"/>
    </row>
    <row r="615" ht="15.75" customHeight="1">
      <c r="A615" s="122"/>
      <c r="B615" s="112"/>
      <c r="C615" s="113"/>
      <c r="D615" s="113"/>
      <c r="E615" s="113"/>
      <c r="F615" s="419"/>
      <c r="G615" s="419"/>
      <c r="H615" s="420">
        <f t="shared" si="2"/>
        <v>0</v>
      </c>
      <c r="I615" s="420" t="str">
        <f t="shared" si="3"/>
        <v/>
      </c>
      <c r="J615" s="113"/>
      <c r="K615" s="114"/>
      <c r="L615" s="15"/>
      <c r="M615" s="13"/>
      <c r="N615" s="15"/>
      <c r="O615" s="15"/>
      <c r="P615" s="15"/>
      <c r="Q615" s="15"/>
      <c r="R615" s="15"/>
    </row>
    <row r="616" ht="15.75" customHeight="1">
      <c r="A616" s="122"/>
      <c r="B616" s="112"/>
      <c r="C616" s="113"/>
      <c r="D616" s="113"/>
      <c r="E616" s="113"/>
      <c r="F616" s="419"/>
      <c r="G616" s="419"/>
      <c r="H616" s="420">
        <f t="shared" si="2"/>
        <v>0</v>
      </c>
      <c r="I616" s="420" t="str">
        <f t="shared" si="3"/>
        <v/>
      </c>
      <c r="J616" s="113"/>
      <c r="K616" s="114"/>
      <c r="L616" s="15"/>
      <c r="M616" s="13"/>
      <c r="N616" s="15"/>
      <c r="O616" s="15"/>
      <c r="P616" s="15"/>
      <c r="Q616" s="15"/>
      <c r="R616" s="15"/>
    </row>
    <row r="617" ht="15.75" customHeight="1">
      <c r="A617" s="122"/>
      <c r="B617" s="112"/>
      <c r="C617" s="113"/>
      <c r="D617" s="113"/>
      <c r="E617" s="113"/>
      <c r="F617" s="419"/>
      <c r="G617" s="419"/>
      <c r="H617" s="420">
        <f t="shared" si="2"/>
        <v>0</v>
      </c>
      <c r="I617" s="420" t="str">
        <f t="shared" si="3"/>
        <v/>
      </c>
      <c r="J617" s="113"/>
      <c r="K617" s="114"/>
      <c r="L617" s="15"/>
      <c r="M617" s="13"/>
      <c r="N617" s="15"/>
      <c r="O617" s="15"/>
      <c r="P617" s="15"/>
      <c r="Q617" s="15"/>
      <c r="R617" s="15"/>
    </row>
    <row r="618" ht="15.75" customHeight="1">
      <c r="A618" s="122"/>
      <c r="B618" s="112"/>
      <c r="C618" s="113"/>
      <c r="D618" s="113"/>
      <c r="E618" s="113"/>
      <c r="F618" s="419"/>
      <c r="G618" s="419"/>
      <c r="H618" s="420">
        <f t="shared" si="2"/>
        <v>0</v>
      </c>
      <c r="I618" s="420" t="str">
        <f t="shared" si="3"/>
        <v/>
      </c>
      <c r="J618" s="113"/>
      <c r="K618" s="114"/>
      <c r="L618" s="15"/>
      <c r="M618" s="13"/>
      <c r="N618" s="15"/>
      <c r="O618" s="15"/>
      <c r="P618" s="15"/>
      <c r="Q618" s="15"/>
      <c r="R618" s="15"/>
    </row>
    <row r="619" ht="15.75" customHeight="1">
      <c r="A619" s="122"/>
      <c r="B619" s="112"/>
      <c r="C619" s="113"/>
      <c r="D619" s="113"/>
      <c r="E619" s="113"/>
      <c r="F619" s="419"/>
      <c r="G619" s="419"/>
      <c r="H619" s="420">
        <f t="shared" si="2"/>
        <v>0</v>
      </c>
      <c r="I619" s="420" t="str">
        <f t="shared" si="3"/>
        <v/>
      </c>
      <c r="J619" s="113"/>
      <c r="K619" s="114"/>
      <c r="L619" s="15"/>
      <c r="M619" s="13"/>
      <c r="N619" s="15"/>
      <c r="O619" s="15"/>
      <c r="P619" s="15"/>
      <c r="Q619" s="15"/>
      <c r="R619" s="15"/>
    </row>
    <row r="620" ht="15.75" customHeight="1">
      <c r="A620" s="122"/>
      <c r="B620" s="112"/>
      <c r="C620" s="113"/>
      <c r="D620" s="113"/>
      <c r="E620" s="113"/>
      <c r="F620" s="419"/>
      <c r="G620" s="419"/>
      <c r="H620" s="420">
        <f t="shared" si="2"/>
        <v>0</v>
      </c>
      <c r="I620" s="420" t="str">
        <f t="shared" si="3"/>
        <v/>
      </c>
      <c r="J620" s="113"/>
      <c r="K620" s="114"/>
      <c r="L620" s="15"/>
      <c r="M620" s="13"/>
      <c r="N620" s="15"/>
      <c r="O620" s="15"/>
      <c r="P620" s="15"/>
      <c r="Q620" s="15"/>
      <c r="R620" s="15"/>
    </row>
    <row r="621" ht="15.75" customHeight="1">
      <c r="A621" s="122"/>
      <c r="B621" s="112"/>
      <c r="C621" s="113"/>
      <c r="D621" s="113"/>
      <c r="E621" s="113"/>
      <c r="F621" s="419"/>
      <c r="G621" s="419"/>
      <c r="H621" s="420">
        <f t="shared" si="2"/>
        <v>0</v>
      </c>
      <c r="I621" s="420" t="str">
        <f t="shared" si="3"/>
        <v/>
      </c>
      <c r="J621" s="113"/>
      <c r="K621" s="114"/>
      <c r="L621" s="15"/>
      <c r="M621" s="13"/>
      <c r="N621" s="15"/>
      <c r="O621" s="15"/>
      <c r="P621" s="15"/>
      <c r="Q621" s="15"/>
      <c r="R621" s="15"/>
    </row>
    <row r="622" ht="15.75" customHeight="1">
      <c r="A622" s="122"/>
      <c r="B622" s="112"/>
      <c r="C622" s="113"/>
      <c r="D622" s="113"/>
      <c r="E622" s="113"/>
      <c r="F622" s="419"/>
      <c r="G622" s="419"/>
      <c r="H622" s="420">
        <f t="shared" si="2"/>
        <v>0</v>
      </c>
      <c r="I622" s="420" t="str">
        <f t="shared" si="3"/>
        <v/>
      </c>
      <c r="J622" s="113"/>
      <c r="K622" s="114"/>
      <c r="L622" s="15"/>
      <c r="M622" s="13"/>
      <c r="N622" s="15"/>
      <c r="O622" s="15"/>
      <c r="P622" s="15"/>
      <c r="Q622" s="15"/>
      <c r="R622" s="15"/>
    </row>
    <row r="623" ht="15.75" customHeight="1">
      <c r="A623" s="122"/>
      <c r="B623" s="112"/>
      <c r="C623" s="113"/>
      <c r="D623" s="113"/>
      <c r="E623" s="113"/>
      <c r="F623" s="419"/>
      <c r="G623" s="419"/>
      <c r="H623" s="420">
        <f t="shared" si="2"/>
        <v>0</v>
      </c>
      <c r="I623" s="420" t="str">
        <f t="shared" si="3"/>
        <v/>
      </c>
      <c r="J623" s="113"/>
      <c r="K623" s="114"/>
      <c r="L623" s="15"/>
      <c r="M623" s="13"/>
      <c r="N623" s="15"/>
      <c r="O623" s="15"/>
      <c r="P623" s="15"/>
      <c r="Q623" s="15"/>
      <c r="R623" s="15"/>
    </row>
    <row r="624" ht="15.75" customHeight="1">
      <c r="A624" s="122"/>
      <c r="B624" s="112"/>
      <c r="C624" s="113"/>
      <c r="D624" s="113"/>
      <c r="E624" s="113"/>
      <c r="F624" s="419"/>
      <c r="G624" s="419"/>
      <c r="H624" s="420">
        <f t="shared" si="2"/>
        <v>0</v>
      </c>
      <c r="I624" s="420" t="str">
        <f t="shared" si="3"/>
        <v/>
      </c>
      <c r="J624" s="113"/>
      <c r="K624" s="114"/>
      <c r="L624" s="15"/>
      <c r="M624" s="13"/>
      <c r="N624" s="15"/>
      <c r="O624" s="15"/>
      <c r="P624" s="15"/>
      <c r="Q624" s="15"/>
      <c r="R624" s="15"/>
    </row>
    <row r="625" ht="15.75" customHeight="1">
      <c r="A625" s="122"/>
      <c r="B625" s="112"/>
      <c r="C625" s="113"/>
      <c r="D625" s="113"/>
      <c r="E625" s="113"/>
      <c r="F625" s="419"/>
      <c r="G625" s="419"/>
      <c r="H625" s="420">
        <f t="shared" si="2"/>
        <v>0</v>
      </c>
      <c r="I625" s="420" t="str">
        <f t="shared" si="3"/>
        <v/>
      </c>
      <c r="J625" s="113"/>
      <c r="K625" s="114"/>
      <c r="L625" s="15"/>
      <c r="M625" s="13"/>
      <c r="N625" s="15"/>
      <c r="O625" s="15"/>
      <c r="P625" s="15"/>
      <c r="Q625" s="15"/>
      <c r="R625" s="15"/>
    </row>
    <row r="626" ht="15.75" customHeight="1">
      <c r="A626" s="122"/>
      <c r="B626" s="112"/>
      <c r="C626" s="113"/>
      <c r="D626" s="113"/>
      <c r="E626" s="113"/>
      <c r="F626" s="419"/>
      <c r="G626" s="419"/>
      <c r="H626" s="420">
        <f t="shared" si="2"/>
        <v>0</v>
      </c>
      <c r="I626" s="420" t="str">
        <f t="shared" si="3"/>
        <v/>
      </c>
      <c r="J626" s="113"/>
      <c r="K626" s="114"/>
      <c r="L626" s="15"/>
      <c r="M626" s="13"/>
      <c r="N626" s="15"/>
      <c r="O626" s="15"/>
      <c r="P626" s="15"/>
      <c r="Q626" s="15"/>
      <c r="R626" s="15"/>
    </row>
    <row r="627" ht="15.75" customHeight="1">
      <c r="A627" s="122"/>
      <c r="B627" s="112"/>
      <c r="C627" s="113"/>
      <c r="D627" s="113"/>
      <c r="E627" s="113"/>
      <c r="F627" s="419"/>
      <c r="G627" s="419"/>
      <c r="H627" s="420">
        <f t="shared" si="2"/>
        <v>0</v>
      </c>
      <c r="I627" s="420" t="str">
        <f t="shared" si="3"/>
        <v/>
      </c>
      <c r="J627" s="113"/>
      <c r="K627" s="114"/>
      <c r="L627" s="15"/>
      <c r="M627" s="13"/>
      <c r="N627" s="15"/>
      <c r="O627" s="15"/>
      <c r="P627" s="15"/>
      <c r="Q627" s="15"/>
      <c r="R627" s="15"/>
    </row>
    <row r="628" ht="15.75" customHeight="1">
      <c r="A628" s="122"/>
      <c r="B628" s="112"/>
      <c r="C628" s="113"/>
      <c r="D628" s="113"/>
      <c r="E628" s="113"/>
      <c r="F628" s="419"/>
      <c r="G628" s="419"/>
      <c r="H628" s="420">
        <f t="shared" si="2"/>
        <v>0</v>
      </c>
      <c r="I628" s="420" t="str">
        <f t="shared" si="3"/>
        <v/>
      </c>
      <c r="J628" s="113"/>
      <c r="K628" s="114"/>
      <c r="L628" s="15"/>
      <c r="M628" s="13"/>
      <c r="N628" s="15"/>
      <c r="O628" s="15"/>
      <c r="P628" s="15"/>
      <c r="Q628" s="15"/>
      <c r="R628" s="15"/>
    </row>
    <row r="629" ht="15.75" customHeight="1">
      <c r="A629" s="122"/>
      <c r="B629" s="112"/>
      <c r="C629" s="113"/>
      <c r="D629" s="113"/>
      <c r="E629" s="113"/>
      <c r="F629" s="419"/>
      <c r="G629" s="419"/>
      <c r="H629" s="420">
        <f t="shared" si="2"/>
        <v>0</v>
      </c>
      <c r="I629" s="420" t="str">
        <f t="shared" si="3"/>
        <v/>
      </c>
      <c r="J629" s="113"/>
      <c r="K629" s="114"/>
      <c r="L629" s="15"/>
      <c r="M629" s="13"/>
      <c r="N629" s="15"/>
      <c r="O629" s="15"/>
      <c r="P629" s="15"/>
      <c r="Q629" s="15"/>
      <c r="R629" s="15"/>
    </row>
    <row r="630" ht="15.75" customHeight="1">
      <c r="A630" s="122"/>
      <c r="B630" s="112"/>
      <c r="C630" s="113"/>
      <c r="D630" s="113"/>
      <c r="E630" s="113"/>
      <c r="F630" s="419"/>
      <c r="G630" s="419"/>
      <c r="H630" s="420">
        <f t="shared" si="2"/>
        <v>0</v>
      </c>
      <c r="I630" s="420" t="str">
        <f t="shared" si="3"/>
        <v/>
      </c>
      <c r="J630" s="113"/>
      <c r="K630" s="114"/>
      <c r="L630" s="15"/>
      <c r="M630" s="13"/>
      <c r="N630" s="15"/>
      <c r="O630" s="15"/>
      <c r="P630" s="15"/>
      <c r="Q630" s="15"/>
      <c r="R630" s="15"/>
    </row>
    <row r="631" ht="15.75" customHeight="1">
      <c r="A631" s="122"/>
      <c r="B631" s="112"/>
      <c r="C631" s="113"/>
      <c r="D631" s="113"/>
      <c r="E631" s="113"/>
      <c r="F631" s="419"/>
      <c r="G631" s="419"/>
      <c r="H631" s="420">
        <f t="shared" si="2"/>
        <v>0</v>
      </c>
      <c r="I631" s="420" t="str">
        <f t="shared" si="3"/>
        <v/>
      </c>
      <c r="J631" s="113"/>
      <c r="K631" s="114"/>
      <c r="L631" s="15"/>
      <c r="M631" s="13"/>
      <c r="N631" s="15"/>
      <c r="O631" s="15"/>
      <c r="P631" s="15"/>
      <c r="Q631" s="15"/>
      <c r="R631" s="15"/>
    </row>
    <row r="632" ht="15.75" customHeight="1">
      <c r="A632" s="122"/>
      <c r="B632" s="112"/>
      <c r="C632" s="113"/>
      <c r="D632" s="113"/>
      <c r="E632" s="113"/>
      <c r="F632" s="419"/>
      <c r="G632" s="419"/>
      <c r="H632" s="420">
        <f t="shared" si="2"/>
        <v>0</v>
      </c>
      <c r="I632" s="420" t="str">
        <f t="shared" si="3"/>
        <v/>
      </c>
      <c r="J632" s="113"/>
      <c r="K632" s="114"/>
      <c r="L632" s="15"/>
      <c r="M632" s="13"/>
      <c r="N632" s="15"/>
      <c r="O632" s="15"/>
      <c r="P632" s="15"/>
      <c r="Q632" s="15"/>
      <c r="R632" s="15"/>
    </row>
    <row r="633" ht="15.75" customHeight="1">
      <c r="A633" s="122"/>
      <c r="B633" s="112"/>
      <c r="C633" s="113"/>
      <c r="D633" s="113"/>
      <c r="E633" s="113"/>
      <c r="F633" s="419"/>
      <c r="G633" s="419"/>
      <c r="H633" s="420">
        <f t="shared" si="2"/>
        <v>0</v>
      </c>
      <c r="I633" s="420" t="str">
        <f t="shared" si="3"/>
        <v/>
      </c>
      <c r="J633" s="113"/>
      <c r="K633" s="114"/>
      <c r="L633" s="15"/>
      <c r="M633" s="13"/>
      <c r="N633" s="15"/>
      <c r="O633" s="15"/>
      <c r="P633" s="15"/>
      <c r="Q633" s="15"/>
      <c r="R633" s="15"/>
    </row>
    <row r="634" ht="15.75" customHeight="1">
      <c r="A634" s="122"/>
      <c r="B634" s="112"/>
      <c r="C634" s="113"/>
      <c r="D634" s="113"/>
      <c r="E634" s="113"/>
      <c r="F634" s="419"/>
      <c r="G634" s="419"/>
      <c r="H634" s="420">
        <f t="shared" si="2"/>
        <v>0</v>
      </c>
      <c r="I634" s="420" t="str">
        <f t="shared" si="3"/>
        <v/>
      </c>
      <c r="J634" s="113"/>
      <c r="K634" s="114"/>
      <c r="L634" s="15"/>
      <c r="M634" s="13"/>
      <c r="N634" s="15"/>
      <c r="O634" s="15"/>
      <c r="P634" s="15"/>
      <c r="Q634" s="15"/>
      <c r="R634" s="15"/>
    </row>
    <row r="635" ht="15.75" customHeight="1">
      <c r="A635" s="122"/>
      <c r="B635" s="112"/>
      <c r="C635" s="113"/>
      <c r="D635" s="113"/>
      <c r="E635" s="113"/>
      <c r="F635" s="419"/>
      <c r="G635" s="419"/>
      <c r="H635" s="420">
        <f t="shared" si="2"/>
        <v>0</v>
      </c>
      <c r="I635" s="420" t="str">
        <f t="shared" si="3"/>
        <v/>
      </c>
      <c r="J635" s="113"/>
      <c r="K635" s="114"/>
      <c r="L635" s="15"/>
      <c r="M635" s="13"/>
      <c r="N635" s="15"/>
      <c r="O635" s="15"/>
      <c r="P635" s="15"/>
      <c r="Q635" s="15"/>
      <c r="R635" s="15"/>
    </row>
    <row r="636" ht="15.75" customHeight="1">
      <c r="A636" s="122"/>
      <c r="B636" s="112"/>
      <c r="C636" s="113"/>
      <c r="D636" s="113"/>
      <c r="E636" s="113"/>
      <c r="F636" s="419"/>
      <c r="G636" s="419"/>
      <c r="H636" s="420">
        <f t="shared" si="2"/>
        <v>0</v>
      </c>
      <c r="I636" s="420" t="str">
        <f t="shared" si="3"/>
        <v/>
      </c>
      <c r="J636" s="113"/>
      <c r="K636" s="114"/>
      <c r="L636" s="15"/>
      <c r="M636" s="13"/>
      <c r="N636" s="15"/>
      <c r="O636" s="15"/>
      <c r="P636" s="15"/>
      <c r="Q636" s="15"/>
      <c r="R636" s="15"/>
    </row>
    <row r="637" ht="15.75" customHeight="1">
      <c r="A637" s="122"/>
      <c r="B637" s="112"/>
      <c r="C637" s="113"/>
      <c r="D637" s="113"/>
      <c r="E637" s="113"/>
      <c r="F637" s="419"/>
      <c r="G637" s="419"/>
      <c r="H637" s="420">
        <f t="shared" si="2"/>
        <v>0</v>
      </c>
      <c r="I637" s="420" t="str">
        <f t="shared" si="3"/>
        <v/>
      </c>
      <c r="J637" s="113"/>
      <c r="K637" s="114"/>
      <c r="L637" s="15"/>
      <c r="M637" s="13"/>
      <c r="N637" s="15"/>
      <c r="O637" s="15"/>
      <c r="P637" s="15"/>
      <c r="Q637" s="15"/>
      <c r="R637" s="15"/>
    </row>
    <row r="638" ht="15.75" customHeight="1">
      <c r="A638" s="122"/>
      <c r="B638" s="112"/>
      <c r="C638" s="113"/>
      <c r="D638" s="113"/>
      <c r="E638" s="113"/>
      <c r="F638" s="419"/>
      <c r="G638" s="419"/>
      <c r="H638" s="420">
        <f t="shared" si="2"/>
        <v>0</v>
      </c>
      <c r="I638" s="420" t="str">
        <f t="shared" si="3"/>
        <v/>
      </c>
      <c r="J638" s="113"/>
      <c r="K638" s="114"/>
      <c r="L638" s="15"/>
      <c r="M638" s="13"/>
      <c r="N638" s="15"/>
      <c r="O638" s="15"/>
      <c r="P638" s="15"/>
      <c r="Q638" s="15"/>
      <c r="R638" s="15"/>
    </row>
    <row r="639" ht="15.75" customHeight="1">
      <c r="A639" s="122"/>
      <c r="B639" s="112"/>
      <c r="C639" s="113"/>
      <c r="D639" s="113"/>
      <c r="E639" s="113"/>
      <c r="F639" s="419"/>
      <c r="G639" s="419"/>
      <c r="H639" s="420">
        <f t="shared" si="2"/>
        <v>0</v>
      </c>
      <c r="I639" s="420" t="str">
        <f t="shared" si="3"/>
        <v/>
      </c>
      <c r="J639" s="113"/>
      <c r="K639" s="114"/>
      <c r="L639" s="15"/>
      <c r="M639" s="13"/>
      <c r="N639" s="15"/>
      <c r="O639" s="15"/>
      <c r="P639" s="15"/>
      <c r="Q639" s="15"/>
      <c r="R639" s="15"/>
    </row>
    <row r="640" ht="15.75" customHeight="1">
      <c r="A640" s="122"/>
      <c r="B640" s="112"/>
      <c r="C640" s="113"/>
      <c r="D640" s="113"/>
      <c r="E640" s="113"/>
      <c r="F640" s="419"/>
      <c r="G640" s="419"/>
      <c r="H640" s="420">
        <f t="shared" si="2"/>
        <v>0</v>
      </c>
      <c r="I640" s="420" t="str">
        <f t="shared" si="3"/>
        <v/>
      </c>
      <c r="J640" s="113"/>
      <c r="K640" s="114"/>
      <c r="L640" s="15"/>
      <c r="M640" s="13"/>
      <c r="N640" s="15"/>
      <c r="O640" s="15"/>
      <c r="P640" s="15"/>
      <c r="Q640" s="15"/>
      <c r="R640" s="15"/>
    </row>
    <row r="641" ht="15.75" customHeight="1">
      <c r="A641" s="122"/>
      <c r="B641" s="112"/>
      <c r="C641" s="113"/>
      <c r="D641" s="113"/>
      <c r="E641" s="113"/>
      <c r="F641" s="419"/>
      <c r="G641" s="419"/>
      <c r="H641" s="420">
        <f t="shared" si="2"/>
        <v>0</v>
      </c>
      <c r="I641" s="420" t="str">
        <f t="shared" si="3"/>
        <v/>
      </c>
      <c r="J641" s="113"/>
      <c r="K641" s="114"/>
      <c r="L641" s="15"/>
      <c r="M641" s="13"/>
      <c r="N641" s="15"/>
      <c r="O641" s="15"/>
      <c r="P641" s="15"/>
      <c r="Q641" s="15"/>
      <c r="R641" s="15"/>
    </row>
    <row r="642" ht="15.75" customHeight="1">
      <c r="A642" s="122"/>
      <c r="B642" s="112"/>
      <c r="C642" s="113"/>
      <c r="D642" s="113"/>
      <c r="E642" s="113"/>
      <c r="F642" s="419"/>
      <c r="G642" s="419"/>
      <c r="H642" s="420">
        <f t="shared" si="2"/>
        <v>0</v>
      </c>
      <c r="I642" s="420" t="str">
        <f t="shared" si="3"/>
        <v/>
      </c>
      <c r="J642" s="113"/>
      <c r="K642" s="114"/>
      <c r="L642" s="15"/>
      <c r="M642" s="13"/>
      <c r="N642" s="15"/>
      <c r="O642" s="15"/>
      <c r="P642" s="15"/>
      <c r="Q642" s="15"/>
      <c r="R642" s="15"/>
    </row>
    <row r="643" ht="15.75" customHeight="1">
      <c r="A643" s="122"/>
      <c r="B643" s="112"/>
      <c r="C643" s="113"/>
      <c r="D643" s="113"/>
      <c r="E643" s="113"/>
      <c r="F643" s="419"/>
      <c r="G643" s="419"/>
      <c r="H643" s="420">
        <f t="shared" si="2"/>
        <v>0</v>
      </c>
      <c r="I643" s="420" t="str">
        <f t="shared" si="3"/>
        <v/>
      </c>
      <c r="J643" s="113"/>
      <c r="K643" s="114"/>
      <c r="L643" s="15"/>
      <c r="M643" s="13"/>
      <c r="N643" s="15"/>
      <c r="O643" s="15"/>
      <c r="P643" s="15"/>
      <c r="Q643" s="15"/>
      <c r="R643" s="15"/>
    </row>
    <row r="644" ht="15.75" customHeight="1">
      <c r="A644" s="122"/>
      <c r="B644" s="112"/>
      <c r="C644" s="113"/>
      <c r="D644" s="113"/>
      <c r="E644" s="113"/>
      <c r="F644" s="419"/>
      <c r="G644" s="419"/>
      <c r="H644" s="420">
        <f t="shared" si="2"/>
        <v>0</v>
      </c>
      <c r="I644" s="420" t="str">
        <f t="shared" si="3"/>
        <v/>
      </c>
      <c r="J644" s="113"/>
      <c r="K644" s="114"/>
      <c r="L644" s="15"/>
      <c r="M644" s="13"/>
      <c r="N644" s="15"/>
      <c r="O644" s="15"/>
      <c r="P644" s="15"/>
      <c r="Q644" s="15"/>
      <c r="R644" s="15"/>
    </row>
    <row r="645" ht="15.75" customHeight="1">
      <c r="A645" s="122"/>
      <c r="B645" s="112"/>
      <c r="C645" s="113"/>
      <c r="D645" s="113"/>
      <c r="E645" s="113"/>
      <c r="F645" s="419"/>
      <c r="G645" s="419"/>
      <c r="H645" s="420">
        <f t="shared" si="2"/>
        <v>0</v>
      </c>
      <c r="I645" s="420" t="str">
        <f t="shared" si="3"/>
        <v/>
      </c>
      <c r="J645" s="113"/>
      <c r="K645" s="114"/>
      <c r="L645" s="15"/>
      <c r="M645" s="13"/>
      <c r="N645" s="15"/>
      <c r="O645" s="15"/>
      <c r="P645" s="15"/>
      <c r="Q645" s="15"/>
      <c r="R645" s="15"/>
    </row>
    <row r="646" ht="15.75" customHeight="1">
      <c r="A646" s="122"/>
      <c r="B646" s="112"/>
      <c r="C646" s="113"/>
      <c r="D646" s="113"/>
      <c r="E646" s="113"/>
      <c r="F646" s="419"/>
      <c r="G646" s="419"/>
      <c r="H646" s="420">
        <f t="shared" si="2"/>
        <v>0</v>
      </c>
      <c r="I646" s="420" t="str">
        <f t="shared" si="3"/>
        <v/>
      </c>
      <c r="J646" s="113"/>
      <c r="K646" s="114"/>
      <c r="L646" s="15"/>
      <c r="M646" s="13"/>
      <c r="N646" s="15"/>
      <c r="O646" s="15"/>
      <c r="P646" s="15"/>
      <c r="Q646" s="15"/>
      <c r="R646" s="15"/>
    </row>
    <row r="647" ht="15.75" customHeight="1">
      <c r="A647" s="122"/>
      <c r="B647" s="112"/>
      <c r="C647" s="113"/>
      <c r="D647" s="113"/>
      <c r="E647" s="113"/>
      <c r="F647" s="419"/>
      <c r="G647" s="419"/>
      <c r="H647" s="420">
        <f t="shared" si="2"/>
        <v>0</v>
      </c>
      <c r="I647" s="420" t="str">
        <f t="shared" si="3"/>
        <v/>
      </c>
      <c r="J647" s="113"/>
      <c r="K647" s="114"/>
      <c r="L647" s="15"/>
      <c r="M647" s="13"/>
      <c r="N647" s="15"/>
      <c r="O647" s="15"/>
      <c r="P647" s="15"/>
      <c r="Q647" s="15"/>
      <c r="R647" s="15"/>
    </row>
    <row r="648" ht="15.75" customHeight="1">
      <c r="A648" s="122"/>
      <c r="B648" s="112"/>
      <c r="C648" s="113"/>
      <c r="D648" s="113"/>
      <c r="E648" s="113"/>
      <c r="F648" s="419"/>
      <c r="G648" s="419"/>
      <c r="H648" s="420">
        <f t="shared" si="2"/>
        <v>0</v>
      </c>
      <c r="I648" s="420" t="str">
        <f t="shared" si="3"/>
        <v/>
      </c>
      <c r="J648" s="113"/>
      <c r="K648" s="114"/>
      <c r="L648" s="15"/>
      <c r="M648" s="13"/>
      <c r="N648" s="15"/>
      <c r="O648" s="15"/>
      <c r="P648" s="15"/>
      <c r="Q648" s="15"/>
      <c r="R648" s="15"/>
    </row>
    <row r="649" ht="15.75" customHeight="1">
      <c r="A649" s="122"/>
      <c r="B649" s="112"/>
      <c r="C649" s="113"/>
      <c r="D649" s="113"/>
      <c r="E649" s="113"/>
      <c r="F649" s="419"/>
      <c r="G649" s="419"/>
      <c r="H649" s="420">
        <f t="shared" si="2"/>
        <v>0</v>
      </c>
      <c r="I649" s="420" t="str">
        <f t="shared" si="3"/>
        <v/>
      </c>
      <c r="J649" s="113"/>
      <c r="K649" s="114"/>
      <c r="L649" s="15"/>
      <c r="M649" s="13"/>
      <c r="N649" s="15"/>
      <c r="O649" s="15"/>
      <c r="P649" s="15"/>
      <c r="Q649" s="15"/>
      <c r="R649" s="15"/>
    </row>
    <row r="650" ht="15.75" customHeight="1">
      <c r="A650" s="122"/>
      <c r="B650" s="112"/>
      <c r="C650" s="113"/>
      <c r="D650" s="113"/>
      <c r="E650" s="113"/>
      <c r="F650" s="419"/>
      <c r="G650" s="419"/>
      <c r="H650" s="420">
        <f t="shared" si="2"/>
        <v>0</v>
      </c>
      <c r="I650" s="420" t="str">
        <f t="shared" si="3"/>
        <v/>
      </c>
      <c r="J650" s="113"/>
      <c r="K650" s="114"/>
      <c r="L650" s="15"/>
      <c r="M650" s="13"/>
      <c r="N650" s="15"/>
      <c r="O650" s="15"/>
      <c r="P650" s="15"/>
      <c r="Q650" s="15"/>
      <c r="R650" s="15"/>
    </row>
    <row r="651" ht="15.75" customHeight="1">
      <c r="A651" s="122"/>
      <c r="B651" s="112"/>
      <c r="C651" s="113"/>
      <c r="D651" s="113"/>
      <c r="E651" s="113"/>
      <c r="F651" s="419"/>
      <c r="G651" s="419"/>
      <c r="H651" s="420">
        <f t="shared" si="2"/>
        <v>0</v>
      </c>
      <c r="I651" s="420" t="str">
        <f t="shared" si="3"/>
        <v/>
      </c>
      <c r="J651" s="113"/>
      <c r="K651" s="114"/>
      <c r="L651" s="15"/>
      <c r="M651" s="13"/>
      <c r="N651" s="15"/>
      <c r="O651" s="15"/>
      <c r="P651" s="15"/>
      <c r="Q651" s="15"/>
      <c r="R651" s="15"/>
    </row>
    <row r="652" ht="15.75" customHeight="1">
      <c r="A652" s="122"/>
      <c r="B652" s="112"/>
      <c r="C652" s="113"/>
      <c r="D652" s="113"/>
      <c r="E652" s="113"/>
      <c r="F652" s="419"/>
      <c r="G652" s="419"/>
      <c r="H652" s="420">
        <f t="shared" si="2"/>
        <v>0</v>
      </c>
      <c r="I652" s="420" t="str">
        <f t="shared" si="3"/>
        <v/>
      </c>
      <c r="J652" s="113"/>
      <c r="K652" s="114"/>
      <c r="L652" s="15"/>
      <c r="M652" s="13"/>
      <c r="N652" s="15"/>
      <c r="O652" s="15"/>
      <c r="P652" s="15"/>
      <c r="Q652" s="15"/>
      <c r="R652" s="15"/>
    </row>
    <row r="653" ht="15.75" customHeight="1">
      <c r="A653" s="122"/>
      <c r="B653" s="112"/>
      <c r="C653" s="113"/>
      <c r="D653" s="113"/>
      <c r="E653" s="113"/>
      <c r="F653" s="419"/>
      <c r="G653" s="419"/>
      <c r="H653" s="420">
        <f t="shared" si="2"/>
        <v>0</v>
      </c>
      <c r="I653" s="420" t="str">
        <f t="shared" si="3"/>
        <v/>
      </c>
      <c r="J653" s="113"/>
      <c r="K653" s="114"/>
      <c r="L653" s="15"/>
      <c r="M653" s="13"/>
      <c r="N653" s="15"/>
      <c r="O653" s="15"/>
      <c r="P653" s="15"/>
      <c r="Q653" s="15"/>
      <c r="R653" s="15"/>
    </row>
    <row r="654" ht="15.75" customHeight="1">
      <c r="A654" s="122"/>
      <c r="B654" s="112"/>
      <c r="C654" s="113"/>
      <c r="D654" s="113"/>
      <c r="E654" s="113"/>
      <c r="F654" s="419"/>
      <c r="G654" s="419"/>
      <c r="H654" s="420">
        <f t="shared" si="2"/>
        <v>0</v>
      </c>
      <c r="I654" s="420" t="str">
        <f t="shared" si="3"/>
        <v/>
      </c>
      <c r="J654" s="113"/>
      <c r="K654" s="114"/>
      <c r="L654" s="15"/>
      <c r="M654" s="13"/>
      <c r="N654" s="15"/>
      <c r="O654" s="15"/>
      <c r="P654" s="15"/>
      <c r="Q654" s="15"/>
      <c r="R654" s="15"/>
    </row>
    <row r="655" ht="15.75" customHeight="1">
      <c r="A655" s="122"/>
      <c r="B655" s="112"/>
      <c r="C655" s="113"/>
      <c r="D655" s="113"/>
      <c r="E655" s="113"/>
      <c r="F655" s="419"/>
      <c r="G655" s="419"/>
      <c r="H655" s="420">
        <f t="shared" si="2"/>
        <v>0</v>
      </c>
      <c r="I655" s="420" t="str">
        <f t="shared" si="3"/>
        <v/>
      </c>
      <c r="J655" s="113"/>
      <c r="K655" s="114"/>
      <c r="L655" s="15"/>
      <c r="M655" s="13"/>
      <c r="N655" s="15"/>
      <c r="O655" s="15"/>
      <c r="P655" s="15"/>
      <c r="Q655" s="15"/>
      <c r="R655" s="15"/>
    </row>
    <row r="656" ht="15.75" customHeight="1">
      <c r="A656" s="122"/>
      <c r="B656" s="112"/>
      <c r="C656" s="113"/>
      <c r="D656" s="113"/>
      <c r="E656" s="113"/>
      <c r="F656" s="419"/>
      <c r="G656" s="419"/>
      <c r="H656" s="420">
        <f t="shared" si="2"/>
        <v>0</v>
      </c>
      <c r="I656" s="420" t="str">
        <f t="shared" si="3"/>
        <v/>
      </c>
      <c r="J656" s="113"/>
      <c r="K656" s="114"/>
      <c r="L656" s="15"/>
      <c r="M656" s="13"/>
      <c r="N656" s="15"/>
      <c r="O656" s="15"/>
      <c r="P656" s="15"/>
      <c r="Q656" s="15"/>
      <c r="R656" s="15"/>
    </row>
    <row r="657" ht="15.75" customHeight="1">
      <c r="A657" s="122"/>
      <c r="B657" s="112"/>
      <c r="C657" s="113"/>
      <c r="D657" s="113"/>
      <c r="E657" s="113"/>
      <c r="F657" s="419"/>
      <c r="G657" s="419"/>
      <c r="H657" s="420">
        <f t="shared" si="2"/>
        <v>0</v>
      </c>
      <c r="I657" s="420" t="str">
        <f t="shared" si="3"/>
        <v/>
      </c>
      <c r="J657" s="113"/>
      <c r="K657" s="114"/>
      <c r="L657" s="15"/>
      <c r="M657" s="13"/>
      <c r="N657" s="15"/>
      <c r="O657" s="15"/>
      <c r="P657" s="15"/>
      <c r="Q657" s="15"/>
      <c r="R657" s="15"/>
    </row>
    <row r="658" ht="15.75" customHeight="1">
      <c r="A658" s="122"/>
      <c r="B658" s="112"/>
      <c r="C658" s="113"/>
      <c r="D658" s="113"/>
      <c r="E658" s="113"/>
      <c r="F658" s="419"/>
      <c r="G658" s="419"/>
      <c r="H658" s="420">
        <f t="shared" si="2"/>
        <v>0</v>
      </c>
      <c r="I658" s="420" t="str">
        <f t="shared" si="3"/>
        <v/>
      </c>
      <c r="J658" s="113"/>
      <c r="K658" s="114"/>
      <c r="L658" s="15"/>
      <c r="M658" s="13"/>
      <c r="N658" s="15"/>
      <c r="O658" s="15"/>
      <c r="P658" s="15"/>
      <c r="Q658" s="15"/>
      <c r="R658" s="15"/>
    </row>
    <row r="659" ht="15.75" customHeight="1">
      <c r="A659" s="122"/>
      <c r="B659" s="112"/>
      <c r="C659" s="113"/>
      <c r="D659" s="113"/>
      <c r="E659" s="113"/>
      <c r="F659" s="419"/>
      <c r="G659" s="419"/>
      <c r="H659" s="420">
        <f t="shared" si="2"/>
        <v>0</v>
      </c>
      <c r="I659" s="420" t="str">
        <f t="shared" si="3"/>
        <v/>
      </c>
      <c r="J659" s="113"/>
      <c r="K659" s="114"/>
      <c r="L659" s="15"/>
      <c r="M659" s="13"/>
      <c r="N659" s="15"/>
      <c r="O659" s="15"/>
      <c r="P659" s="15"/>
      <c r="Q659" s="15"/>
      <c r="R659" s="15"/>
    </row>
    <row r="660" ht="15.75" customHeight="1">
      <c r="A660" s="122"/>
      <c r="B660" s="112"/>
      <c r="C660" s="113"/>
      <c r="D660" s="113"/>
      <c r="E660" s="113"/>
      <c r="F660" s="419"/>
      <c r="G660" s="419"/>
      <c r="H660" s="420">
        <f t="shared" si="2"/>
        <v>0</v>
      </c>
      <c r="I660" s="420" t="str">
        <f t="shared" si="3"/>
        <v/>
      </c>
      <c r="J660" s="113"/>
      <c r="K660" s="114"/>
      <c r="L660" s="15"/>
      <c r="M660" s="13"/>
      <c r="N660" s="15"/>
      <c r="O660" s="15"/>
      <c r="P660" s="15"/>
      <c r="Q660" s="15"/>
      <c r="R660" s="15"/>
    </row>
    <row r="661" ht="15.75" customHeight="1">
      <c r="A661" s="122"/>
      <c r="B661" s="112"/>
      <c r="C661" s="113"/>
      <c r="D661" s="113"/>
      <c r="E661" s="113"/>
      <c r="F661" s="419"/>
      <c r="G661" s="419"/>
      <c r="H661" s="420">
        <f t="shared" si="2"/>
        <v>0</v>
      </c>
      <c r="I661" s="420" t="str">
        <f t="shared" si="3"/>
        <v/>
      </c>
      <c r="J661" s="113"/>
      <c r="K661" s="114"/>
      <c r="L661" s="15"/>
      <c r="M661" s="13"/>
      <c r="N661" s="15"/>
      <c r="O661" s="15"/>
      <c r="P661" s="15"/>
      <c r="Q661" s="15"/>
      <c r="R661" s="15"/>
    </row>
    <row r="662" ht="15.75" customHeight="1">
      <c r="A662" s="122"/>
      <c r="B662" s="112"/>
      <c r="C662" s="113"/>
      <c r="D662" s="113"/>
      <c r="E662" s="113"/>
      <c r="F662" s="419"/>
      <c r="G662" s="419"/>
      <c r="H662" s="420">
        <f t="shared" si="2"/>
        <v>0</v>
      </c>
      <c r="I662" s="420" t="str">
        <f t="shared" si="3"/>
        <v/>
      </c>
      <c r="J662" s="113"/>
      <c r="K662" s="114"/>
      <c r="L662" s="15"/>
      <c r="M662" s="13"/>
      <c r="N662" s="15"/>
      <c r="O662" s="15"/>
      <c r="P662" s="15"/>
      <c r="Q662" s="15"/>
      <c r="R662" s="15"/>
    </row>
    <row r="663" ht="15.75" customHeight="1">
      <c r="A663" s="122"/>
      <c r="B663" s="112"/>
      <c r="C663" s="113"/>
      <c r="D663" s="113"/>
      <c r="E663" s="113"/>
      <c r="F663" s="419"/>
      <c r="G663" s="419"/>
      <c r="H663" s="420">
        <f t="shared" si="2"/>
        <v>0</v>
      </c>
      <c r="I663" s="420" t="str">
        <f t="shared" si="3"/>
        <v/>
      </c>
      <c r="J663" s="113"/>
      <c r="K663" s="114"/>
      <c r="L663" s="15"/>
      <c r="M663" s="13"/>
      <c r="N663" s="15"/>
      <c r="O663" s="15"/>
      <c r="P663" s="15"/>
      <c r="Q663" s="15"/>
      <c r="R663" s="15"/>
    </row>
    <row r="664" ht="15.75" customHeight="1">
      <c r="A664" s="122"/>
      <c r="B664" s="112"/>
      <c r="C664" s="113"/>
      <c r="D664" s="113"/>
      <c r="E664" s="113"/>
      <c r="F664" s="419"/>
      <c r="G664" s="419"/>
      <c r="H664" s="420">
        <f t="shared" si="2"/>
        <v>0</v>
      </c>
      <c r="I664" s="420" t="str">
        <f t="shared" si="3"/>
        <v/>
      </c>
      <c r="J664" s="113"/>
      <c r="K664" s="114"/>
      <c r="L664" s="15"/>
      <c r="M664" s="13"/>
      <c r="N664" s="15"/>
      <c r="O664" s="15"/>
      <c r="P664" s="15"/>
      <c r="Q664" s="15"/>
      <c r="R664" s="15"/>
    </row>
    <row r="665" ht="15.75" customHeight="1">
      <c r="A665" s="122"/>
      <c r="B665" s="112"/>
      <c r="C665" s="113"/>
      <c r="D665" s="113"/>
      <c r="E665" s="113"/>
      <c r="F665" s="419"/>
      <c r="G665" s="419"/>
      <c r="H665" s="420">
        <f t="shared" si="2"/>
        <v>0</v>
      </c>
      <c r="I665" s="420" t="str">
        <f t="shared" si="3"/>
        <v/>
      </c>
      <c r="J665" s="113"/>
      <c r="K665" s="114"/>
      <c r="L665" s="15"/>
      <c r="M665" s="13"/>
      <c r="N665" s="15"/>
      <c r="O665" s="15"/>
      <c r="P665" s="15"/>
      <c r="Q665" s="15"/>
      <c r="R665" s="15"/>
    </row>
    <row r="666" ht="15.75" customHeight="1">
      <c r="A666" s="122"/>
      <c r="B666" s="112"/>
      <c r="C666" s="113"/>
      <c r="D666" s="113"/>
      <c r="E666" s="113"/>
      <c r="F666" s="419"/>
      <c r="G666" s="419"/>
      <c r="H666" s="420">
        <f t="shared" si="2"/>
        <v>0</v>
      </c>
      <c r="I666" s="420" t="str">
        <f t="shared" si="3"/>
        <v/>
      </c>
      <c r="J666" s="113"/>
      <c r="K666" s="114"/>
      <c r="L666" s="15"/>
      <c r="M666" s="13"/>
      <c r="N666" s="15"/>
      <c r="O666" s="15"/>
      <c r="P666" s="15"/>
      <c r="Q666" s="15"/>
      <c r="R666" s="15"/>
    </row>
    <row r="667" ht="15.75" customHeight="1">
      <c r="A667" s="122"/>
      <c r="B667" s="112"/>
      <c r="C667" s="113"/>
      <c r="D667" s="113"/>
      <c r="E667" s="113"/>
      <c r="F667" s="419"/>
      <c r="G667" s="419"/>
      <c r="H667" s="420">
        <f t="shared" si="2"/>
        <v>0</v>
      </c>
      <c r="I667" s="420" t="str">
        <f t="shared" si="3"/>
        <v/>
      </c>
      <c r="J667" s="113"/>
      <c r="K667" s="114"/>
      <c r="L667" s="15"/>
      <c r="M667" s="13"/>
      <c r="N667" s="15"/>
      <c r="O667" s="15"/>
      <c r="P667" s="15"/>
      <c r="Q667" s="15"/>
      <c r="R667" s="15"/>
    </row>
    <row r="668" ht="15.75" customHeight="1">
      <c r="A668" s="122"/>
      <c r="B668" s="112"/>
      <c r="C668" s="113"/>
      <c r="D668" s="113"/>
      <c r="E668" s="113"/>
      <c r="F668" s="419"/>
      <c r="G668" s="419"/>
      <c r="H668" s="420">
        <f t="shared" si="2"/>
        <v>0</v>
      </c>
      <c r="I668" s="420" t="str">
        <f t="shared" si="3"/>
        <v/>
      </c>
      <c r="J668" s="113"/>
      <c r="K668" s="114"/>
      <c r="L668" s="15"/>
      <c r="M668" s="13"/>
      <c r="N668" s="15"/>
      <c r="O668" s="15"/>
      <c r="P668" s="15"/>
      <c r="Q668" s="15"/>
      <c r="R668" s="15"/>
    </row>
    <row r="669" ht="15.75" customHeight="1">
      <c r="A669" s="122"/>
      <c r="B669" s="112"/>
      <c r="C669" s="113"/>
      <c r="D669" s="113"/>
      <c r="E669" s="113"/>
      <c r="F669" s="419"/>
      <c r="G669" s="419"/>
      <c r="H669" s="420">
        <f t="shared" si="2"/>
        <v>0</v>
      </c>
      <c r="I669" s="420" t="str">
        <f t="shared" si="3"/>
        <v/>
      </c>
      <c r="J669" s="113"/>
      <c r="K669" s="114"/>
      <c r="L669" s="15"/>
      <c r="M669" s="13"/>
      <c r="N669" s="15"/>
      <c r="O669" s="15"/>
      <c r="P669" s="15"/>
      <c r="Q669" s="15"/>
      <c r="R669" s="15"/>
    </row>
    <row r="670" ht="15.75" customHeight="1">
      <c r="A670" s="122"/>
      <c r="B670" s="112"/>
      <c r="C670" s="113"/>
      <c r="D670" s="113"/>
      <c r="E670" s="113"/>
      <c r="F670" s="419"/>
      <c r="G670" s="419"/>
      <c r="H670" s="420">
        <f t="shared" si="2"/>
        <v>0</v>
      </c>
      <c r="I670" s="420" t="str">
        <f t="shared" si="3"/>
        <v/>
      </c>
      <c r="J670" s="113"/>
      <c r="K670" s="114"/>
      <c r="L670" s="15"/>
      <c r="M670" s="13"/>
      <c r="N670" s="15"/>
      <c r="O670" s="15"/>
      <c r="P670" s="15"/>
      <c r="Q670" s="15"/>
      <c r="R670" s="15"/>
    </row>
    <row r="671" ht="15.75" customHeight="1">
      <c r="A671" s="122"/>
      <c r="B671" s="112"/>
      <c r="C671" s="113"/>
      <c r="D671" s="113"/>
      <c r="E671" s="113"/>
      <c r="F671" s="419"/>
      <c r="G671" s="419"/>
      <c r="H671" s="420">
        <f t="shared" si="2"/>
        <v>0</v>
      </c>
      <c r="I671" s="420" t="str">
        <f t="shared" si="3"/>
        <v/>
      </c>
      <c r="J671" s="113"/>
      <c r="K671" s="114"/>
      <c r="L671" s="15"/>
      <c r="M671" s="13"/>
      <c r="N671" s="15"/>
      <c r="O671" s="15"/>
      <c r="P671" s="15"/>
      <c r="Q671" s="15"/>
      <c r="R671" s="15"/>
    </row>
    <row r="672" ht="15.75" customHeight="1">
      <c r="A672" s="122"/>
      <c r="B672" s="112"/>
      <c r="C672" s="113"/>
      <c r="D672" s="113"/>
      <c r="E672" s="113"/>
      <c r="F672" s="419"/>
      <c r="G672" s="419"/>
      <c r="H672" s="420">
        <f t="shared" si="2"/>
        <v>0</v>
      </c>
      <c r="I672" s="420" t="str">
        <f t="shared" si="3"/>
        <v/>
      </c>
      <c r="J672" s="113"/>
      <c r="K672" s="114"/>
      <c r="L672" s="15"/>
      <c r="M672" s="13"/>
      <c r="N672" s="15"/>
      <c r="O672" s="15"/>
      <c r="P672" s="15"/>
      <c r="Q672" s="15"/>
      <c r="R672" s="15"/>
    </row>
    <row r="673" ht="15.75" customHeight="1">
      <c r="A673" s="122"/>
      <c r="B673" s="112"/>
      <c r="C673" s="113"/>
      <c r="D673" s="113"/>
      <c r="E673" s="113"/>
      <c r="F673" s="419"/>
      <c r="G673" s="419"/>
      <c r="H673" s="420">
        <f t="shared" si="2"/>
        <v>0</v>
      </c>
      <c r="I673" s="420" t="str">
        <f t="shared" si="3"/>
        <v/>
      </c>
      <c r="J673" s="113"/>
      <c r="K673" s="114"/>
      <c r="L673" s="15"/>
      <c r="M673" s="13"/>
      <c r="N673" s="15"/>
      <c r="O673" s="15"/>
      <c r="P673" s="15"/>
      <c r="Q673" s="15"/>
      <c r="R673" s="15"/>
    </row>
    <row r="674" ht="15.75" customHeight="1">
      <c r="A674" s="122"/>
      <c r="B674" s="112"/>
      <c r="C674" s="113"/>
      <c r="D674" s="113"/>
      <c r="E674" s="113"/>
      <c r="F674" s="419"/>
      <c r="G674" s="419"/>
      <c r="H674" s="420">
        <f t="shared" si="2"/>
        <v>0</v>
      </c>
      <c r="I674" s="420" t="str">
        <f t="shared" si="3"/>
        <v/>
      </c>
      <c r="J674" s="113"/>
      <c r="K674" s="114"/>
      <c r="L674" s="15"/>
      <c r="M674" s="13"/>
      <c r="N674" s="15"/>
      <c r="O674" s="15"/>
      <c r="P674" s="15"/>
      <c r="Q674" s="15"/>
      <c r="R674" s="15"/>
    </row>
    <row r="675" ht="15.75" customHeight="1">
      <c r="A675" s="122"/>
      <c r="B675" s="112"/>
      <c r="C675" s="113"/>
      <c r="D675" s="113"/>
      <c r="E675" s="113"/>
      <c r="F675" s="419"/>
      <c r="G675" s="419"/>
      <c r="H675" s="420">
        <f t="shared" si="2"/>
        <v>0</v>
      </c>
      <c r="I675" s="420" t="str">
        <f t="shared" si="3"/>
        <v/>
      </c>
      <c r="J675" s="113"/>
      <c r="K675" s="114"/>
      <c r="L675" s="15"/>
      <c r="M675" s="13"/>
      <c r="N675" s="15"/>
      <c r="O675" s="15"/>
      <c r="P675" s="15"/>
      <c r="Q675" s="15"/>
      <c r="R675" s="15"/>
    </row>
    <row r="676" ht="15.75" customHeight="1">
      <c r="A676" s="122"/>
      <c r="B676" s="112"/>
      <c r="C676" s="113"/>
      <c r="D676" s="113"/>
      <c r="E676" s="113"/>
      <c r="F676" s="419"/>
      <c r="G676" s="419"/>
      <c r="H676" s="420">
        <f t="shared" si="2"/>
        <v>0</v>
      </c>
      <c r="I676" s="420" t="str">
        <f t="shared" si="3"/>
        <v/>
      </c>
      <c r="J676" s="113"/>
      <c r="K676" s="114"/>
      <c r="L676" s="15"/>
      <c r="M676" s="13"/>
      <c r="N676" s="15"/>
      <c r="O676" s="15"/>
      <c r="P676" s="15"/>
      <c r="Q676" s="15"/>
      <c r="R676" s="15"/>
    </row>
    <row r="677" ht="15.75" customHeight="1">
      <c r="A677" s="122"/>
      <c r="B677" s="112"/>
      <c r="C677" s="113"/>
      <c r="D677" s="113"/>
      <c r="E677" s="113"/>
      <c r="F677" s="419"/>
      <c r="G677" s="419"/>
      <c r="H677" s="420">
        <f t="shared" si="2"/>
        <v>0</v>
      </c>
      <c r="I677" s="420" t="str">
        <f t="shared" si="3"/>
        <v/>
      </c>
      <c r="J677" s="113"/>
      <c r="K677" s="114"/>
      <c r="L677" s="15"/>
      <c r="M677" s="13"/>
      <c r="N677" s="15"/>
      <c r="O677" s="15"/>
      <c r="P677" s="15"/>
      <c r="Q677" s="15"/>
      <c r="R677" s="15"/>
    </row>
    <row r="678" ht="15.75" customHeight="1">
      <c r="A678" s="122"/>
      <c r="B678" s="112"/>
      <c r="C678" s="113"/>
      <c r="D678" s="113"/>
      <c r="E678" s="113"/>
      <c r="F678" s="419"/>
      <c r="G678" s="419"/>
      <c r="H678" s="420">
        <f t="shared" si="2"/>
        <v>0</v>
      </c>
      <c r="I678" s="420" t="str">
        <f t="shared" si="3"/>
        <v/>
      </c>
      <c r="J678" s="113"/>
      <c r="K678" s="114"/>
      <c r="L678" s="15"/>
      <c r="M678" s="13"/>
      <c r="N678" s="15"/>
      <c r="O678" s="15"/>
      <c r="P678" s="15"/>
      <c r="Q678" s="15"/>
      <c r="R678" s="15"/>
    </row>
    <row r="679" ht="15.75" customHeight="1">
      <c r="A679" s="122"/>
      <c r="B679" s="112"/>
      <c r="C679" s="113"/>
      <c r="D679" s="113"/>
      <c r="E679" s="113"/>
      <c r="F679" s="419"/>
      <c r="G679" s="419"/>
      <c r="H679" s="420">
        <f t="shared" si="2"/>
        <v>0</v>
      </c>
      <c r="I679" s="420" t="str">
        <f t="shared" si="3"/>
        <v/>
      </c>
      <c r="J679" s="113"/>
      <c r="K679" s="114"/>
      <c r="L679" s="15"/>
      <c r="M679" s="13"/>
      <c r="N679" s="15"/>
      <c r="O679" s="15"/>
      <c r="P679" s="15"/>
      <c r="Q679" s="15"/>
      <c r="R679" s="15"/>
    </row>
    <row r="680" ht="15.75" customHeight="1">
      <c r="A680" s="122"/>
      <c r="B680" s="112"/>
      <c r="C680" s="113"/>
      <c r="D680" s="113"/>
      <c r="E680" s="113"/>
      <c r="F680" s="419"/>
      <c r="G680" s="419"/>
      <c r="H680" s="420">
        <f t="shared" si="2"/>
        <v>0</v>
      </c>
      <c r="I680" s="420" t="str">
        <f t="shared" si="3"/>
        <v/>
      </c>
      <c r="J680" s="113"/>
      <c r="K680" s="114"/>
      <c r="L680" s="15"/>
      <c r="M680" s="13"/>
      <c r="N680" s="15"/>
      <c r="O680" s="15"/>
      <c r="P680" s="15"/>
      <c r="Q680" s="15"/>
      <c r="R680" s="15"/>
    </row>
    <row r="681" ht="15.75" customHeight="1">
      <c r="A681" s="122"/>
      <c r="B681" s="112"/>
      <c r="C681" s="113"/>
      <c r="D681" s="113"/>
      <c r="E681" s="113"/>
      <c r="F681" s="419"/>
      <c r="G681" s="419"/>
      <c r="H681" s="420">
        <f t="shared" si="2"/>
        <v>0</v>
      </c>
      <c r="I681" s="420" t="str">
        <f t="shared" si="3"/>
        <v/>
      </c>
      <c r="J681" s="113"/>
      <c r="K681" s="114"/>
      <c r="L681" s="15"/>
      <c r="M681" s="13"/>
      <c r="N681" s="15"/>
      <c r="O681" s="15"/>
      <c r="P681" s="15"/>
      <c r="Q681" s="15"/>
      <c r="R681" s="15"/>
    </row>
    <row r="682" ht="15.75" customHeight="1">
      <c r="A682" s="122"/>
      <c r="B682" s="112"/>
      <c r="C682" s="113"/>
      <c r="D682" s="113"/>
      <c r="E682" s="113"/>
      <c r="F682" s="419"/>
      <c r="G682" s="419"/>
      <c r="H682" s="420">
        <f t="shared" si="2"/>
        <v>0</v>
      </c>
      <c r="I682" s="420" t="str">
        <f t="shared" si="3"/>
        <v/>
      </c>
      <c r="J682" s="113"/>
      <c r="K682" s="114"/>
      <c r="L682" s="15"/>
      <c r="M682" s="13"/>
      <c r="N682" s="15"/>
      <c r="O682" s="15"/>
      <c r="P682" s="15"/>
      <c r="Q682" s="15"/>
      <c r="R682" s="15"/>
    </row>
    <row r="683" ht="15.75" customHeight="1">
      <c r="A683" s="122"/>
      <c r="B683" s="112"/>
      <c r="C683" s="113"/>
      <c r="D683" s="113"/>
      <c r="E683" s="113"/>
      <c r="F683" s="419"/>
      <c r="G683" s="419"/>
      <c r="H683" s="420">
        <f t="shared" si="2"/>
        <v>0</v>
      </c>
      <c r="I683" s="420" t="str">
        <f t="shared" si="3"/>
        <v/>
      </c>
      <c r="J683" s="113"/>
      <c r="K683" s="114"/>
      <c r="L683" s="15"/>
      <c r="M683" s="13"/>
      <c r="N683" s="15"/>
      <c r="O683" s="15"/>
      <c r="P683" s="15"/>
      <c r="Q683" s="15"/>
      <c r="R683" s="15"/>
    </row>
    <row r="684" ht="15.75" customHeight="1">
      <c r="A684" s="122"/>
      <c r="B684" s="112"/>
      <c r="C684" s="113"/>
      <c r="D684" s="113"/>
      <c r="E684" s="113"/>
      <c r="F684" s="419"/>
      <c r="G684" s="419"/>
      <c r="H684" s="420">
        <f t="shared" si="2"/>
        <v>0</v>
      </c>
      <c r="I684" s="420" t="str">
        <f t="shared" si="3"/>
        <v/>
      </c>
      <c r="J684" s="113"/>
      <c r="K684" s="114"/>
      <c r="L684" s="15"/>
      <c r="M684" s="13"/>
      <c r="N684" s="15"/>
      <c r="O684" s="15"/>
      <c r="P684" s="15"/>
      <c r="Q684" s="15"/>
      <c r="R684" s="15"/>
    </row>
    <row r="685" ht="15.75" customHeight="1">
      <c r="A685" s="122"/>
      <c r="B685" s="112"/>
      <c r="C685" s="113"/>
      <c r="D685" s="113"/>
      <c r="E685" s="113"/>
      <c r="F685" s="419"/>
      <c r="G685" s="419"/>
      <c r="H685" s="420">
        <f t="shared" si="2"/>
        <v>0</v>
      </c>
      <c r="I685" s="420" t="str">
        <f t="shared" si="3"/>
        <v/>
      </c>
      <c r="J685" s="113"/>
      <c r="K685" s="114"/>
      <c r="L685" s="15"/>
      <c r="M685" s="13"/>
      <c r="N685" s="15"/>
      <c r="O685" s="15"/>
      <c r="P685" s="15"/>
      <c r="Q685" s="15"/>
      <c r="R685" s="15"/>
    </row>
    <row r="686" ht="15.75" customHeight="1">
      <c r="A686" s="122"/>
      <c r="B686" s="112"/>
      <c r="C686" s="113"/>
      <c r="D686" s="113"/>
      <c r="E686" s="113"/>
      <c r="F686" s="419"/>
      <c r="G686" s="419"/>
      <c r="H686" s="420">
        <f t="shared" si="2"/>
        <v>0</v>
      </c>
      <c r="I686" s="420" t="str">
        <f t="shared" si="3"/>
        <v/>
      </c>
      <c r="J686" s="113"/>
      <c r="K686" s="114"/>
      <c r="L686" s="15"/>
      <c r="M686" s="13"/>
      <c r="N686" s="15"/>
      <c r="O686" s="15"/>
      <c r="P686" s="15"/>
      <c r="Q686" s="15"/>
      <c r="R686" s="15"/>
    </row>
    <row r="687" ht="15.75" customHeight="1">
      <c r="A687" s="122"/>
      <c r="B687" s="112"/>
      <c r="C687" s="113"/>
      <c r="D687" s="113"/>
      <c r="E687" s="113"/>
      <c r="F687" s="419"/>
      <c r="G687" s="419"/>
      <c r="H687" s="420">
        <f t="shared" si="2"/>
        <v>0</v>
      </c>
      <c r="I687" s="420" t="str">
        <f t="shared" si="3"/>
        <v/>
      </c>
      <c r="J687" s="113"/>
      <c r="K687" s="114"/>
      <c r="L687" s="15"/>
      <c r="M687" s="13"/>
      <c r="N687" s="15"/>
      <c r="O687" s="15"/>
      <c r="P687" s="15"/>
      <c r="Q687" s="15"/>
      <c r="R687" s="15"/>
    </row>
    <row r="688" ht="15.75" customHeight="1">
      <c r="A688" s="122"/>
      <c r="B688" s="112"/>
      <c r="C688" s="113"/>
      <c r="D688" s="113"/>
      <c r="E688" s="113"/>
      <c r="F688" s="419"/>
      <c r="G688" s="419"/>
      <c r="H688" s="420">
        <f t="shared" si="2"/>
        <v>0</v>
      </c>
      <c r="I688" s="420" t="str">
        <f t="shared" si="3"/>
        <v/>
      </c>
      <c r="J688" s="113"/>
      <c r="K688" s="114"/>
      <c r="L688" s="15"/>
      <c r="M688" s="13"/>
      <c r="N688" s="15"/>
      <c r="O688" s="15"/>
      <c r="P688" s="15"/>
      <c r="Q688" s="15"/>
      <c r="R688" s="15"/>
    </row>
    <row r="689" ht="15.75" customHeight="1">
      <c r="A689" s="122"/>
      <c r="B689" s="112"/>
      <c r="C689" s="113"/>
      <c r="D689" s="113"/>
      <c r="E689" s="113"/>
      <c r="F689" s="419"/>
      <c r="G689" s="419"/>
      <c r="H689" s="420">
        <f t="shared" si="2"/>
        <v>0</v>
      </c>
      <c r="I689" s="420" t="str">
        <f t="shared" si="3"/>
        <v/>
      </c>
      <c r="J689" s="113"/>
      <c r="K689" s="114"/>
      <c r="L689" s="15"/>
      <c r="M689" s="13"/>
      <c r="N689" s="15"/>
      <c r="O689" s="15"/>
      <c r="P689" s="15"/>
      <c r="Q689" s="15"/>
      <c r="R689" s="15"/>
    </row>
    <row r="690" ht="15.75" customHeight="1">
      <c r="A690" s="122"/>
      <c r="B690" s="112"/>
      <c r="C690" s="113"/>
      <c r="D690" s="113"/>
      <c r="E690" s="113"/>
      <c r="F690" s="419"/>
      <c r="G690" s="419"/>
      <c r="H690" s="420">
        <f t="shared" si="2"/>
        <v>0</v>
      </c>
      <c r="I690" s="420" t="str">
        <f t="shared" si="3"/>
        <v/>
      </c>
      <c r="J690" s="113"/>
      <c r="K690" s="114"/>
      <c r="L690" s="15"/>
      <c r="M690" s="13"/>
      <c r="N690" s="15"/>
      <c r="O690" s="15"/>
      <c r="P690" s="15"/>
      <c r="Q690" s="15"/>
      <c r="R690" s="15"/>
    </row>
    <row r="691" ht="15.75" customHeight="1">
      <c r="A691" s="122"/>
      <c r="B691" s="112"/>
      <c r="C691" s="113"/>
      <c r="D691" s="113"/>
      <c r="E691" s="113"/>
      <c r="F691" s="419"/>
      <c r="G691" s="419"/>
      <c r="H691" s="420">
        <f t="shared" si="2"/>
        <v>0</v>
      </c>
      <c r="I691" s="420" t="str">
        <f t="shared" si="3"/>
        <v/>
      </c>
      <c r="J691" s="113"/>
      <c r="K691" s="114"/>
      <c r="L691" s="15"/>
      <c r="M691" s="13"/>
      <c r="N691" s="15"/>
      <c r="O691" s="15"/>
      <c r="P691" s="15"/>
      <c r="Q691" s="15"/>
      <c r="R691" s="15"/>
    </row>
    <row r="692" ht="15.75" customHeight="1">
      <c r="A692" s="122"/>
      <c r="B692" s="112"/>
      <c r="C692" s="113"/>
      <c r="D692" s="113"/>
      <c r="E692" s="113"/>
      <c r="F692" s="419"/>
      <c r="G692" s="419"/>
      <c r="H692" s="420">
        <f t="shared" si="2"/>
        <v>0</v>
      </c>
      <c r="I692" s="420" t="str">
        <f t="shared" si="3"/>
        <v/>
      </c>
      <c r="J692" s="113"/>
      <c r="K692" s="114"/>
      <c r="L692" s="15"/>
      <c r="M692" s="13"/>
      <c r="N692" s="15"/>
      <c r="O692" s="15"/>
      <c r="P692" s="15"/>
      <c r="Q692" s="15"/>
      <c r="R692" s="15"/>
    </row>
    <row r="693" ht="15.75" customHeight="1">
      <c r="A693" s="122"/>
      <c r="B693" s="112"/>
      <c r="C693" s="113"/>
      <c r="D693" s="113"/>
      <c r="E693" s="113"/>
      <c r="F693" s="419"/>
      <c r="G693" s="419"/>
      <c r="H693" s="420">
        <f t="shared" si="2"/>
        <v>0</v>
      </c>
      <c r="I693" s="420" t="str">
        <f t="shared" si="3"/>
        <v/>
      </c>
      <c r="J693" s="113"/>
      <c r="K693" s="114"/>
      <c r="L693" s="15"/>
      <c r="M693" s="13"/>
      <c r="N693" s="15"/>
      <c r="O693" s="15"/>
      <c r="P693" s="15"/>
      <c r="Q693" s="15"/>
      <c r="R693" s="15"/>
    </row>
    <row r="694" ht="15.75" customHeight="1">
      <c r="A694" s="122"/>
      <c r="B694" s="112"/>
      <c r="C694" s="113"/>
      <c r="D694" s="113"/>
      <c r="E694" s="113"/>
      <c r="F694" s="419"/>
      <c r="G694" s="419"/>
      <c r="H694" s="420">
        <f t="shared" si="2"/>
        <v>0</v>
      </c>
      <c r="I694" s="420" t="str">
        <f t="shared" si="3"/>
        <v/>
      </c>
      <c r="J694" s="113"/>
      <c r="K694" s="114"/>
      <c r="L694" s="15"/>
      <c r="M694" s="13"/>
      <c r="N694" s="15"/>
      <c r="O694" s="15"/>
      <c r="P694" s="15"/>
      <c r="Q694" s="15"/>
      <c r="R694" s="15"/>
    </row>
    <row r="695" ht="15.75" customHeight="1">
      <c r="A695" s="122"/>
      <c r="B695" s="112"/>
      <c r="C695" s="113"/>
      <c r="D695" s="113"/>
      <c r="E695" s="113"/>
      <c r="F695" s="419"/>
      <c r="G695" s="419"/>
      <c r="H695" s="420">
        <f t="shared" si="2"/>
        <v>0</v>
      </c>
      <c r="I695" s="420" t="str">
        <f t="shared" si="3"/>
        <v/>
      </c>
      <c r="J695" s="113"/>
      <c r="K695" s="114"/>
      <c r="L695" s="15"/>
      <c r="M695" s="13"/>
      <c r="N695" s="15"/>
      <c r="O695" s="15"/>
      <c r="P695" s="15"/>
      <c r="Q695" s="15"/>
      <c r="R695" s="15"/>
    </row>
    <row r="696" ht="15.75" customHeight="1">
      <c r="A696" s="122"/>
      <c r="B696" s="112"/>
      <c r="C696" s="113"/>
      <c r="D696" s="113"/>
      <c r="E696" s="113"/>
      <c r="F696" s="419"/>
      <c r="G696" s="419"/>
      <c r="H696" s="420">
        <f t="shared" si="2"/>
        <v>0</v>
      </c>
      <c r="I696" s="420" t="str">
        <f t="shared" si="3"/>
        <v/>
      </c>
      <c r="J696" s="113"/>
      <c r="K696" s="114"/>
      <c r="L696" s="15"/>
      <c r="M696" s="13"/>
      <c r="N696" s="15"/>
      <c r="O696" s="15"/>
      <c r="P696" s="15"/>
      <c r="Q696" s="15"/>
      <c r="R696" s="15"/>
    </row>
    <row r="697" ht="15.75" customHeight="1">
      <c r="A697" s="122"/>
      <c r="B697" s="112"/>
      <c r="C697" s="113"/>
      <c r="D697" s="113"/>
      <c r="E697" s="113"/>
      <c r="F697" s="419"/>
      <c r="G697" s="419"/>
      <c r="H697" s="420">
        <f t="shared" si="2"/>
        <v>0</v>
      </c>
      <c r="I697" s="420" t="str">
        <f t="shared" si="3"/>
        <v/>
      </c>
      <c r="J697" s="113"/>
      <c r="K697" s="114"/>
      <c r="L697" s="15"/>
      <c r="M697" s="13"/>
      <c r="N697" s="15"/>
      <c r="O697" s="15"/>
      <c r="P697" s="15"/>
      <c r="Q697" s="15"/>
      <c r="R697" s="15"/>
    </row>
    <row r="698" ht="15.75" customHeight="1">
      <c r="A698" s="122"/>
      <c r="B698" s="112"/>
      <c r="C698" s="113"/>
      <c r="D698" s="113"/>
      <c r="E698" s="113"/>
      <c r="F698" s="419"/>
      <c r="G698" s="419"/>
      <c r="H698" s="420">
        <f t="shared" si="2"/>
        <v>0</v>
      </c>
      <c r="I698" s="420" t="str">
        <f t="shared" si="3"/>
        <v/>
      </c>
      <c r="J698" s="113"/>
      <c r="K698" s="114"/>
      <c r="L698" s="15"/>
      <c r="M698" s="13"/>
      <c r="N698" s="15"/>
      <c r="O698" s="15"/>
      <c r="P698" s="15"/>
      <c r="Q698" s="15"/>
      <c r="R698" s="15"/>
    </row>
    <row r="699" ht="15.75" customHeight="1">
      <c r="A699" s="122"/>
      <c r="B699" s="112"/>
      <c r="C699" s="113"/>
      <c r="D699" s="113"/>
      <c r="E699" s="113"/>
      <c r="F699" s="419"/>
      <c r="G699" s="419"/>
      <c r="H699" s="420">
        <f t="shared" si="2"/>
        <v>0</v>
      </c>
      <c r="I699" s="420" t="str">
        <f t="shared" si="3"/>
        <v/>
      </c>
      <c r="J699" s="113"/>
      <c r="K699" s="114"/>
      <c r="L699" s="15"/>
      <c r="M699" s="13"/>
      <c r="N699" s="15"/>
      <c r="O699" s="15"/>
      <c r="P699" s="15"/>
      <c r="Q699" s="15"/>
      <c r="R699" s="15"/>
    </row>
    <row r="700" ht="15.75" customHeight="1">
      <c r="A700" s="122"/>
      <c r="B700" s="112"/>
      <c r="C700" s="113"/>
      <c r="D700" s="113"/>
      <c r="E700" s="113"/>
      <c r="F700" s="419"/>
      <c r="G700" s="419"/>
      <c r="H700" s="420">
        <f t="shared" si="2"/>
        <v>0</v>
      </c>
      <c r="I700" s="420" t="str">
        <f t="shared" si="3"/>
        <v/>
      </c>
      <c r="J700" s="113"/>
      <c r="K700" s="114"/>
      <c r="L700" s="15"/>
      <c r="M700" s="13"/>
      <c r="N700" s="15"/>
      <c r="O700" s="15"/>
      <c r="P700" s="15"/>
      <c r="Q700" s="15"/>
      <c r="R700" s="15"/>
    </row>
    <row r="701" ht="15.75" customHeight="1">
      <c r="A701" s="122"/>
      <c r="B701" s="112"/>
      <c r="C701" s="113"/>
      <c r="D701" s="113"/>
      <c r="E701" s="113"/>
      <c r="F701" s="419"/>
      <c r="G701" s="419"/>
      <c r="H701" s="420">
        <f t="shared" si="2"/>
        <v>0</v>
      </c>
      <c r="I701" s="420" t="str">
        <f t="shared" si="3"/>
        <v/>
      </c>
      <c r="J701" s="113"/>
      <c r="K701" s="114"/>
      <c r="L701" s="15"/>
      <c r="M701" s="13"/>
      <c r="N701" s="15"/>
      <c r="O701" s="15"/>
      <c r="P701" s="15"/>
      <c r="Q701" s="15"/>
      <c r="R701" s="15"/>
    </row>
    <row r="702" ht="15.75" customHeight="1">
      <c r="A702" s="122"/>
      <c r="B702" s="112"/>
      <c r="C702" s="113"/>
      <c r="D702" s="113"/>
      <c r="E702" s="113"/>
      <c r="F702" s="419"/>
      <c r="G702" s="419"/>
      <c r="H702" s="420">
        <f t="shared" si="2"/>
        <v>0</v>
      </c>
      <c r="I702" s="420" t="str">
        <f t="shared" si="3"/>
        <v/>
      </c>
      <c r="J702" s="113"/>
      <c r="K702" s="114"/>
      <c r="L702" s="15"/>
      <c r="M702" s="13"/>
      <c r="N702" s="15"/>
      <c r="O702" s="15"/>
      <c r="P702" s="15"/>
      <c r="Q702" s="15"/>
      <c r="R702" s="15"/>
    </row>
    <row r="703" ht="15.75" customHeight="1">
      <c r="A703" s="122"/>
      <c r="B703" s="112"/>
      <c r="C703" s="113"/>
      <c r="D703" s="113"/>
      <c r="E703" s="113"/>
      <c r="F703" s="419"/>
      <c r="G703" s="419"/>
      <c r="H703" s="420">
        <f t="shared" si="2"/>
        <v>0</v>
      </c>
      <c r="I703" s="420" t="str">
        <f t="shared" si="3"/>
        <v/>
      </c>
      <c r="J703" s="113"/>
      <c r="K703" s="114"/>
      <c r="L703" s="15"/>
      <c r="M703" s="13"/>
      <c r="N703" s="15"/>
      <c r="O703" s="15"/>
      <c r="P703" s="15"/>
      <c r="Q703" s="15"/>
      <c r="R703" s="15"/>
    </row>
    <row r="704" ht="15.75" customHeight="1">
      <c r="A704" s="122"/>
      <c r="B704" s="112"/>
      <c r="C704" s="113"/>
      <c r="D704" s="113"/>
      <c r="E704" s="113"/>
      <c r="F704" s="419"/>
      <c r="G704" s="419"/>
      <c r="H704" s="420">
        <f t="shared" si="2"/>
        <v>0</v>
      </c>
      <c r="I704" s="420" t="str">
        <f t="shared" si="3"/>
        <v/>
      </c>
      <c r="J704" s="113"/>
      <c r="K704" s="114"/>
      <c r="L704" s="15"/>
      <c r="M704" s="13"/>
      <c r="N704" s="15"/>
      <c r="O704" s="15"/>
      <c r="P704" s="15"/>
      <c r="Q704" s="15"/>
      <c r="R704" s="15"/>
    </row>
    <row r="705" ht="15.75" customHeight="1">
      <c r="A705" s="122"/>
      <c r="B705" s="112"/>
      <c r="C705" s="113"/>
      <c r="D705" s="113"/>
      <c r="E705" s="113"/>
      <c r="F705" s="419"/>
      <c r="G705" s="419"/>
      <c r="H705" s="420">
        <f t="shared" si="2"/>
        <v>0</v>
      </c>
      <c r="I705" s="420" t="str">
        <f t="shared" si="3"/>
        <v/>
      </c>
      <c r="J705" s="113"/>
      <c r="K705" s="114"/>
      <c r="L705" s="15"/>
      <c r="M705" s="13"/>
      <c r="N705" s="15"/>
      <c r="O705" s="15"/>
      <c r="P705" s="15"/>
      <c r="Q705" s="15"/>
      <c r="R705" s="15"/>
    </row>
    <row r="706" ht="15.75" customHeight="1">
      <c r="A706" s="122"/>
      <c r="B706" s="112"/>
      <c r="C706" s="113"/>
      <c r="D706" s="113"/>
      <c r="E706" s="113"/>
      <c r="F706" s="419"/>
      <c r="G706" s="419"/>
      <c r="H706" s="420">
        <f t="shared" si="2"/>
        <v>0</v>
      </c>
      <c r="I706" s="420" t="str">
        <f t="shared" si="3"/>
        <v/>
      </c>
      <c r="J706" s="113"/>
      <c r="K706" s="114"/>
      <c r="L706" s="15"/>
      <c r="M706" s="13"/>
      <c r="N706" s="15"/>
      <c r="O706" s="15"/>
      <c r="P706" s="15"/>
      <c r="Q706" s="15"/>
      <c r="R706" s="15"/>
    </row>
    <row r="707" ht="15.75" customHeight="1">
      <c r="A707" s="122"/>
      <c r="B707" s="112"/>
      <c r="C707" s="113"/>
      <c r="D707" s="113"/>
      <c r="E707" s="113"/>
      <c r="F707" s="419"/>
      <c r="G707" s="419"/>
      <c r="H707" s="420">
        <f t="shared" si="2"/>
        <v>0</v>
      </c>
      <c r="I707" s="420" t="str">
        <f t="shared" si="3"/>
        <v/>
      </c>
      <c r="J707" s="113"/>
      <c r="K707" s="114"/>
      <c r="L707" s="15"/>
      <c r="M707" s="13"/>
      <c r="N707" s="15"/>
      <c r="O707" s="15"/>
      <c r="P707" s="15"/>
      <c r="Q707" s="15"/>
      <c r="R707" s="15"/>
    </row>
    <row r="708" ht="15.75" customHeight="1">
      <c r="A708" s="122"/>
      <c r="B708" s="112"/>
      <c r="C708" s="113"/>
      <c r="D708" s="113"/>
      <c r="E708" s="113"/>
      <c r="F708" s="419"/>
      <c r="G708" s="419"/>
      <c r="H708" s="420">
        <f t="shared" si="2"/>
        <v>0</v>
      </c>
      <c r="I708" s="420" t="str">
        <f t="shared" si="3"/>
        <v/>
      </c>
      <c r="J708" s="113"/>
      <c r="K708" s="114"/>
      <c r="L708" s="15"/>
      <c r="M708" s="13"/>
      <c r="N708" s="15"/>
      <c r="O708" s="15"/>
      <c r="P708" s="15"/>
      <c r="Q708" s="15"/>
      <c r="R708" s="15"/>
    </row>
    <row r="709" ht="15.75" customHeight="1">
      <c r="A709" s="122"/>
      <c r="B709" s="112"/>
      <c r="C709" s="113"/>
      <c r="D709" s="113"/>
      <c r="E709" s="113"/>
      <c r="F709" s="419"/>
      <c r="G709" s="419"/>
      <c r="H709" s="420">
        <f t="shared" si="2"/>
        <v>0</v>
      </c>
      <c r="I709" s="420" t="str">
        <f t="shared" si="3"/>
        <v/>
      </c>
      <c r="J709" s="113"/>
      <c r="K709" s="114"/>
      <c r="L709" s="15"/>
      <c r="M709" s="13"/>
      <c r="N709" s="15"/>
      <c r="O709" s="15"/>
      <c r="P709" s="15"/>
      <c r="Q709" s="15"/>
      <c r="R709" s="15"/>
    </row>
    <row r="710" ht="15.75" customHeight="1">
      <c r="A710" s="122"/>
      <c r="B710" s="112"/>
      <c r="C710" s="113"/>
      <c r="D710" s="113"/>
      <c r="E710" s="113"/>
      <c r="F710" s="419"/>
      <c r="G710" s="419"/>
      <c r="H710" s="420">
        <f t="shared" si="2"/>
        <v>0</v>
      </c>
      <c r="I710" s="420" t="str">
        <f t="shared" si="3"/>
        <v/>
      </c>
      <c r="J710" s="113"/>
      <c r="K710" s="114"/>
      <c r="L710" s="15"/>
      <c r="M710" s="13"/>
      <c r="N710" s="15"/>
      <c r="O710" s="15"/>
      <c r="P710" s="15"/>
      <c r="Q710" s="15"/>
      <c r="R710" s="15"/>
    </row>
    <row r="711" ht="15.75" customHeight="1">
      <c r="A711" s="122"/>
      <c r="B711" s="112"/>
      <c r="C711" s="113"/>
      <c r="D711" s="113"/>
      <c r="E711" s="113"/>
      <c r="F711" s="419"/>
      <c r="G711" s="419"/>
      <c r="H711" s="420">
        <f t="shared" si="2"/>
        <v>0</v>
      </c>
      <c r="I711" s="420" t="str">
        <f t="shared" si="3"/>
        <v/>
      </c>
      <c r="J711" s="113"/>
      <c r="K711" s="114"/>
      <c r="L711" s="15"/>
      <c r="M711" s="13"/>
      <c r="N711" s="15"/>
      <c r="O711" s="15"/>
      <c r="P711" s="15"/>
      <c r="Q711" s="15"/>
      <c r="R711" s="15"/>
    </row>
    <row r="712" ht="15.75" customHeight="1">
      <c r="A712" s="122"/>
      <c r="B712" s="112"/>
      <c r="C712" s="113"/>
      <c r="D712" s="113"/>
      <c r="E712" s="113"/>
      <c r="F712" s="419"/>
      <c r="G712" s="419"/>
      <c r="H712" s="420">
        <f t="shared" si="2"/>
        <v>0</v>
      </c>
      <c r="I712" s="420" t="str">
        <f t="shared" si="3"/>
        <v/>
      </c>
      <c r="J712" s="113"/>
      <c r="K712" s="114"/>
      <c r="L712" s="15"/>
      <c r="M712" s="13"/>
      <c r="N712" s="15"/>
      <c r="O712" s="15"/>
      <c r="P712" s="15"/>
      <c r="Q712" s="15"/>
      <c r="R712" s="15"/>
    </row>
    <row r="713" ht="15.75" customHeight="1">
      <c r="A713" s="122"/>
      <c r="B713" s="112"/>
      <c r="C713" s="113"/>
      <c r="D713" s="113"/>
      <c r="E713" s="113"/>
      <c r="F713" s="419"/>
      <c r="G713" s="419"/>
      <c r="H713" s="420">
        <f t="shared" si="2"/>
        <v>0</v>
      </c>
      <c r="I713" s="420" t="str">
        <f t="shared" si="3"/>
        <v/>
      </c>
      <c r="J713" s="113"/>
      <c r="K713" s="114"/>
      <c r="L713" s="15"/>
      <c r="M713" s="13"/>
      <c r="N713" s="15"/>
      <c r="O713" s="15"/>
      <c r="P713" s="15"/>
      <c r="Q713" s="15"/>
      <c r="R713" s="15"/>
    </row>
    <row r="714" ht="15.75" customHeight="1">
      <c r="A714" s="122"/>
      <c r="B714" s="112"/>
      <c r="C714" s="113"/>
      <c r="D714" s="113"/>
      <c r="E714" s="113"/>
      <c r="F714" s="419"/>
      <c r="G714" s="419"/>
      <c r="H714" s="420">
        <f t="shared" si="2"/>
        <v>0</v>
      </c>
      <c r="I714" s="420" t="str">
        <f t="shared" si="3"/>
        <v/>
      </c>
      <c r="J714" s="113"/>
      <c r="K714" s="114"/>
      <c r="L714" s="15"/>
      <c r="M714" s="13"/>
      <c r="N714" s="15"/>
      <c r="O714" s="15"/>
      <c r="P714" s="15"/>
      <c r="Q714" s="15"/>
      <c r="R714" s="15"/>
    </row>
    <row r="715" ht="15.75" customHeight="1">
      <c r="A715" s="122"/>
      <c r="B715" s="112"/>
      <c r="C715" s="113"/>
      <c r="D715" s="113"/>
      <c r="E715" s="113"/>
      <c r="F715" s="419"/>
      <c r="G715" s="419"/>
      <c r="H715" s="420">
        <f t="shared" si="2"/>
        <v>0</v>
      </c>
      <c r="I715" s="420" t="str">
        <f t="shared" si="3"/>
        <v/>
      </c>
      <c r="J715" s="113"/>
      <c r="K715" s="114"/>
      <c r="L715" s="15"/>
      <c r="M715" s="13"/>
      <c r="N715" s="15"/>
      <c r="O715" s="15"/>
      <c r="P715" s="15"/>
      <c r="Q715" s="15"/>
      <c r="R715" s="15"/>
    </row>
    <row r="716" ht="15.75" customHeight="1">
      <c r="A716" s="122"/>
      <c r="B716" s="112"/>
      <c r="C716" s="113"/>
      <c r="D716" s="113"/>
      <c r="E716" s="113"/>
      <c r="F716" s="419"/>
      <c r="G716" s="419"/>
      <c r="H716" s="420">
        <f t="shared" si="2"/>
        <v>0</v>
      </c>
      <c r="I716" s="420" t="str">
        <f t="shared" si="3"/>
        <v/>
      </c>
      <c r="J716" s="113"/>
      <c r="K716" s="114"/>
      <c r="L716" s="15"/>
      <c r="M716" s="13"/>
      <c r="N716" s="15"/>
      <c r="O716" s="15"/>
      <c r="P716" s="15"/>
      <c r="Q716" s="15"/>
      <c r="R716" s="15"/>
    </row>
    <row r="717" ht="15.75" customHeight="1">
      <c r="A717" s="122"/>
      <c r="B717" s="112"/>
      <c r="C717" s="113"/>
      <c r="D717" s="113"/>
      <c r="E717" s="113"/>
      <c r="F717" s="419"/>
      <c r="G717" s="419"/>
      <c r="H717" s="420">
        <f t="shared" si="2"/>
        <v>0</v>
      </c>
      <c r="I717" s="420" t="str">
        <f t="shared" si="3"/>
        <v/>
      </c>
      <c r="J717" s="113"/>
      <c r="K717" s="114"/>
      <c r="L717" s="15"/>
      <c r="M717" s="13"/>
      <c r="N717" s="15"/>
      <c r="O717" s="15"/>
      <c r="P717" s="15"/>
      <c r="Q717" s="15"/>
      <c r="R717" s="15"/>
    </row>
    <row r="718" ht="15.75" customHeight="1">
      <c r="A718" s="122"/>
      <c r="B718" s="112"/>
      <c r="C718" s="113"/>
      <c r="D718" s="113"/>
      <c r="E718" s="113"/>
      <c r="F718" s="419"/>
      <c r="G718" s="419"/>
      <c r="H718" s="420">
        <f t="shared" si="2"/>
        <v>0</v>
      </c>
      <c r="I718" s="420" t="str">
        <f t="shared" si="3"/>
        <v/>
      </c>
      <c r="J718" s="113"/>
      <c r="K718" s="114"/>
      <c r="L718" s="15"/>
      <c r="M718" s="13"/>
      <c r="N718" s="15"/>
      <c r="O718" s="15"/>
      <c r="P718" s="15"/>
      <c r="Q718" s="15"/>
      <c r="R718" s="15"/>
    </row>
    <row r="719" ht="15.75" customHeight="1">
      <c r="A719" s="122"/>
      <c r="B719" s="112"/>
      <c r="C719" s="113"/>
      <c r="D719" s="113"/>
      <c r="E719" s="113"/>
      <c r="F719" s="419"/>
      <c r="G719" s="419"/>
      <c r="H719" s="420">
        <f t="shared" si="2"/>
        <v>0</v>
      </c>
      <c r="I719" s="420" t="str">
        <f t="shared" si="3"/>
        <v/>
      </c>
      <c r="J719" s="113"/>
      <c r="K719" s="114"/>
      <c r="L719" s="15"/>
      <c r="M719" s="13"/>
      <c r="N719" s="15"/>
      <c r="O719" s="15"/>
      <c r="P719" s="15"/>
      <c r="Q719" s="15"/>
      <c r="R719" s="15"/>
    </row>
    <row r="720" ht="15.75" customHeight="1">
      <c r="A720" s="122"/>
      <c r="B720" s="112"/>
      <c r="C720" s="113"/>
      <c r="D720" s="113"/>
      <c r="E720" s="113"/>
      <c r="F720" s="419"/>
      <c r="G720" s="419"/>
      <c r="H720" s="420">
        <f t="shared" si="2"/>
        <v>0</v>
      </c>
      <c r="I720" s="420" t="str">
        <f t="shared" si="3"/>
        <v/>
      </c>
      <c r="J720" s="113"/>
      <c r="K720" s="114"/>
      <c r="L720" s="15"/>
      <c r="M720" s="13"/>
      <c r="N720" s="15"/>
      <c r="O720" s="15"/>
      <c r="P720" s="15"/>
      <c r="Q720" s="15"/>
      <c r="R720" s="15"/>
    </row>
    <row r="721" ht="15.75" customHeight="1">
      <c r="A721" s="122"/>
      <c r="B721" s="112"/>
      <c r="C721" s="113"/>
      <c r="D721" s="113"/>
      <c r="E721" s="113"/>
      <c r="F721" s="419"/>
      <c r="G721" s="419"/>
      <c r="H721" s="420">
        <f t="shared" si="2"/>
        <v>0</v>
      </c>
      <c r="I721" s="420" t="str">
        <f t="shared" si="3"/>
        <v/>
      </c>
      <c r="J721" s="113"/>
      <c r="K721" s="114"/>
      <c r="L721" s="15"/>
      <c r="M721" s="13"/>
      <c r="N721" s="15"/>
      <c r="O721" s="15"/>
      <c r="P721" s="15"/>
      <c r="Q721" s="15"/>
      <c r="R721" s="15"/>
    </row>
    <row r="722" ht="15.75" customHeight="1">
      <c r="A722" s="122"/>
      <c r="B722" s="112"/>
      <c r="C722" s="113"/>
      <c r="D722" s="113"/>
      <c r="E722" s="113"/>
      <c r="F722" s="419"/>
      <c r="G722" s="419"/>
      <c r="H722" s="420">
        <f t="shared" si="2"/>
        <v>0</v>
      </c>
      <c r="I722" s="420" t="str">
        <f t="shared" si="3"/>
        <v/>
      </c>
      <c r="J722" s="113"/>
      <c r="K722" s="114"/>
      <c r="L722" s="15"/>
      <c r="M722" s="13"/>
      <c r="N722" s="15"/>
      <c r="O722" s="15"/>
      <c r="P722" s="15"/>
      <c r="Q722" s="15"/>
      <c r="R722" s="15"/>
    </row>
    <row r="723" ht="15.75" customHeight="1">
      <c r="A723" s="122"/>
      <c r="B723" s="112"/>
      <c r="C723" s="113"/>
      <c r="D723" s="113"/>
      <c r="E723" s="113"/>
      <c r="F723" s="419"/>
      <c r="G723" s="419"/>
      <c r="H723" s="420">
        <f t="shared" si="2"/>
        <v>0</v>
      </c>
      <c r="I723" s="420" t="str">
        <f t="shared" si="3"/>
        <v/>
      </c>
      <c r="J723" s="113"/>
      <c r="K723" s="114"/>
      <c r="L723" s="15"/>
      <c r="M723" s="13"/>
      <c r="N723" s="15"/>
      <c r="O723" s="15"/>
      <c r="P723" s="15"/>
      <c r="Q723" s="15"/>
      <c r="R723" s="15"/>
    </row>
    <row r="724" ht="15.75" customHeight="1">
      <c r="A724" s="122"/>
      <c r="B724" s="112"/>
      <c r="C724" s="113"/>
      <c r="D724" s="113"/>
      <c r="E724" s="113"/>
      <c r="F724" s="419"/>
      <c r="G724" s="419"/>
      <c r="H724" s="420">
        <f t="shared" si="2"/>
        <v>0</v>
      </c>
      <c r="I724" s="420" t="str">
        <f t="shared" si="3"/>
        <v/>
      </c>
      <c r="J724" s="113"/>
      <c r="K724" s="114"/>
      <c r="L724" s="15"/>
      <c r="M724" s="13"/>
      <c r="N724" s="15"/>
      <c r="O724" s="15"/>
      <c r="P724" s="15"/>
      <c r="Q724" s="15"/>
      <c r="R724" s="15"/>
    </row>
    <row r="725" ht="15.75" customHeight="1">
      <c r="A725" s="122"/>
      <c r="B725" s="112"/>
      <c r="C725" s="113"/>
      <c r="D725" s="113"/>
      <c r="E725" s="113"/>
      <c r="F725" s="419"/>
      <c r="G725" s="419"/>
      <c r="H725" s="420">
        <f t="shared" si="2"/>
        <v>0</v>
      </c>
      <c r="I725" s="420" t="str">
        <f t="shared" si="3"/>
        <v/>
      </c>
      <c r="J725" s="113"/>
      <c r="K725" s="114"/>
      <c r="L725" s="15"/>
      <c r="M725" s="13"/>
      <c r="N725" s="15"/>
      <c r="O725" s="15"/>
      <c r="P725" s="15"/>
      <c r="Q725" s="15"/>
      <c r="R725" s="15"/>
    </row>
    <row r="726" ht="15.75" customHeight="1">
      <c r="A726" s="122"/>
      <c r="B726" s="112"/>
      <c r="C726" s="113"/>
      <c r="D726" s="113"/>
      <c r="E726" s="113"/>
      <c r="F726" s="419"/>
      <c r="G726" s="419"/>
      <c r="H726" s="420">
        <f t="shared" si="2"/>
        <v>0</v>
      </c>
      <c r="I726" s="420" t="str">
        <f t="shared" si="3"/>
        <v/>
      </c>
      <c r="J726" s="113"/>
      <c r="K726" s="114"/>
      <c r="L726" s="15"/>
      <c r="M726" s="13"/>
      <c r="N726" s="15"/>
      <c r="O726" s="15"/>
      <c r="P726" s="15"/>
      <c r="Q726" s="15"/>
      <c r="R726" s="15"/>
    </row>
    <row r="727" ht="15.75" customHeight="1">
      <c r="A727" s="122"/>
      <c r="B727" s="112"/>
      <c r="C727" s="113"/>
      <c r="D727" s="113"/>
      <c r="E727" s="113"/>
      <c r="F727" s="419"/>
      <c r="G727" s="419"/>
      <c r="H727" s="420">
        <f t="shared" si="2"/>
        <v>0</v>
      </c>
      <c r="I727" s="420" t="str">
        <f t="shared" si="3"/>
        <v/>
      </c>
      <c r="J727" s="113"/>
      <c r="K727" s="114"/>
      <c r="L727" s="15"/>
      <c r="M727" s="13"/>
      <c r="N727" s="15"/>
      <c r="O727" s="15"/>
      <c r="P727" s="15"/>
      <c r="Q727" s="15"/>
      <c r="R727" s="15"/>
    </row>
    <row r="728" ht="15.75" customHeight="1">
      <c r="A728" s="122"/>
      <c r="B728" s="112"/>
      <c r="C728" s="113"/>
      <c r="D728" s="113"/>
      <c r="E728" s="113"/>
      <c r="F728" s="419"/>
      <c r="G728" s="419"/>
      <c r="H728" s="420">
        <f t="shared" si="2"/>
        <v>0</v>
      </c>
      <c r="I728" s="420" t="str">
        <f t="shared" si="3"/>
        <v/>
      </c>
      <c r="J728" s="113"/>
      <c r="K728" s="114"/>
      <c r="L728" s="15"/>
      <c r="M728" s="13"/>
      <c r="N728" s="15"/>
      <c r="O728" s="15"/>
      <c r="P728" s="15"/>
      <c r="Q728" s="15"/>
      <c r="R728" s="15"/>
    </row>
    <row r="729" ht="15.75" customHeight="1">
      <c r="A729" s="122"/>
      <c r="B729" s="112"/>
      <c r="C729" s="113"/>
      <c r="D729" s="113"/>
      <c r="E729" s="113"/>
      <c r="F729" s="419"/>
      <c r="G729" s="419"/>
      <c r="H729" s="420">
        <f t="shared" si="2"/>
        <v>0</v>
      </c>
      <c r="I729" s="420" t="str">
        <f t="shared" si="3"/>
        <v/>
      </c>
      <c r="J729" s="113"/>
      <c r="K729" s="114"/>
      <c r="L729" s="15"/>
      <c r="M729" s="13"/>
      <c r="N729" s="15"/>
      <c r="O729" s="15"/>
      <c r="P729" s="15"/>
      <c r="Q729" s="15"/>
      <c r="R729" s="15"/>
    </row>
    <row r="730" ht="15.75" customHeight="1">
      <c r="A730" s="122"/>
      <c r="B730" s="112"/>
      <c r="C730" s="113"/>
      <c r="D730" s="113"/>
      <c r="E730" s="113"/>
      <c r="F730" s="419"/>
      <c r="G730" s="419"/>
      <c r="H730" s="420">
        <f t="shared" si="2"/>
        <v>0</v>
      </c>
      <c r="I730" s="420" t="str">
        <f t="shared" si="3"/>
        <v/>
      </c>
      <c r="J730" s="113"/>
      <c r="K730" s="114"/>
      <c r="L730" s="15"/>
      <c r="M730" s="13"/>
      <c r="N730" s="15"/>
      <c r="O730" s="15"/>
      <c r="P730" s="15"/>
      <c r="Q730" s="15"/>
      <c r="R730" s="15"/>
    </row>
    <row r="731" ht="15.75" customHeight="1">
      <c r="A731" s="122"/>
      <c r="B731" s="112"/>
      <c r="C731" s="113"/>
      <c r="D731" s="113"/>
      <c r="E731" s="113"/>
      <c r="F731" s="419"/>
      <c r="G731" s="419"/>
      <c r="H731" s="420">
        <f t="shared" si="2"/>
        <v>0</v>
      </c>
      <c r="I731" s="420" t="str">
        <f t="shared" si="3"/>
        <v/>
      </c>
      <c r="J731" s="113"/>
      <c r="K731" s="114"/>
      <c r="L731" s="15"/>
      <c r="M731" s="13"/>
      <c r="N731" s="15"/>
      <c r="O731" s="15"/>
      <c r="P731" s="15"/>
      <c r="Q731" s="15"/>
      <c r="R731" s="15"/>
    </row>
    <row r="732" ht="15.75" customHeight="1">
      <c r="A732" s="122"/>
      <c r="B732" s="112"/>
      <c r="C732" s="113"/>
      <c r="D732" s="113"/>
      <c r="E732" s="113"/>
      <c r="F732" s="419"/>
      <c r="G732" s="419"/>
      <c r="H732" s="420">
        <f t="shared" si="2"/>
        <v>0</v>
      </c>
      <c r="I732" s="420" t="str">
        <f t="shared" si="3"/>
        <v/>
      </c>
      <c r="J732" s="113"/>
      <c r="K732" s="114"/>
      <c r="L732" s="15"/>
      <c r="M732" s="13"/>
      <c r="N732" s="15"/>
      <c r="O732" s="15"/>
      <c r="P732" s="15"/>
      <c r="Q732" s="15"/>
      <c r="R732" s="15"/>
    </row>
    <row r="733" ht="15.75" customHeight="1">
      <c r="A733" s="122"/>
      <c r="B733" s="112"/>
      <c r="C733" s="113"/>
      <c r="D733" s="113"/>
      <c r="E733" s="113"/>
      <c r="F733" s="419"/>
      <c r="G733" s="419"/>
      <c r="H733" s="420">
        <f t="shared" si="2"/>
        <v>0</v>
      </c>
      <c r="I733" s="420" t="str">
        <f t="shared" si="3"/>
        <v/>
      </c>
      <c r="J733" s="113"/>
      <c r="K733" s="114"/>
      <c r="L733" s="15"/>
      <c r="M733" s="13"/>
      <c r="N733" s="15"/>
      <c r="O733" s="15"/>
      <c r="P733" s="15"/>
      <c r="Q733" s="15"/>
      <c r="R733" s="15"/>
    </row>
    <row r="734" ht="15.75" customHeight="1">
      <c r="A734" s="122"/>
      <c r="B734" s="112"/>
      <c r="C734" s="113"/>
      <c r="D734" s="113"/>
      <c r="E734" s="113"/>
      <c r="F734" s="419"/>
      <c r="G734" s="419"/>
      <c r="H734" s="420">
        <f t="shared" si="2"/>
        <v>0</v>
      </c>
      <c r="I734" s="420" t="str">
        <f t="shared" si="3"/>
        <v/>
      </c>
      <c r="J734" s="113"/>
      <c r="K734" s="114"/>
      <c r="L734" s="15"/>
      <c r="M734" s="13"/>
      <c r="N734" s="15"/>
      <c r="O734" s="15"/>
      <c r="P734" s="15"/>
      <c r="Q734" s="15"/>
      <c r="R734" s="15"/>
    </row>
    <row r="735" ht="15.75" customHeight="1">
      <c r="A735" s="122"/>
      <c r="B735" s="112"/>
      <c r="C735" s="113"/>
      <c r="D735" s="113"/>
      <c r="E735" s="113"/>
      <c r="F735" s="419"/>
      <c r="G735" s="419"/>
      <c r="H735" s="420">
        <f t="shared" si="2"/>
        <v>0</v>
      </c>
      <c r="I735" s="420" t="str">
        <f t="shared" si="3"/>
        <v/>
      </c>
      <c r="J735" s="113"/>
      <c r="K735" s="114"/>
      <c r="L735" s="15"/>
      <c r="M735" s="13"/>
      <c r="N735" s="15"/>
      <c r="O735" s="15"/>
      <c r="P735" s="15"/>
      <c r="Q735" s="15"/>
      <c r="R735" s="15"/>
    </row>
    <row r="736" ht="15.75" customHeight="1">
      <c r="A736" s="122"/>
      <c r="B736" s="112"/>
      <c r="C736" s="113"/>
      <c r="D736" s="113"/>
      <c r="E736" s="113"/>
      <c r="F736" s="419"/>
      <c r="G736" s="419"/>
      <c r="H736" s="420">
        <f t="shared" si="2"/>
        <v>0</v>
      </c>
      <c r="I736" s="420" t="str">
        <f t="shared" si="3"/>
        <v/>
      </c>
      <c r="J736" s="113"/>
      <c r="K736" s="114"/>
      <c r="L736" s="15"/>
      <c r="M736" s="13"/>
      <c r="N736" s="15"/>
      <c r="O736" s="15"/>
      <c r="P736" s="15"/>
      <c r="Q736" s="15"/>
      <c r="R736" s="15"/>
    </row>
    <row r="737" ht="15.75" customHeight="1">
      <c r="A737" s="122"/>
      <c r="B737" s="112"/>
      <c r="C737" s="113"/>
      <c r="D737" s="113"/>
      <c r="E737" s="113"/>
      <c r="F737" s="419"/>
      <c r="G737" s="419"/>
      <c r="H737" s="420">
        <f t="shared" si="2"/>
        <v>0</v>
      </c>
      <c r="I737" s="420" t="str">
        <f t="shared" si="3"/>
        <v/>
      </c>
      <c r="J737" s="113"/>
      <c r="K737" s="114"/>
      <c r="L737" s="15"/>
      <c r="M737" s="13"/>
      <c r="N737" s="15"/>
      <c r="O737" s="15"/>
      <c r="P737" s="15"/>
      <c r="Q737" s="15"/>
      <c r="R737" s="15"/>
    </row>
    <row r="738" ht="15.75" customHeight="1">
      <c r="A738" s="122"/>
      <c r="B738" s="112"/>
      <c r="C738" s="113"/>
      <c r="D738" s="113"/>
      <c r="E738" s="113"/>
      <c r="F738" s="419"/>
      <c r="G738" s="419"/>
      <c r="H738" s="420">
        <f t="shared" si="2"/>
        <v>0</v>
      </c>
      <c r="I738" s="420" t="str">
        <f t="shared" si="3"/>
        <v/>
      </c>
      <c r="J738" s="113"/>
      <c r="K738" s="114"/>
      <c r="L738" s="15"/>
      <c r="M738" s="13"/>
      <c r="N738" s="15"/>
      <c r="O738" s="15"/>
      <c r="P738" s="15"/>
      <c r="Q738" s="15"/>
      <c r="R738" s="15"/>
    </row>
    <row r="739" ht="15.75" customHeight="1">
      <c r="A739" s="122"/>
      <c r="B739" s="112"/>
      <c r="C739" s="113"/>
      <c r="D739" s="113"/>
      <c r="E739" s="113"/>
      <c r="F739" s="419"/>
      <c r="G739" s="419"/>
      <c r="H739" s="420">
        <f t="shared" si="2"/>
        <v>0</v>
      </c>
      <c r="I739" s="420" t="str">
        <f t="shared" si="3"/>
        <v/>
      </c>
      <c r="J739" s="113"/>
      <c r="K739" s="114"/>
      <c r="L739" s="15"/>
      <c r="M739" s="13"/>
      <c r="N739" s="15"/>
      <c r="O739" s="15"/>
      <c r="P739" s="15"/>
      <c r="Q739" s="15"/>
      <c r="R739" s="15"/>
    </row>
    <row r="740" ht="15.75" customHeight="1">
      <c r="A740" s="122"/>
      <c r="B740" s="112"/>
      <c r="C740" s="113"/>
      <c r="D740" s="113"/>
      <c r="E740" s="113"/>
      <c r="F740" s="419"/>
      <c r="G740" s="419"/>
      <c r="H740" s="420">
        <f t="shared" si="2"/>
        <v>0</v>
      </c>
      <c r="I740" s="420" t="str">
        <f t="shared" si="3"/>
        <v/>
      </c>
      <c r="J740" s="113"/>
      <c r="K740" s="114"/>
      <c r="L740" s="15"/>
      <c r="M740" s="13"/>
      <c r="N740" s="15"/>
      <c r="O740" s="15"/>
      <c r="P740" s="15"/>
      <c r="Q740" s="15"/>
      <c r="R740" s="15"/>
    </row>
    <row r="741" ht="15.75" customHeight="1">
      <c r="A741" s="122"/>
      <c r="B741" s="112"/>
      <c r="C741" s="113"/>
      <c r="D741" s="113"/>
      <c r="E741" s="113"/>
      <c r="F741" s="419"/>
      <c r="G741" s="419"/>
      <c r="H741" s="420">
        <f t="shared" si="2"/>
        <v>0</v>
      </c>
      <c r="I741" s="420" t="str">
        <f t="shared" si="3"/>
        <v/>
      </c>
      <c r="J741" s="113"/>
      <c r="K741" s="114"/>
      <c r="L741" s="15"/>
      <c r="M741" s="13"/>
      <c r="N741" s="15"/>
      <c r="O741" s="15"/>
      <c r="P741" s="15"/>
      <c r="Q741" s="15"/>
      <c r="R741" s="15"/>
    </row>
    <row r="742" ht="15.75" customHeight="1">
      <c r="A742" s="122"/>
      <c r="B742" s="112"/>
      <c r="C742" s="113"/>
      <c r="D742" s="113"/>
      <c r="E742" s="113"/>
      <c r="F742" s="419"/>
      <c r="G742" s="419"/>
      <c r="H742" s="420">
        <f t="shared" si="2"/>
        <v>0</v>
      </c>
      <c r="I742" s="420" t="str">
        <f t="shared" si="3"/>
        <v/>
      </c>
      <c r="J742" s="113"/>
      <c r="K742" s="114"/>
      <c r="L742" s="15"/>
      <c r="M742" s="13"/>
      <c r="N742" s="15"/>
      <c r="O742" s="15"/>
      <c r="P742" s="15"/>
      <c r="Q742" s="15"/>
      <c r="R742" s="15"/>
    </row>
    <row r="743" ht="15.75" customHeight="1">
      <c r="A743" s="122"/>
      <c r="B743" s="112"/>
      <c r="C743" s="113"/>
      <c r="D743" s="113"/>
      <c r="E743" s="113"/>
      <c r="F743" s="419"/>
      <c r="G743" s="419"/>
      <c r="H743" s="420">
        <f t="shared" si="2"/>
        <v>0</v>
      </c>
      <c r="I743" s="420" t="str">
        <f t="shared" si="3"/>
        <v/>
      </c>
      <c r="J743" s="113"/>
      <c r="K743" s="114"/>
      <c r="L743" s="15"/>
      <c r="M743" s="13"/>
      <c r="N743" s="15"/>
      <c r="O743" s="15"/>
      <c r="P743" s="15"/>
      <c r="Q743" s="15"/>
      <c r="R743" s="15"/>
    </row>
    <row r="744" ht="15.75" customHeight="1">
      <c r="A744" s="122"/>
      <c r="B744" s="112"/>
      <c r="C744" s="113"/>
      <c r="D744" s="113"/>
      <c r="E744" s="113"/>
      <c r="F744" s="419"/>
      <c r="G744" s="419"/>
      <c r="H744" s="420">
        <f t="shared" si="2"/>
        <v>0</v>
      </c>
      <c r="I744" s="420" t="str">
        <f t="shared" si="3"/>
        <v/>
      </c>
      <c r="J744" s="113"/>
      <c r="K744" s="114"/>
      <c r="L744" s="15"/>
      <c r="M744" s="13"/>
      <c r="N744" s="15"/>
      <c r="O744" s="15"/>
      <c r="P744" s="15"/>
      <c r="Q744" s="15"/>
      <c r="R744" s="15"/>
    </row>
    <row r="745" ht="15.75" customHeight="1">
      <c r="A745" s="122"/>
      <c r="B745" s="112"/>
      <c r="C745" s="113"/>
      <c r="D745" s="113"/>
      <c r="E745" s="113"/>
      <c r="F745" s="419"/>
      <c r="G745" s="419"/>
      <c r="H745" s="420">
        <f t="shared" si="2"/>
        <v>0</v>
      </c>
      <c r="I745" s="420" t="str">
        <f t="shared" si="3"/>
        <v/>
      </c>
      <c r="J745" s="113"/>
      <c r="K745" s="114"/>
      <c r="L745" s="15"/>
      <c r="M745" s="13"/>
      <c r="N745" s="15"/>
      <c r="O745" s="15"/>
      <c r="P745" s="15"/>
      <c r="Q745" s="15"/>
      <c r="R745" s="15"/>
    </row>
    <row r="746" ht="15.75" customHeight="1">
      <c r="A746" s="122"/>
      <c r="B746" s="112"/>
      <c r="C746" s="113"/>
      <c r="D746" s="113"/>
      <c r="E746" s="113"/>
      <c r="F746" s="419"/>
      <c r="G746" s="419"/>
      <c r="H746" s="420">
        <f t="shared" si="2"/>
        <v>0</v>
      </c>
      <c r="I746" s="420" t="str">
        <f t="shared" si="3"/>
        <v/>
      </c>
      <c r="J746" s="113"/>
      <c r="K746" s="114"/>
      <c r="L746" s="15"/>
      <c r="M746" s="13"/>
      <c r="N746" s="15"/>
      <c r="O746" s="15"/>
      <c r="P746" s="15"/>
      <c r="Q746" s="15"/>
      <c r="R746" s="15"/>
    </row>
    <row r="747" ht="15.75" customHeight="1">
      <c r="A747" s="122"/>
      <c r="B747" s="112"/>
      <c r="C747" s="113"/>
      <c r="D747" s="113"/>
      <c r="E747" s="113"/>
      <c r="F747" s="419"/>
      <c r="G747" s="419"/>
      <c r="H747" s="420">
        <f t="shared" si="2"/>
        <v>0</v>
      </c>
      <c r="I747" s="420" t="str">
        <f t="shared" si="3"/>
        <v/>
      </c>
      <c r="J747" s="113"/>
      <c r="K747" s="114"/>
      <c r="L747" s="15"/>
      <c r="M747" s="13"/>
      <c r="N747" s="15"/>
      <c r="O747" s="15"/>
      <c r="P747" s="15"/>
      <c r="Q747" s="15"/>
      <c r="R747" s="15"/>
    </row>
    <row r="748" ht="15.75" customHeight="1">
      <c r="A748" s="122"/>
      <c r="B748" s="112"/>
      <c r="C748" s="113"/>
      <c r="D748" s="113"/>
      <c r="E748" s="113"/>
      <c r="F748" s="419"/>
      <c r="G748" s="419"/>
      <c r="H748" s="420">
        <f t="shared" si="2"/>
        <v>0</v>
      </c>
      <c r="I748" s="420" t="str">
        <f t="shared" si="3"/>
        <v/>
      </c>
      <c r="J748" s="113"/>
      <c r="K748" s="114"/>
      <c r="L748" s="15"/>
      <c r="M748" s="13"/>
      <c r="N748" s="15"/>
      <c r="O748" s="15"/>
      <c r="P748" s="15"/>
      <c r="Q748" s="15"/>
      <c r="R748" s="15"/>
    </row>
    <row r="749" ht="15.75" customHeight="1">
      <c r="A749" s="122"/>
      <c r="B749" s="112"/>
      <c r="C749" s="113"/>
      <c r="D749" s="113"/>
      <c r="E749" s="113"/>
      <c r="F749" s="419"/>
      <c r="G749" s="419"/>
      <c r="H749" s="420">
        <f t="shared" si="2"/>
        <v>0</v>
      </c>
      <c r="I749" s="420" t="str">
        <f t="shared" si="3"/>
        <v/>
      </c>
      <c r="J749" s="113"/>
      <c r="K749" s="114"/>
      <c r="L749" s="15"/>
      <c r="M749" s="13"/>
      <c r="N749" s="15"/>
      <c r="O749" s="15"/>
      <c r="P749" s="15"/>
      <c r="Q749" s="15"/>
      <c r="R749" s="15"/>
    </row>
    <row r="750" ht="15.75" customHeight="1">
      <c r="A750" s="122"/>
      <c r="B750" s="112"/>
      <c r="C750" s="113"/>
      <c r="D750" s="113"/>
      <c r="E750" s="113"/>
      <c r="F750" s="419"/>
      <c r="G750" s="419"/>
      <c r="H750" s="420">
        <f t="shared" si="2"/>
        <v>0</v>
      </c>
      <c r="I750" s="420" t="str">
        <f t="shared" si="3"/>
        <v/>
      </c>
      <c r="J750" s="113"/>
      <c r="K750" s="114"/>
      <c r="L750" s="15"/>
      <c r="M750" s="13"/>
      <c r="N750" s="15"/>
      <c r="O750" s="15"/>
      <c r="P750" s="15"/>
      <c r="Q750" s="15"/>
      <c r="R750" s="15"/>
    </row>
    <row r="751" ht="15.75" customHeight="1">
      <c r="A751" s="122"/>
      <c r="B751" s="112"/>
      <c r="C751" s="113"/>
      <c r="D751" s="113"/>
      <c r="E751" s="113"/>
      <c r="F751" s="419"/>
      <c r="G751" s="419"/>
      <c r="H751" s="420">
        <f t="shared" si="2"/>
        <v>0</v>
      </c>
      <c r="I751" s="420" t="str">
        <f t="shared" si="3"/>
        <v/>
      </c>
      <c r="J751" s="113"/>
      <c r="K751" s="114"/>
      <c r="L751" s="15"/>
      <c r="M751" s="13"/>
      <c r="N751" s="15"/>
      <c r="O751" s="15"/>
      <c r="P751" s="15"/>
      <c r="Q751" s="15"/>
      <c r="R751" s="15"/>
    </row>
    <row r="752" ht="15.75" customHeight="1">
      <c r="A752" s="122"/>
      <c r="B752" s="112"/>
      <c r="C752" s="113"/>
      <c r="D752" s="113"/>
      <c r="E752" s="113"/>
      <c r="F752" s="419"/>
      <c r="G752" s="419"/>
      <c r="H752" s="420">
        <f t="shared" si="2"/>
        <v>0</v>
      </c>
      <c r="I752" s="420" t="str">
        <f t="shared" si="3"/>
        <v/>
      </c>
      <c r="J752" s="113"/>
      <c r="K752" s="114"/>
      <c r="L752" s="15"/>
      <c r="M752" s="13"/>
      <c r="N752" s="15"/>
      <c r="O752" s="15"/>
      <c r="P752" s="15"/>
      <c r="Q752" s="15"/>
      <c r="R752" s="15"/>
    </row>
    <row r="753" ht="15.75" customHeight="1">
      <c r="A753" s="122"/>
      <c r="B753" s="112"/>
      <c r="C753" s="113"/>
      <c r="D753" s="113"/>
      <c r="E753" s="113"/>
      <c r="F753" s="419"/>
      <c r="G753" s="419"/>
      <c r="H753" s="420">
        <f t="shared" si="2"/>
        <v>0</v>
      </c>
      <c r="I753" s="420" t="str">
        <f t="shared" si="3"/>
        <v/>
      </c>
      <c r="J753" s="113"/>
      <c r="K753" s="114"/>
      <c r="L753" s="15"/>
      <c r="M753" s="13"/>
      <c r="N753" s="15"/>
      <c r="O753" s="15"/>
      <c r="P753" s="15"/>
      <c r="Q753" s="15"/>
      <c r="R753" s="15"/>
    </row>
    <row r="754" ht="15.75" customHeight="1">
      <c r="A754" s="122"/>
      <c r="B754" s="112"/>
      <c r="C754" s="113"/>
      <c r="D754" s="113"/>
      <c r="E754" s="113"/>
      <c r="F754" s="419"/>
      <c r="G754" s="419"/>
      <c r="H754" s="420">
        <f t="shared" si="2"/>
        <v>0</v>
      </c>
      <c r="I754" s="420" t="str">
        <f t="shared" si="3"/>
        <v/>
      </c>
      <c r="J754" s="113"/>
      <c r="K754" s="114"/>
      <c r="L754" s="15"/>
      <c r="M754" s="13"/>
      <c r="N754" s="15"/>
      <c r="O754" s="15"/>
      <c r="P754" s="15"/>
      <c r="Q754" s="15"/>
      <c r="R754" s="15"/>
    </row>
    <row r="755" ht="15.75" customHeight="1">
      <c r="A755" s="122"/>
      <c r="B755" s="112"/>
      <c r="C755" s="113"/>
      <c r="D755" s="113"/>
      <c r="E755" s="113"/>
      <c r="F755" s="419"/>
      <c r="G755" s="419"/>
      <c r="H755" s="420">
        <f t="shared" si="2"/>
        <v>0</v>
      </c>
      <c r="I755" s="420" t="str">
        <f t="shared" si="3"/>
        <v/>
      </c>
      <c r="J755" s="113"/>
      <c r="K755" s="114"/>
      <c r="L755" s="15"/>
      <c r="M755" s="13"/>
      <c r="N755" s="15"/>
      <c r="O755" s="15"/>
      <c r="P755" s="15"/>
      <c r="Q755" s="15"/>
      <c r="R755" s="15"/>
    </row>
    <row r="756" ht="15.75" customHeight="1">
      <c r="A756" s="122"/>
      <c r="B756" s="112"/>
      <c r="C756" s="113"/>
      <c r="D756" s="113"/>
      <c r="E756" s="113"/>
      <c r="F756" s="419"/>
      <c r="G756" s="419"/>
      <c r="H756" s="420">
        <f t="shared" si="2"/>
        <v>0</v>
      </c>
      <c r="I756" s="420" t="str">
        <f t="shared" si="3"/>
        <v/>
      </c>
      <c r="J756" s="113"/>
      <c r="K756" s="114"/>
      <c r="L756" s="15"/>
      <c r="M756" s="13"/>
      <c r="N756" s="15"/>
      <c r="O756" s="15"/>
      <c r="P756" s="15"/>
      <c r="Q756" s="15"/>
      <c r="R756" s="15"/>
    </row>
    <row r="757" ht="15.75" customHeight="1">
      <c r="A757" s="122"/>
      <c r="B757" s="112"/>
      <c r="C757" s="113"/>
      <c r="D757" s="113"/>
      <c r="E757" s="113"/>
      <c r="F757" s="419"/>
      <c r="G757" s="419"/>
      <c r="H757" s="420">
        <f t="shared" si="2"/>
        <v>0</v>
      </c>
      <c r="I757" s="420" t="str">
        <f t="shared" si="3"/>
        <v/>
      </c>
      <c r="J757" s="113"/>
      <c r="K757" s="114"/>
      <c r="L757" s="15"/>
      <c r="M757" s="13"/>
      <c r="N757" s="15"/>
      <c r="O757" s="15"/>
      <c r="P757" s="15"/>
      <c r="Q757" s="15"/>
      <c r="R757" s="15"/>
    </row>
    <row r="758" ht="15.75" customHeight="1">
      <c r="A758" s="122"/>
      <c r="B758" s="112"/>
      <c r="C758" s="113"/>
      <c r="D758" s="113"/>
      <c r="E758" s="113"/>
      <c r="F758" s="419"/>
      <c r="G758" s="419"/>
      <c r="H758" s="420">
        <f t="shared" si="2"/>
        <v>0</v>
      </c>
      <c r="I758" s="420" t="str">
        <f t="shared" si="3"/>
        <v/>
      </c>
      <c r="J758" s="113"/>
      <c r="K758" s="114"/>
      <c r="L758" s="15"/>
      <c r="M758" s="13"/>
      <c r="N758" s="15"/>
      <c r="O758" s="15"/>
      <c r="P758" s="15"/>
      <c r="Q758" s="15"/>
      <c r="R758" s="15"/>
    </row>
    <row r="759" ht="15.75" customHeight="1">
      <c r="A759" s="122"/>
      <c r="B759" s="112"/>
      <c r="C759" s="113"/>
      <c r="D759" s="113"/>
      <c r="E759" s="113"/>
      <c r="F759" s="419"/>
      <c r="G759" s="419"/>
      <c r="H759" s="420">
        <f t="shared" si="2"/>
        <v>0</v>
      </c>
      <c r="I759" s="420" t="str">
        <f t="shared" si="3"/>
        <v/>
      </c>
      <c r="J759" s="113"/>
      <c r="K759" s="114"/>
      <c r="L759" s="15"/>
      <c r="M759" s="13"/>
      <c r="N759" s="15"/>
      <c r="O759" s="15"/>
      <c r="P759" s="15"/>
      <c r="Q759" s="15"/>
      <c r="R759" s="15"/>
    </row>
    <row r="760" ht="15.75" customHeight="1">
      <c r="A760" s="122"/>
      <c r="B760" s="112"/>
      <c r="C760" s="113"/>
      <c r="D760" s="113"/>
      <c r="E760" s="113"/>
      <c r="F760" s="419"/>
      <c r="G760" s="419"/>
      <c r="H760" s="420">
        <f t="shared" si="2"/>
        <v>0</v>
      </c>
      <c r="I760" s="420" t="str">
        <f t="shared" si="3"/>
        <v/>
      </c>
      <c r="J760" s="113"/>
      <c r="K760" s="114"/>
      <c r="L760" s="15"/>
      <c r="M760" s="13"/>
      <c r="N760" s="15"/>
      <c r="O760" s="15"/>
      <c r="P760" s="15"/>
      <c r="Q760" s="15"/>
      <c r="R760" s="15"/>
    </row>
    <row r="761" ht="15.75" customHeight="1">
      <c r="A761" s="122"/>
      <c r="B761" s="112"/>
      <c r="C761" s="113"/>
      <c r="D761" s="113"/>
      <c r="E761" s="113"/>
      <c r="F761" s="419"/>
      <c r="G761" s="419"/>
      <c r="H761" s="420">
        <f t="shared" si="2"/>
        <v>0</v>
      </c>
      <c r="I761" s="420" t="str">
        <f t="shared" si="3"/>
        <v/>
      </c>
      <c r="J761" s="113"/>
      <c r="K761" s="114"/>
      <c r="L761" s="15"/>
      <c r="M761" s="13"/>
      <c r="N761" s="15"/>
      <c r="O761" s="15"/>
      <c r="P761" s="15"/>
      <c r="Q761" s="15"/>
      <c r="R761" s="15"/>
    </row>
    <row r="762" ht="15.75" customHeight="1">
      <c r="A762" s="122"/>
      <c r="B762" s="112"/>
      <c r="C762" s="113"/>
      <c r="D762" s="113"/>
      <c r="E762" s="113"/>
      <c r="F762" s="419"/>
      <c r="G762" s="419"/>
      <c r="H762" s="420">
        <f t="shared" si="2"/>
        <v>0</v>
      </c>
      <c r="I762" s="420" t="str">
        <f t="shared" si="3"/>
        <v/>
      </c>
      <c r="J762" s="113"/>
      <c r="K762" s="114"/>
      <c r="L762" s="15"/>
      <c r="M762" s="13"/>
      <c r="N762" s="15"/>
      <c r="O762" s="15"/>
      <c r="P762" s="15"/>
      <c r="Q762" s="15"/>
      <c r="R762" s="15"/>
    </row>
    <row r="763" ht="15.75" customHeight="1">
      <c r="A763" s="122"/>
      <c r="B763" s="112"/>
      <c r="C763" s="113"/>
      <c r="D763" s="113"/>
      <c r="E763" s="113"/>
      <c r="F763" s="419"/>
      <c r="G763" s="419"/>
      <c r="H763" s="420">
        <f t="shared" si="2"/>
        <v>0</v>
      </c>
      <c r="I763" s="420" t="str">
        <f t="shared" si="3"/>
        <v/>
      </c>
      <c r="J763" s="113"/>
      <c r="K763" s="114"/>
      <c r="L763" s="15"/>
      <c r="M763" s="13"/>
      <c r="N763" s="15"/>
      <c r="O763" s="15"/>
      <c r="P763" s="15"/>
      <c r="Q763" s="15"/>
      <c r="R763" s="15"/>
    </row>
    <row r="764" ht="15.75" customHeight="1">
      <c r="A764" s="122"/>
      <c r="B764" s="112"/>
      <c r="C764" s="113"/>
      <c r="D764" s="113"/>
      <c r="E764" s="113"/>
      <c r="F764" s="419"/>
      <c r="G764" s="419"/>
      <c r="H764" s="420">
        <f t="shared" si="2"/>
        <v>0</v>
      </c>
      <c r="I764" s="420" t="str">
        <f t="shared" si="3"/>
        <v/>
      </c>
      <c r="J764" s="113"/>
      <c r="K764" s="114"/>
      <c r="L764" s="15"/>
      <c r="M764" s="13"/>
      <c r="N764" s="15"/>
      <c r="O764" s="15"/>
      <c r="P764" s="15"/>
      <c r="Q764" s="15"/>
      <c r="R764" s="15"/>
    </row>
    <row r="765" ht="15.75" customHeight="1">
      <c r="A765" s="122"/>
      <c r="B765" s="112"/>
      <c r="C765" s="113"/>
      <c r="D765" s="113"/>
      <c r="E765" s="113"/>
      <c r="F765" s="419"/>
      <c r="G765" s="419"/>
      <c r="H765" s="420">
        <f t="shared" si="2"/>
        <v>0</v>
      </c>
      <c r="I765" s="420" t="str">
        <f t="shared" si="3"/>
        <v/>
      </c>
      <c r="J765" s="113"/>
      <c r="K765" s="114"/>
      <c r="L765" s="15"/>
      <c r="M765" s="13"/>
      <c r="N765" s="15"/>
      <c r="O765" s="15"/>
      <c r="P765" s="15"/>
      <c r="Q765" s="15"/>
      <c r="R765" s="15"/>
    </row>
    <row r="766" ht="15.75" customHeight="1">
      <c r="A766" s="122"/>
      <c r="B766" s="112"/>
      <c r="C766" s="113"/>
      <c r="D766" s="113"/>
      <c r="E766" s="113"/>
      <c r="F766" s="419"/>
      <c r="G766" s="419"/>
      <c r="H766" s="420">
        <f t="shared" si="2"/>
        <v>0</v>
      </c>
      <c r="I766" s="420" t="str">
        <f t="shared" si="3"/>
        <v/>
      </c>
      <c r="J766" s="113"/>
      <c r="K766" s="114"/>
      <c r="L766" s="15"/>
      <c r="M766" s="13"/>
      <c r="N766" s="15"/>
      <c r="O766" s="15"/>
      <c r="P766" s="15"/>
      <c r="Q766" s="15"/>
      <c r="R766" s="15"/>
    </row>
    <row r="767" ht="15.75" customHeight="1">
      <c r="A767" s="122"/>
      <c r="B767" s="112"/>
      <c r="C767" s="113"/>
      <c r="D767" s="113"/>
      <c r="E767" s="113"/>
      <c r="F767" s="419"/>
      <c r="G767" s="419"/>
      <c r="H767" s="420">
        <f t="shared" si="2"/>
        <v>0</v>
      </c>
      <c r="I767" s="420" t="str">
        <f t="shared" si="3"/>
        <v/>
      </c>
      <c r="J767" s="113"/>
      <c r="K767" s="114"/>
      <c r="L767" s="15"/>
      <c r="M767" s="13"/>
      <c r="N767" s="15"/>
      <c r="O767" s="15"/>
      <c r="P767" s="15"/>
      <c r="Q767" s="15"/>
      <c r="R767" s="15"/>
    </row>
    <row r="768" ht="15.75" customHeight="1">
      <c r="A768" s="122"/>
      <c r="B768" s="112"/>
      <c r="C768" s="113"/>
      <c r="D768" s="113"/>
      <c r="E768" s="113"/>
      <c r="F768" s="419"/>
      <c r="G768" s="419"/>
      <c r="H768" s="420">
        <f t="shared" si="2"/>
        <v>0</v>
      </c>
      <c r="I768" s="420" t="str">
        <f t="shared" si="3"/>
        <v/>
      </c>
      <c r="J768" s="113"/>
      <c r="K768" s="114"/>
      <c r="L768" s="15"/>
      <c r="M768" s="13"/>
      <c r="N768" s="15"/>
      <c r="O768" s="15"/>
      <c r="P768" s="15"/>
      <c r="Q768" s="15"/>
      <c r="R768" s="15"/>
    </row>
    <row r="769" ht="15.75" customHeight="1">
      <c r="A769" s="122"/>
      <c r="B769" s="112"/>
      <c r="C769" s="113"/>
      <c r="D769" s="113"/>
      <c r="E769" s="113"/>
      <c r="F769" s="419"/>
      <c r="G769" s="419"/>
      <c r="H769" s="420">
        <f t="shared" si="2"/>
        <v>0</v>
      </c>
      <c r="I769" s="420" t="str">
        <f t="shared" si="3"/>
        <v/>
      </c>
      <c r="J769" s="113"/>
      <c r="K769" s="114"/>
      <c r="L769" s="15"/>
      <c r="M769" s="13"/>
      <c r="N769" s="15"/>
      <c r="O769" s="15"/>
      <c r="P769" s="15"/>
      <c r="Q769" s="15"/>
      <c r="R769" s="15"/>
    </row>
    <row r="770" ht="15.75" customHeight="1">
      <c r="A770" s="122"/>
      <c r="B770" s="112"/>
      <c r="C770" s="113"/>
      <c r="D770" s="113"/>
      <c r="E770" s="113"/>
      <c r="F770" s="419"/>
      <c r="G770" s="419"/>
      <c r="H770" s="420">
        <f t="shared" si="2"/>
        <v>0</v>
      </c>
      <c r="I770" s="420" t="str">
        <f t="shared" si="3"/>
        <v/>
      </c>
      <c r="J770" s="113"/>
      <c r="K770" s="114"/>
      <c r="L770" s="15"/>
      <c r="M770" s="13"/>
      <c r="N770" s="15"/>
      <c r="O770" s="15"/>
      <c r="P770" s="15"/>
      <c r="Q770" s="15"/>
      <c r="R770" s="15"/>
    </row>
    <row r="771" ht="15.75" customHeight="1">
      <c r="A771" s="122"/>
      <c r="B771" s="112"/>
      <c r="C771" s="113"/>
      <c r="D771" s="113"/>
      <c r="E771" s="113"/>
      <c r="F771" s="419"/>
      <c r="G771" s="419"/>
      <c r="H771" s="420">
        <f t="shared" si="2"/>
        <v>0</v>
      </c>
      <c r="I771" s="420" t="str">
        <f t="shared" si="3"/>
        <v/>
      </c>
      <c r="J771" s="113"/>
      <c r="K771" s="114"/>
      <c r="L771" s="15"/>
      <c r="M771" s="13"/>
      <c r="N771" s="15"/>
      <c r="O771" s="15"/>
      <c r="P771" s="15"/>
      <c r="Q771" s="15"/>
      <c r="R771" s="15"/>
    </row>
    <row r="772" ht="15.75" customHeight="1">
      <c r="A772" s="122"/>
      <c r="B772" s="112"/>
      <c r="C772" s="113"/>
      <c r="D772" s="113"/>
      <c r="E772" s="113"/>
      <c r="F772" s="419"/>
      <c r="G772" s="419"/>
      <c r="H772" s="420">
        <f t="shared" si="2"/>
        <v>0</v>
      </c>
      <c r="I772" s="420" t="str">
        <f t="shared" si="3"/>
        <v/>
      </c>
      <c r="J772" s="113"/>
      <c r="K772" s="114"/>
      <c r="L772" s="15"/>
      <c r="M772" s="13"/>
      <c r="N772" s="15"/>
      <c r="O772" s="15"/>
      <c r="P772" s="15"/>
      <c r="Q772" s="15"/>
      <c r="R772" s="15"/>
    </row>
    <row r="773" ht="15.75" customHeight="1">
      <c r="A773" s="122"/>
      <c r="B773" s="112"/>
      <c r="C773" s="113"/>
      <c r="D773" s="113"/>
      <c r="E773" s="113"/>
      <c r="F773" s="419"/>
      <c r="G773" s="419"/>
      <c r="H773" s="420">
        <f t="shared" si="2"/>
        <v>0</v>
      </c>
      <c r="I773" s="420" t="str">
        <f t="shared" si="3"/>
        <v/>
      </c>
      <c r="J773" s="113"/>
      <c r="K773" s="114"/>
      <c r="L773" s="15"/>
      <c r="M773" s="13"/>
      <c r="N773" s="15"/>
      <c r="O773" s="15"/>
      <c r="P773" s="15"/>
      <c r="Q773" s="15"/>
      <c r="R773" s="15"/>
    </row>
    <row r="774" ht="15.75" customHeight="1">
      <c r="A774" s="122"/>
      <c r="B774" s="112"/>
      <c r="C774" s="113"/>
      <c r="D774" s="113"/>
      <c r="E774" s="113"/>
      <c r="F774" s="419"/>
      <c r="G774" s="419"/>
      <c r="H774" s="420">
        <f t="shared" si="2"/>
        <v>0</v>
      </c>
      <c r="I774" s="420" t="str">
        <f t="shared" si="3"/>
        <v/>
      </c>
      <c r="J774" s="113"/>
      <c r="K774" s="114"/>
      <c r="L774" s="15"/>
      <c r="M774" s="13"/>
      <c r="N774" s="15"/>
      <c r="O774" s="15"/>
      <c r="P774" s="15"/>
      <c r="Q774" s="15"/>
      <c r="R774" s="15"/>
    </row>
    <row r="775" ht="15.75" customHeight="1">
      <c r="A775" s="122"/>
      <c r="B775" s="112"/>
      <c r="C775" s="113"/>
      <c r="D775" s="113"/>
      <c r="E775" s="113"/>
      <c r="F775" s="419"/>
      <c r="G775" s="419"/>
      <c r="H775" s="420">
        <f t="shared" si="2"/>
        <v>0</v>
      </c>
      <c r="I775" s="420" t="str">
        <f t="shared" si="3"/>
        <v/>
      </c>
      <c r="J775" s="113"/>
      <c r="K775" s="114"/>
      <c r="L775" s="15"/>
      <c r="M775" s="13"/>
      <c r="N775" s="15"/>
      <c r="O775" s="15"/>
      <c r="P775" s="15"/>
      <c r="Q775" s="15"/>
      <c r="R775" s="15"/>
    </row>
    <row r="776" ht="15.75" customHeight="1">
      <c r="A776" s="122"/>
      <c r="B776" s="112"/>
      <c r="C776" s="113"/>
      <c r="D776" s="113"/>
      <c r="E776" s="113"/>
      <c r="F776" s="419"/>
      <c r="G776" s="419"/>
      <c r="H776" s="420">
        <f t="shared" si="2"/>
        <v>0</v>
      </c>
      <c r="I776" s="420" t="str">
        <f t="shared" si="3"/>
        <v/>
      </c>
      <c r="J776" s="113"/>
      <c r="K776" s="114"/>
      <c r="L776" s="15"/>
      <c r="M776" s="13"/>
      <c r="N776" s="15"/>
      <c r="O776" s="15"/>
      <c r="P776" s="15"/>
      <c r="Q776" s="15"/>
      <c r="R776" s="15"/>
    </row>
    <row r="777" ht="15.75" customHeight="1">
      <c r="A777" s="122"/>
      <c r="B777" s="112"/>
      <c r="C777" s="113"/>
      <c r="D777" s="113"/>
      <c r="E777" s="113"/>
      <c r="F777" s="419"/>
      <c r="G777" s="419"/>
      <c r="H777" s="420">
        <f t="shared" si="2"/>
        <v>0</v>
      </c>
      <c r="I777" s="420" t="str">
        <f t="shared" si="3"/>
        <v/>
      </c>
      <c r="J777" s="113"/>
      <c r="K777" s="114"/>
      <c r="L777" s="15"/>
      <c r="M777" s="13"/>
      <c r="N777" s="15"/>
      <c r="O777" s="15"/>
      <c r="P777" s="15"/>
      <c r="Q777" s="15"/>
      <c r="R777" s="15"/>
    </row>
    <row r="778" ht="15.75" customHeight="1">
      <c r="A778" s="122"/>
      <c r="B778" s="112"/>
      <c r="C778" s="113"/>
      <c r="D778" s="113"/>
      <c r="E778" s="113"/>
      <c r="F778" s="419"/>
      <c r="G778" s="419"/>
      <c r="H778" s="420">
        <f t="shared" si="2"/>
        <v>0</v>
      </c>
      <c r="I778" s="420" t="str">
        <f t="shared" si="3"/>
        <v/>
      </c>
      <c r="J778" s="113"/>
      <c r="K778" s="114"/>
      <c r="L778" s="15"/>
      <c r="M778" s="13"/>
      <c r="N778" s="15"/>
      <c r="O778" s="15"/>
      <c r="P778" s="15"/>
      <c r="Q778" s="15"/>
      <c r="R778" s="15"/>
    </row>
    <row r="779" ht="15.75" customHeight="1">
      <c r="A779" s="122"/>
      <c r="B779" s="112"/>
      <c r="C779" s="113"/>
      <c r="D779" s="113"/>
      <c r="E779" s="113"/>
      <c r="F779" s="419"/>
      <c r="G779" s="419"/>
      <c r="H779" s="420">
        <f t="shared" si="2"/>
        <v>0</v>
      </c>
      <c r="I779" s="420" t="str">
        <f t="shared" si="3"/>
        <v/>
      </c>
      <c r="J779" s="113"/>
      <c r="K779" s="114"/>
      <c r="L779" s="15"/>
      <c r="M779" s="13"/>
      <c r="N779" s="15"/>
      <c r="O779" s="15"/>
      <c r="P779" s="15"/>
      <c r="Q779" s="15"/>
      <c r="R779" s="15"/>
    </row>
    <row r="780" ht="15.75" customHeight="1">
      <c r="A780" s="122"/>
      <c r="B780" s="112"/>
      <c r="C780" s="113"/>
      <c r="D780" s="113"/>
      <c r="E780" s="113"/>
      <c r="F780" s="419"/>
      <c r="G780" s="419"/>
      <c r="H780" s="420">
        <f t="shared" si="2"/>
        <v>0</v>
      </c>
      <c r="I780" s="420" t="str">
        <f t="shared" si="3"/>
        <v/>
      </c>
      <c r="J780" s="113"/>
      <c r="K780" s="114"/>
      <c r="L780" s="15"/>
      <c r="M780" s="13"/>
      <c r="N780" s="15"/>
      <c r="O780" s="15"/>
      <c r="P780" s="15"/>
      <c r="Q780" s="15"/>
      <c r="R780" s="15"/>
    </row>
    <row r="781" ht="15.75" customHeight="1">
      <c r="A781" s="122"/>
      <c r="B781" s="112"/>
      <c r="C781" s="113"/>
      <c r="D781" s="113"/>
      <c r="E781" s="113"/>
      <c r="F781" s="419"/>
      <c r="G781" s="419"/>
      <c r="H781" s="420">
        <f t="shared" si="2"/>
        <v>0</v>
      </c>
      <c r="I781" s="420" t="str">
        <f t="shared" si="3"/>
        <v/>
      </c>
      <c r="J781" s="113"/>
      <c r="K781" s="114"/>
      <c r="L781" s="15"/>
      <c r="M781" s="13"/>
      <c r="N781" s="15"/>
      <c r="O781" s="15"/>
      <c r="P781" s="15"/>
      <c r="Q781" s="15"/>
      <c r="R781" s="15"/>
    </row>
    <row r="782" ht="15.75" customHeight="1">
      <c r="A782" s="122"/>
      <c r="B782" s="112"/>
      <c r="C782" s="113"/>
      <c r="D782" s="113"/>
      <c r="E782" s="113"/>
      <c r="F782" s="419"/>
      <c r="G782" s="419"/>
      <c r="H782" s="420">
        <f t="shared" si="2"/>
        <v>0</v>
      </c>
      <c r="I782" s="420" t="str">
        <f t="shared" si="3"/>
        <v/>
      </c>
      <c r="J782" s="113"/>
      <c r="K782" s="114"/>
      <c r="L782" s="15"/>
      <c r="M782" s="13"/>
      <c r="N782" s="15"/>
      <c r="O782" s="15"/>
      <c r="P782" s="15"/>
      <c r="Q782" s="15"/>
      <c r="R782" s="15"/>
    </row>
    <row r="783" ht="15.75" customHeight="1">
      <c r="A783" s="122"/>
      <c r="B783" s="112"/>
      <c r="C783" s="113"/>
      <c r="D783" s="113"/>
      <c r="E783" s="113"/>
      <c r="F783" s="419"/>
      <c r="G783" s="419"/>
      <c r="H783" s="420">
        <f t="shared" si="2"/>
        <v>0</v>
      </c>
      <c r="I783" s="420" t="str">
        <f t="shared" si="3"/>
        <v/>
      </c>
      <c r="J783" s="113"/>
      <c r="K783" s="114"/>
      <c r="L783" s="15"/>
      <c r="M783" s="13"/>
      <c r="N783" s="15"/>
      <c r="O783" s="15"/>
      <c r="P783" s="15"/>
      <c r="Q783" s="15"/>
      <c r="R783" s="15"/>
    </row>
    <row r="784" ht="15.75" customHeight="1">
      <c r="A784" s="122"/>
      <c r="B784" s="112"/>
      <c r="C784" s="113"/>
      <c r="D784" s="113"/>
      <c r="E784" s="113"/>
      <c r="F784" s="419"/>
      <c r="G784" s="419"/>
      <c r="H784" s="420">
        <f t="shared" si="2"/>
        <v>0</v>
      </c>
      <c r="I784" s="420" t="str">
        <f t="shared" si="3"/>
        <v/>
      </c>
      <c r="J784" s="113"/>
      <c r="K784" s="114"/>
      <c r="L784" s="15"/>
      <c r="M784" s="13"/>
      <c r="N784" s="15"/>
      <c r="O784" s="15"/>
      <c r="P784" s="15"/>
      <c r="Q784" s="15"/>
      <c r="R784" s="15"/>
    </row>
    <row r="785" ht="15.75" customHeight="1">
      <c r="A785" s="122"/>
      <c r="B785" s="112"/>
      <c r="C785" s="113"/>
      <c r="D785" s="113"/>
      <c r="E785" s="113"/>
      <c r="F785" s="419"/>
      <c r="G785" s="419"/>
      <c r="H785" s="420">
        <f t="shared" si="2"/>
        <v>0</v>
      </c>
      <c r="I785" s="420" t="str">
        <f t="shared" si="3"/>
        <v/>
      </c>
      <c r="J785" s="113"/>
      <c r="K785" s="114"/>
      <c r="L785" s="15"/>
      <c r="M785" s="13"/>
      <c r="N785" s="15"/>
      <c r="O785" s="15"/>
      <c r="P785" s="15"/>
      <c r="Q785" s="15"/>
      <c r="R785" s="15"/>
    </row>
    <row r="786" ht="15.75" customHeight="1">
      <c r="A786" s="122"/>
      <c r="B786" s="112"/>
      <c r="C786" s="113"/>
      <c r="D786" s="113"/>
      <c r="E786" s="113"/>
      <c r="F786" s="419"/>
      <c r="G786" s="419"/>
      <c r="H786" s="420">
        <f t="shared" si="2"/>
        <v>0</v>
      </c>
      <c r="I786" s="420" t="str">
        <f t="shared" si="3"/>
        <v/>
      </c>
      <c r="J786" s="113"/>
      <c r="K786" s="114"/>
      <c r="L786" s="15"/>
      <c r="M786" s="13"/>
      <c r="N786" s="15"/>
      <c r="O786" s="15"/>
      <c r="P786" s="15"/>
      <c r="Q786" s="15"/>
      <c r="R786" s="15"/>
    </row>
    <row r="787" ht="15.75" customHeight="1">
      <c r="A787" s="122"/>
      <c r="B787" s="112"/>
      <c r="C787" s="113"/>
      <c r="D787" s="113"/>
      <c r="E787" s="113"/>
      <c r="F787" s="419"/>
      <c r="G787" s="419"/>
      <c r="H787" s="420">
        <f t="shared" si="2"/>
        <v>0</v>
      </c>
      <c r="I787" s="420" t="str">
        <f t="shared" si="3"/>
        <v/>
      </c>
      <c r="J787" s="113"/>
      <c r="K787" s="114"/>
      <c r="L787" s="15"/>
      <c r="M787" s="13"/>
      <c r="N787" s="15"/>
      <c r="O787" s="15"/>
      <c r="P787" s="15"/>
      <c r="Q787" s="15"/>
      <c r="R787" s="15"/>
    </row>
    <row r="788" ht="15.75" customHeight="1">
      <c r="A788" s="122"/>
      <c r="B788" s="112"/>
      <c r="C788" s="113"/>
      <c r="D788" s="113"/>
      <c r="E788" s="113"/>
      <c r="F788" s="419"/>
      <c r="G788" s="419"/>
      <c r="H788" s="420">
        <f t="shared" si="2"/>
        <v>0</v>
      </c>
      <c r="I788" s="420" t="str">
        <f t="shared" si="3"/>
        <v/>
      </c>
      <c r="J788" s="113"/>
      <c r="K788" s="114"/>
      <c r="L788" s="15"/>
      <c r="M788" s="13"/>
      <c r="N788" s="15"/>
      <c r="O788" s="15"/>
      <c r="P788" s="15"/>
      <c r="Q788" s="15"/>
      <c r="R788" s="15"/>
    </row>
    <row r="789" ht="15.75" customHeight="1">
      <c r="A789" s="122"/>
      <c r="B789" s="112"/>
      <c r="C789" s="113"/>
      <c r="D789" s="113"/>
      <c r="E789" s="113"/>
      <c r="F789" s="419"/>
      <c r="G789" s="419"/>
      <c r="H789" s="420">
        <f t="shared" si="2"/>
        <v>0</v>
      </c>
      <c r="I789" s="420" t="str">
        <f t="shared" si="3"/>
        <v/>
      </c>
      <c r="J789" s="113"/>
      <c r="K789" s="114"/>
      <c r="L789" s="15"/>
      <c r="M789" s="13"/>
      <c r="N789" s="15"/>
      <c r="O789" s="15"/>
      <c r="P789" s="15"/>
      <c r="Q789" s="15"/>
      <c r="R789" s="15"/>
    </row>
    <row r="790" ht="15.75" customHeight="1">
      <c r="A790" s="122"/>
      <c r="B790" s="112"/>
      <c r="C790" s="113"/>
      <c r="D790" s="113"/>
      <c r="E790" s="113"/>
      <c r="F790" s="419"/>
      <c r="G790" s="419"/>
      <c r="H790" s="420">
        <f t="shared" si="2"/>
        <v>0</v>
      </c>
      <c r="I790" s="420" t="str">
        <f t="shared" si="3"/>
        <v/>
      </c>
      <c r="J790" s="113"/>
      <c r="K790" s="114"/>
      <c r="L790" s="15"/>
      <c r="M790" s="13"/>
      <c r="N790" s="15"/>
      <c r="O790" s="15"/>
      <c r="P790" s="15"/>
      <c r="Q790" s="15"/>
      <c r="R790" s="15"/>
    </row>
    <row r="791" ht="15.75" customHeight="1">
      <c r="A791" s="122"/>
      <c r="B791" s="112"/>
      <c r="C791" s="113"/>
      <c r="D791" s="113"/>
      <c r="E791" s="113"/>
      <c r="F791" s="419"/>
      <c r="G791" s="419"/>
      <c r="H791" s="420">
        <f t="shared" si="2"/>
        <v>0</v>
      </c>
      <c r="I791" s="420" t="str">
        <f t="shared" si="3"/>
        <v/>
      </c>
      <c r="J791" s="113"/>
      <c r="K791" s="114"/>
      <c r="L791" s="15"/>
      <c r="M791" s="13"/>
      <c r="N791" s="15"/>
      <c r="O791" s="15"/>
      <c r="P791" s="15"/>
      <c r="Q791" s="15"/>
      <c r="R791" s="15"/>
    </row>
    <row r="792" ht="15.75" customHeight="1">
      <c r="A792" s="122"/>
      <c r="B792" s="112"/>
      <c r="C792" s="113"/>
      <c r="D792" s="113"/>
      <c r="E792" s="113"/>
      <c r="F792" s="419"/>
      <c r="G792" s="419"/>
      <c r="H792" s="420">
        <f t="shared" si="2"/>
        <v>0</v>
      </c>
      <c r="I792" s="420" t="str">
        <f t="shared" si="3"/>
        <v/>
      </c>
      <c r="J792" s="113"/>
      <c r="K792" s="114"/>
      <c r="L792" s="15"/>
      <c r="M792" s="13"/>
      <c r="N792" s="15"/>
      <c r="O792" s="15"/>
      <c r="P792" s="15"/>
      <c r="Q792" s="15"/>
      <c r="R792" s="15"/>
    </row>
    <row r="793" ht="15.75" customHeight="1">
      <c r="A793" s="122"/>
      <c r="B793" s="112"/>
      <c r="C793" s="113"/>
      <c r="D793" s="113"/>
      <c r="E793" s="113"/>
      <c r="F793" s="419"/>
      <c r="G793" s="419"/>
      <c r="H793" s="420">
        <f t="shared" si="2"/>
        <v>0</v>
      </c>
      <c r="I793" s="420" t="str">
        <f t="shared" si="3"/>
        <v/>
      </c>
      <c r="J793" s="113"/>
      <c r="K793" s="114"/>
      <c r="L793" s="15"/>
      <c r="M793" s="13"/>
      <c r="N793" s="15"/>
      <c r="O793" s="15"/>
      <c r="P793" s="15"/>
      <c r="Q793" s="15"/>
      <c r="R793" s="15"/>
    </row>
    <row r="794" ht="15.75" customHeight="1">
      <c r="A794" s="122"/>
      <c r="B794" s="112"/>
      <c r="C794" s="113"/>
      <c r="D794" s="113"/>
      <c r="E794" s="113"/>
      <c r="F794" s="419"/>
      <c r="G794" s="419"/>
      <c r="H794" s="420">
        <f t="shared" si="2"/>
        <v>0</v>
      </c>
      <c r="I794" s="420" t="str">
        <f t="shared" si="3"/>
        <v/>
      </c>
      <c r="J794" s="113"/>
      <c r="K794" s="114"/>
      <c r="L794" s="15"/>
      <c r="M794" s="13"/>
      <c r="N794" s="15"/>
      <c r="O794" s="15"/>
      <c r="P794" s="15"/>
      <c r="Q794" s="15"/>
      <c r="R794" s="15"/>
    </row>
    <row r="795" ht="15.75" customHeight="1">
      <c r="A795" s="122"/>
      <c r="B795" s="112"/>
      <c r="C795" s="113"/>
      <c r="D795" s="113"/>
      <c r="E795" s="113"/>
      <c r="F795" s="419"/>
      <c r="G795" s="419"/>
      <c r="H795" s="420">
        <f t="shared" si="2"/>
        <v>0</v>
      </c>
      <c r="I795" s="420" t="str">
        <f t="shared" si="3"/>
        <v/>
      </c>
      <c r="J795" s="113"/>
      <c r="K795" s="114"/>
      <c r="L795" s="15"/>
      <c r="M795" s="13"/>
      <c r="N795" s="15"/>
      <c r="O795" s="15"/>
      <c r="P795" s="15"/>
      <c r="Q795" s="15"/>
      <c r="R795" s="15"/>
    </row>
    <row r="796" ht="15.75" customHeight="1">
      <c r="A796" s="122"/>
      <c r="B796" s="112"/>
      <c r="C796" s="113"/>
      <c r="D796" s="113"/>
      <c r="E796" s="113"/>
      <c r="F796" s="419"/>
      <c r="G796" s="419"/>
      <c r="H796" s="420">
        <f t="shared" si="2"/>
        <v>0</v>
      </c>
      <c r="I796" s="420" t="str">
        <f t="shared" si="3"/>
        <v/>
      </c>
      <c r="J796" s="113"/>
      <c r="K796" s="114"/>
      <c r="L796" s="15"/>
      <c r="M796" s="13"/>
      <c r="N796" s="15"/>
      <c r="O796" s="15"/>
      <c r="P796" s="15"/>
      <c r="Q796" s="15"/>
      <c r="R796" s="15"/>
    </row>
    <row r="797" ht="15.75" customHeight="1">
      <c r="A797" s="122"/>
      <c r="B797" s="112"/>
      <c r="C797" s="113"/>
      <c r="D797" s="113"/>
      <c r="E797" s="113"/>
      <c r="F797" s="419"/>
      <c r="G797" s="419"/>
      <c r="H797" s="420">
        <f t="shared" si="2"/>
        <v>0</v>
      </c>
      <c r="I797" s="420" t="str">
        <f t="shared" si="3"/>
        <v/>
      </c>
      <c r="J797" s="113"/>
      <c r="K797" s="114"/>
      <c r="L797" s="15"/>
      <c r="M797" s="13"/>
      <c r="N797" s="15"/>
      <c r="O797" s="15"/>
      <c r="P797" s="15"/>
      <c r="Q797" s="15"/>
      <c r="R797" s="15"/>
    </row>
    <row r="798" ht="15.75" customHeight="1">
      <c r="A798" s="122"/>
      <c r="B798" s="112"/>
      <c r="C798" s="113"/>
      <c r="D798" s="113"/>
      <c r="E798" s="113"/>
      <c r="F798" s="419"/>
      <c r="G798" s="419"/>
      <c r="H798" s="420">
        <f t="shared" si="2"/>
        <v>0</v>
      </c>
      <c r="I798" s="420" t="str">
        <f t="shared" si="3"/>
        <v/>
      </c>
      <c r="J798" s="113"/>
      <c r="K798" s="114"/>
      <c r="L798" s="15"/>
      <c r="M798" s="13"/>
      <c r="N798" s="15"/>
      <c r="O798" s="15"/>
      <c r="P798" s="15"/>
      <c r="Q798" s="15"/>
      <c r="R798" s="15"/>
    </row>
    <row r="799" ht="15.75" customHeight="1">
      <c r="A799" s="122"/>
      <c r="B799" s="112"/>
      <c r="C799" s="113"/>
      <c r="D799" s="113"/>
      <c r="E799" s="113"/>
      <c r="F799" s="419"/>
      <c r="G799" s="419"/>
      <c r="H799" s="420">
        <f t="shared" si="2"/>
        <v>0</v>
      </c>
      <c r="I799" s="420" t="str">
        <f t="shared" si="3"/>
        <v/>
      </c>
      <c r="J799" s="113"/>
      <c r="K799" s="114"/>
      <c r="L799" s="15"/>
      <c r="M799" s="13"/>
      <c r="N799" s="15"/>
      <c r="O799" s="15"/>
      <c r="P799" s="15"/>
      <c r="Q799" s="15"/>
      <c r="R799" s="15"/>
    </row>
    <row r="800" ht="15.75" customHeight="1">
      <c r="A800" s="122"/>
      <c r="B800" s="112"/>
      <c r="C800" s="113"/>
      <c r="D800" s="113"/>
      <c r="E800" s="113"/>
      <c r="F800" s="419"/>
      <c r="G800" s="419"/>
      <c r="H800" s="420">
        <f t="shared" si="2"/>
        <v>0</v>
      </c>
      <c r="I800" s="420" t="str">
        <f t="shared" si="3"/>
        <v/>
      </c>
      <c r="J800" s="113"/>
      <c r="K800" s="114"/>
      <c r="L800" s="15"/>
      <c r="M800" s="13"/>
      <c r="N800" s="15"/>
      <c r="O800" s="15"/>
      <c r="P800" s="15"/>
      <c r="Q800" s="15"/>
      <c r="R800" s="15"/>
    </row>
    <row r="801" ht="15.75" customHeight="1">
      <c r="A801" s="122"/>
      <c r="B801" s="112"/>
      <c r="C801" s="113"/>
      <c r="D801" s="113"/>
      <c r="E801" s="113"/>
      <c r="F801" s="419"/>
      <c r="G801" s="419"/>
      <c r="H801" s="420">
        <f t="shared" si="2"/>
        <v>0</v>
      </c>
      <c r="I801" s="420" t="str">
        <f t="shared" si="3"/>
        <v/>
      </c>
      <c r="J801" s="113"/>
      <c r="K801" s="114"/>
      <c r="L801" s="15"/>
      <c r="M801" s="13"/>
      <c r="N801" s="15"/>
      <c r="O801" s="15"/>
      <c r="P801" s="15"/>
      <c r="Q801" s="15"/>
      <c r="R801" s="15"/>
    </row>
    <row r="802" ht="15.75" customHeight="1">
      <c r="A802" s="122"/>
      <c r="B802" s="112"/>
      <c r="C802" s="113"/>
      <c r="D802" s="113"/>
      <c r="E802" s="113"/>
      <c r="F802" s="419"/>
      <c r="G802" s="419"/>
      <c r="H802" s="420">
        <f t="shared" si="2"/>
        <v>0</v>
      </c>
      <c r="I802" s="420" t="str">
        <f t="shared" si="3"/>
        <v/>
      </c>
      <c r="J802" s="113"/>
      <c r="K802" s="114"/>
      <c r="L802" s="15"/>
      <c r="M802" s="13"/>
      <c r="N802" s="15"/>
      <c r="O802" s="15"/>
      <c r="P802" s="15"/>
      <c r="Q802" s="15"/>
      <c r="R802" s="15"/>
    </row>
    <row r="803" ht="15.75" customHeight="1">
      <c r="A803" s="122"/>
      <c r="B803" s="112"/>
      <c r="C803" s="113"/>
      <c r="D803" s="113"/>
      <c r="E803" s="113"/>
      <c r="F803" s="419"/>
      <c r="G803" s="419"/>
      <c r="H803" s="420">
        <f t="shared" si="2"/>
        <v>0</v>
      </c>
      <c r="I803" s="420" t="str">
        <f t="shared" si="3"/>
        <v/>
      </c>
      <c r="J803" s="113"/>
      <c r="K803" s="114"/>
      <c r="L803" s="15"/>
      <c r="M803" s="13"/>
      <c r="N803" s="15"/>
      <c r="O803" s="15"/>
      <c r="P803" s="15"/>
      <c r="Q803" s="15"/>
      <c r="R803" s="15"/>
    </row>
    <row r="804" ht="15.75" customHeight="1">
      <c r="A804" s="122"/>
      <c r="B804" s="112"/>
      <c r="C804" s="113"/>
      <c r="D804" s="113"/>
      <c r="E804" s="113"/>
      <c r="F804" s="419"/>
      <c r="G804" s="419"/>
      <c r="H804" s="420">
        <f t="shared" si="2"/>
        <v>0</v>
      </c>
      <c r="I804" s="420" t="str">
        <f t="shared" si="3"/>
        <v/>
      </c>
      <c r="J804" s="113"/>
      <c r="K804" s="114"/>
      <c r="L804" s="15"/>
      <c r="M804" s="13"/>
      <c r="N804" s="15"/>
      <c r="O804" s="15"/>
      <c r="P804" s="15"/>
      <c r="Q804" s="15"/>
      <c r="R804" s="15"/>
    </row>
    <row r="805" ht="15.75" customHeight="1">
      <c r="A805" s="122"/>
      <c r="B805" s="112"/>
      <c r="C805" s="113"/>
      <c r="D805" s="113"/>
      <c r="E805" s="113"/>
      <c r="F805" s="419"/>
      <c r="G805" s="419"/>
      <c r="H805" s="420">
        <f t="shared" si="2"/>
        <v>0</v>
      </c>
      <c r="I805" s="420" t="str">
        <f t="shared" si="3"/>
        <v/>
      </c>
      <c r="J805" s="113"/>
      <c r="K805" s="114"/>
      <c r="L805" s="15"/>
      <c r="M805" s="13"/>
      <c r="N805" s="15"/>
      <c r="O805" s="15"/>
      <c r="P805" s="15"/>
      <c r="Q805" s="15"/>
      <c r="R805" s="15"/>
    </row>
    <row r="806" ht="15.75" customHeight="1">
      <c r="A806" s="122"/>
      <c r="B806" s="112"/>
      <c r="C806" s="113"/>
      <c r="D806" s="113"/>
      <c r="E806" s="113"/>
      <c r="F806" s="419"/>
      <c r="G806" s="419"/>
      <c r="H806" s="420">
        <f t="shared" si="2"/>
        <v>0</v>
      </c>
      <c r="I806" s="420" t="str">
        <f t="shared" si="3"/>
        <v/>
      </c>
      <c r="J806" s="113"/>
      <c r="K806" s="114"/>
      <c r="L806" s="15"/>
      <c r="M806" s="13"/>
      <c r="N806" s="15"/>
      <c r="O806" s="15"/>
      <c r="P806" s="15"/>
      <c r="Q806" s="15"/>
      <c r="R806" s="15"/>
    </row>
    <row r="807" ht="15.75" customHeight="1">
      <c r="A807" s="122"/>
      <c r="B807" s="112"/>
      <c r="C807" s="113"/>
      <c r="D807" s="113"/>
      <c r="E807" s="113"/>
      <c r="F807" s="419"/>
      <c r="G807" s="419"/>
      <c r="H807" s="420">
        <f t="shared" si="2"/>
        <v>0</v>
      </c>
      <c r="I807" s="420" t="str">
        <f t="shared" si="3"/>
        <v/>
      </c>
      <c r="J807" s="113"/>
      <c r="K807" s="114"/>
      <c r="L807" s="15"/>
      <c r="M807" s="13"/>
      <c r="N807" s="15"/>
      <c r="O807" s="15"/>
      <c r="P807" s="15"/>
      <c r="Q807" s="15"/>
      <c r="R807" s="15"/>
    </row>
    <row r="808" ht="15.75" customHeight="1">
      <c r="A808" s="122"/>
      <c r="B808" s="112"/>
      <c r="C808" s="113"/>
      <c r="D808" s="113"/>
      <c r="E808" s="113"/>
      <c r="F808" s="419"/>
      <c r="G808" s="419"/>
      <c r="H808" s="420">
        <f t="shared" si="2"/>
        <v>0</v>
      </c>
      <c r="I808" s="420" t="str">
        <f t="shared" si="3"/>
        <v/>
      </c>
      <c r="J808" s="113"/>
      <c r="K808" s="114"/>
      <c r="L808" s="15"/>
      <c r="M808" s="13"/>
      <c r="N808" s="15"/>
      <c r="O808" s="15"/>
      <c r="P808" s="15"/>
      <c r="Q808" s="15"/>
      <c r="R808" s="15"/>
    </row>
    <row r="809" ht="15.75" customHeight="1">
      <c r="A809" s="122"/>
      <c r="B809" s="112"/>
      <c r="C809" s="113"/>
      <c r="D809" s="113"/>
      <c r="E809" s="113"/>
      <c r="F809" s="419"/>
      <c r="G809" s="419"/>
      <c r="H809" s="420">
        <f t="shared" si="2"/>
        <v>0</v>
      </c>
      <c r="I809" s="420" t="str">
        <f t="shared" si="3"/>
        <v/>
      </c>
      <c r="J809" s="113"/>
      <c r="K809" s="114"/>
      <c r="L809" s="15"/>
      <c r="M809" s="13"/>
      <c r="N809" s="15"/>
      <c r="O809" s="15"/>
      <c r="P809" s="15"/>
      <c r="Q809" s="15"/>
      <c r="R809" s="15"/>
    </row>
    <row r="810" ht="15.75" customHeight="1">
      <c r="A810" s="122"/>
      <c r="B810" s="112"/>
      <c r="C810" s="113"/>
      <c r="D810" s="113"/>
      <c r="E810" s="113"/>
      <c r="F810" s="419"/>
      <c r="G810" s="419"/>
      <c r="H810" s="420">
        <f t="shared" si="2"/>
        <v>0</v>
      </c>
      <c r="I810" s="420" t="str">
        <f t="shared" si="3"/>
        <v/>
      </c>
      <c r="J810" s="113"/>
      <c r="K810" s="114"/>
      <c r="L810" s="15"/>
      <c r="M810" s="13"/>
      <c r="N810" s="15"/>
      <c r="O810" s="15"/>
      <c r="P810" s="15"/>
      <c r="Q810" s="15"/>
      <c r="R810" s="15"/>
    </row>
    <row r="811" ht="15.75" customHeight="1">
      <c r="A811" s="122"/>
      <c r="B811" s="112"/>
      <c r="C811" s="113"/>
      <c r="D811" s="113"/>
      <c r="E811" s="113"/>
      <c r="F811" s="419"/>
      <c r="G811" s="419"/>
      <c r="H811" s="420">
        <f t="shared" si="2"/>
        <v>0</v>
      </c>
      <c r="I811" s="420" t="str">
        <f t="shared" si="3"/>
        <v/>
      </c>
      <c r="J811" s="113"/>
      <c r="K811" s="114"/>
      <c r="L811" s="15"/>
      <c r="M811" s="13"/>
      <c r="N811" s="15"/>
      <c r="O811" s="15"/>
      <c r="P811" s="15"/>
      <c r="Q811" s="15"/>
      <c r="R811" s="15"/>
    </row>
    <row r="812" ht="15.75" customHeight="1">
      <c r="A812" s="122"/>
      <c r="B812" s="112"/>
      <c r="C812" s="113"/>
      <c r="D812" s="113"/>
      <c r="E812" s="113"/>
      <c r="F812" s="419"/>
      <c r="G812" s="419"/>
      <c r="H812" s="420">
        <f t="shared" si="2"/>
        <v>0</v>
      </c>
      <c r="I812" s="420" t="str">
        <f t="shared" si="3"/>
        <v/>
      </c>
      <c r="J812" s="113"/>
      <c r="K812" s="114"/>
      <c r="L812" s="15"/>
      <c r="M812" s="13"/>
      <c r="N812" s="15"/>
      <c r="O812" s="15"/>
      <c r="P812" s="15"/>
      <c r="Q812" s="15"/>
      <c r="R812" s="15"/>
    </row>
    <row r="813" ht="15.75" customHeight="1">
      <c r="A813" s="122"/>
      <c r="B813" s="112"/>
      <c r="C813" s="113"/>
      <c r="D813" s="113"/>
      <c r="E813" s="113"/>
      <c r="F813" s="419"/>
      <c r="G813" s="419"/>
      <c r="H813" s="420">
        <f t="shared" si="2"/>
        <v>0</v>
      </c>
      <c r="I813" s="420" t="str">
        <f t="shared" si="3"/>
        <v/>
      </c>
      <c r="J813" s="113"/>
      <c r="K813" s="114"/>
      <c r="L813" s="15"/>
      <c r="M813" s="13"/>
      <c r="N813" s="15"/>
      <c r="O813" s="15"/>
      <c r="P813" s="15"/>
      <c r="Q813" s="15"/>
      <c r="R813" s="15"/>
    </row>
    <row r="814" ht="15.75" customHeight="1">
      <c r="A814" s="122"/>
      <c r="B814" s="112"/>
      <c r="C814" s="113"/>
      <c r="D814" s="113"/>
      <c r="E814" s="113"/>
      <c r="F814" s="419"/>
      <c r="G814" s="419"/>
      <c r="H814" s="420">
        <f t="shared" si="2"/>
        <v>0</v>
      </c>
      <c r="I814" s="420" t="str">
        <f t="shared" si="3"/>
        <v/>
      </c>
      <c r="J814" s="113"/>
      <c r="K814" s="114"/>
      <c r="L814" s="15"/>
      <c r="M814" s="13"/>
      <c r="N814" s="15"/>
      <c r="O814" s="15"/>
      <c r="P814" s="15"/>
      <c r="Q814" s="15"/>
      <c r="R814" s="15"/>
    </row>
    <row r="815" ht="15.75" customHeight="1">
      <c r="A815" s="122"/>
      <c r="B815" s="112"/>
      <c r="C815" s="113"/>
      <c r="D815" s="113"/>
      <c r="E815" s="113"/>
      <c r="F815" s="419"/>
      <c r="G815" s="419"/>
      <c r="H815" s="420">
        <f t="shared" si="2"/>
        <v>0</v>
      </c>
      <c r="I815" s="420" t="str">
        <f t="shared" si="3"/>
        <v/>
      </c>
      <c r="J815" s="113"/>
      <c r="K815" s="114"/>
      <c r="L815" s="15"/>
      <c r="M815" s="13"/>
      <c r="N815" s="15"/>
      <c r="O815" s="15"/>
      <c r="P815" s="15"/>
      <c r="Q815" s="15"/>
      <c r="R815" s="15"/>
    </row>
    <row r="816" ht="15.75" customHeight="1">
      <c r="A816" s="122"/>
      <c r="B816" s="112"/>
      <c r="C816" s="113"/>
      <c r="D816" s="113"/>
      <c r="E816" s="113"/>
      <c r="F816" s="419"/>
      <c r="G816" s="419"/>
      <c r="H816" s="420">
        <f t="shared" si="2"/>
        <v>0</v>
      </c>
      <c r="I816" s="420" t="str">
        <f t="shared" si="3"/>
        <v/>
      </c>
      <c r="J816" s="113"/>
      <c r="K816" s="114"/>
      <c r="L816" s="15"/>
      <c r="M816" s="13"/>
      <c r="N816" s="15"/>
      <c r="O816" s="15"/>
      <c r="P816" s="15"/>
      <c r="Q816" s="15"/>
      <c r="R816" s="15"/>
    </row>
    <row r="817" ht="15.75" customHeight="1">
      <c r="A817" s="122"/>
      <c r="B817" s="112"/>
      <c r="C817" s="113"/>
      <c r="D817" s="113"/>
      <c r="E817" s="113"/>
      <c r="F817" s="419"/>
      <c r="G817" s="419"/>
      <c r="H817" s="420">
        <f t="shared" si="2"/>
        <v>0</v>
      </c>
      <c r="I817" s="420" t="str">
        <f t="shared" si="3"/>
        <v/>
      </c>
      <c r="J817" s="113"/>
      <c r="K817" s="114"/>
      <c r="L817" s="15"/>
      <c r="M817" s="13"/>
      <c r="N817" s="15"/>
      <c r="O817" s="15"/>
      <c r="P817" s="15"/>
      <c r="Q817" s="15"/>
      <c r="R817" s="15"/>
    </row>
    <row r="818" ht="15.75" customHeight="1">
      <c r="A818" s="122"/>
      <c r="B818" s="112"/>
      <c r="C818" s="113"/>
      <c r="D818" s="113"/>
      <c r="E818" s="113"/>
      <c r="F818" s="419"/>
      <c r="G818" s="419"/>
      <c r="H818" s="420">
        <f t="shared" si="2"/>
        <v>0</v>
      </c>
      <c r="I818" s="420" t="str">
        <f t="shared" si="3"/>
        <v/>
      </c>
      <c r="J818" s="113"/>
      <c r="K818" s="114"/>
      <c r="L818" s="15"/>
      <c r="M818" s="13"/>
      <c r="N818" s="15"/>
      <c r="O818" s="15"/>
      <c r="P818" s="15"/>
      <c r="Q818" s="15"/>
      <c r="R818" s="15"/>
    </row>
    <row r="819" ht="15.75" customHeight="1">
      <c r="A819" s="122"/>
      <c r="B819" s="112"/>
      <c r="C819" s="113"/>
      <c r="D819" s="113"/>
      <c r="E819" s="113"/>
      <c r="F819" s="419"/>
      <c r="G819" s="419"/>
      <c r="H819" s="420">
        <f t="shared" si="2"/>
        <v>0</v>
      </c>
      <c r="I819" s="420" t="str">
        <f t="shared" si="3"/>
        <v/>
      </c>
      <c r="J819" s="113"/>
      <c r="K819" s="114"/>
      <c r="L819" s="15"/>
      <c r="M819" s="13"/>
      <c r="N819" s="15"/>
      <c r="O819" s="15"/>
      <c r="P819" s="15"/>
      <c r="Q819" s="15"/>
      <c r="R819" s="15"/>
    </row>
    <row r="820" ht="15.75" customHeight="1">
      <c r="A820" s="122"/>
      <c r="B820" s="112"/>
      <c r="C820" s="113"/>
      <c r="D820" s="113"/>
      <c r="E820" s="113"/>
      <c r="F820" s="419"/>
      <c r="G820" s="419"/>
      <c r="H820" s="420">
        <f t="shared" si="2"/>
        <v>0</v>
      </c>
      <c r="I820" s="420" t="str">
        <f t="shared" si="3"/>
        <v/>
      </c>
      <c r="J820" s="113"/>
      <c r="K820" s="114"/>
      <c r="L820" s="15"/>
      <c r="M820" s="13"/>
      <c r="N820" s="15"/>
      <c r="O820" s="15"/>
      <c r="P820" s="15"/>
      <c r="Q820" s="15"/>
      <c r="R820" s="15"/>
    </row>
    <row r="821" ht="15.75" customHeight="1">
      <c r="A821" s="122"/>
      <c r="B821" s="112"/>
      <c r="C821" s="113"/>
      <c r="D821" s="113"/>
      <c r="E821" s="113"/>
      <c r="F821" s="419"/>
      <c r="G821" s="419"/>
      <c r="H821" s="420">
        <f t="shared" si="2"/>
        <v>0</v>
      </c>
      <c r="I821" s="420" t="str">
        <f t="shared" si="3"/>
        <v/>
      </c>
      <c r="J821" s="113"/>
      <c r="K821" s="114"/>
      <c r="L821" s="15"/>
      <c r="M821" s="13"/>
      <c r="N821" s="15"/>
      <c r="O821" s="15"/>
      <c r="P821" s="15"/>
      <c r="Q821" s="15"/>
      <c r="R821" s="15"/>
    </row>
    <row r="822" ht="15.75" customHeight="1">
      <c r="A822" s="122"/>
      <c r="B822" s="112"/>
      <c r="C822" s="113"/>
      <c r="D822" s="113"/>
      <c r="E822" s="113"/>
      <c r="F822" s="419"/>
      <c r="G822" s="419"/>
      <c r="H822" s="420">
        <f t="shared" si="2"/>
        <v>0</v>
      </c>
      <c r="I822" s="420" t="str">
        <f t="shared" si="3"/>
        <v/>
      </c>
      <c r="J822" s="113"/>
      <c r="K822" s="114"/>
      <c r="L822" s="15"/>
      <c r="M822" s="13"/>
      <c r="N822" s="15"/>
      <c r="O822" s="15"/>
      <c r="P822" s="15"/>
      <c r="Q822" s="15"/>
      <c r="R822" s="15"/>
    </row>
    <row r="823" ht="15.75" customHeight="1">
      <c r="A823" s="122"/>
      <c r="B823" s="112"/>
      <c r="C823" s="113"/>
      <c r="D823" s="113"/>
      <c r="E823" s="113"/>
      <c r="F823" s="419"/>
      <c r="G823" s="419"/>
      <c r="H823" s="420">
        <f t="shared" si="2"/>
        <v>0</v>
      </c>
      <c r="I823" s="420" t="str">
        <f t="shared" si="3"/>
        <v/>
      </c>
      <c r="J823" s="113"/>
      <c r="K823" s="114"/>
      <c r="L823" s="15"/>
      <c r="M823" s="13"/>
      <c r="N823" s="15"/>
      <c r="O823" s="15"/>
      <c r="P823" s="15"/>
      <c r="Q823" s="15"/>
      <c r="R823" s="15"/>
    </row>
    <row r="824" ht="15.75" customHeight="1">
      <c r="A824" s="122"/>
      <c r="B824" s="112"/>
      <c r="C824" s="113"/>
      <c r="D824" s="113"/>
      <c r="E824" s="113"/>
      <c r="F824" s="419"/>
      <c r="G824" s="419"/>
      <c r="H824" s="420">
        <f t="shared" si="2"/>
        <v>0</v>
      </c>
      <c r="I824" s="420" t="str">
        <f t="shared" si="3"/>
        <v/>
      </c>
      <c r="J824" s="113"/>
      <c r="K824" s="114"/>
      <c r="L824" s="15"/>
      <c r="M824" s="13"/>
      <c r="N824" s="15"/>
      <c r="O824" s="15"/>
      <c r="P824" s="15"/>
      <c r="Q824" s="15"/>
      <c r="R824" s="15"/>
    </row>
    <row r="825" ht="15.75" customHeight="1">
      <c r="A825" s="122"/>
      <c r="B825" s="112"/>
      <c r="C825" s="113"/>
      <c r="D825" s="113"/>
      <c r="E825" s="113"/>
      <c r="F825" s="419"/>
      <c r="G825" s="419"/>
      <c r="H825" s="420">
        <f t="shared" si="2"/>
        <v>0</v>
      </c>
      <c r="I825" s="420" t="str">
        <f t="shared" si="3"/>
        <v/>
      </c>
      <c r="J825" s="113"/>
      <c r="K825" s="114"/>
      <c r="L825" s="15"/>
      <c r="M825" s="13"/>
      <c r="N825" s="15"/>
      <c r="O825" s="15"/>
      <c r="P825" s="15"/>
      <c r="Q825" s="15"/>
      <c r="R825" s="15"/>
    </row>
    <row r="826" ht="15.75" customHeight="1">
      <c r="A826" s="122"/>
      <c r="B826" s="112"/>
      <c r="C826" s="113"/>
      <c r="D826" s="113"/>
      <c r="E826" s="113"/>
      <c r="F826" s="419"/>
      <c r="G826" s="419"/>
      <c r="H826" s="420">
        <f t="shared" si="2"/>
        <v>0</v>
      </c>
      <c r="I826" s="420" t="str">
        <f t="shared" si="3"/>
        <v/>
      </c>
      <c r="J826" s="113"/>
      <c r="K826" s="114"/>
      <c r="L826" s="15"/>
      <c r="M826" s="13"/>
      <c r="N826" s="15"/>
      <c r="O826" s="15"/>
      <c r="P826" s="15"/>
      <c r="Q826" s="15"/>
      <c r="R826" s="15"/>
    </row>
    <row r="827" ht="15.75" customHeight="1">
      <c r="A827" s="122"/>
      <c r="B827" s="112"/>
      <c r="C827" s="113"/>
      <c r="D827" s="113"/>
      <c r="E827" s="113"/>
      <c r="F827" s="419"/>
      <c r="G827" s="419"/>
      <c r="H827" s="420">
        <f t="shared" si="2"/>
        <v>0</v>
      </c>
      <c r="I827" s="420" t="str">
        <f t="shared" si="3"/>
        <v/>
      </c>
      <c r="J827" s="113"/>
      <c r="K827" s="114"/>
      <c r="L827" s="15"/>
      <c r="M827" s="13"/>
      <c r="N827" s="15"/>
      <c r="O827" s="15"/>
      <c r="P827" s="15"/>
      <c r="Q827" s="15"/>
      <c r="R827" s="15"/>
    </row>
    <row r="828" ht="15.75" customHeight="1">
      <c r="A828" s="122"/>
      <c r="B828" s="112"/>
      <c r="C828" s="113"/>
      <c r="D828" s="113"/>
      <c r="E828" s="113"/>
      <c r="F828" s="419"/>
      <c r="G828" s="419"/>
      <c r="H828" s="420">
        <f t="shared" si="2"/>
        <v>0</v>
      </c>
      <c r="I828" s="420" t="str">
        <f t="shared" si="3"/>
        <v/>
      </c>
      <c r="J828" s="113"/>
      <c r="K828" s="114"/>
      <c r="L828" s="15"/>
      <c r="M828" s="13"/>
      <c r="N828" s="15"/>
      <c r="O828" s="15"/>
      <c r="P828" s="15"/>
      <c r="Q828" s="15"/>
      <c r="R828" s="15"/>
    </row>
    <row r="829" ht="15.75" customHeight="1">
      <c r="A829" s="122"/>
      <c r="B829" s="112"/>
      <c r="C829" s="113"/>
      <c r="D829" s="113"/>
      <c r="E829" s="113"/>
      <c r="F829" s="419"/>
      <c r="G829" s="419"/>
      <c r="H829" s="420">
        <f t="shared" si="2"/>
        <v>0</v>
      </c>
      <c r="I829" s="420" t="str">
        <f t="shared" si="3"/>
        <v/>
      </c>
      <c r="J829" s="113"/>
      <c r="K829" s="114"/>
      <c r="L829" s="15"/>
      <c r="M829" s="13"/>
      <c r="N829" s="15"/>
      <c r="O829" s="15"/>
      <c r="P829" s="15"/>
      <c r="Q829" s="15"/>
      <c r="R829" s="15"/>
    </row>
    <row r="830" ht="15.75" customHeight="1">
      <c r="A830" s="122"/>
      <c r="B830" s="112"/>
      <c r="C830" s="113"/>
      <c r="D830" s="113"/>
      <c r="E830" s="113"/>
      <c r="F830" s="419"/>
      <c r="G830" s="419"/>
      <c r="H830" s="420">
        <f t="shared" si="2"/>
        <v>0</v>
      </c>
      <c r="I830" s="420" t="str">
        <f t="shared" si="3"/>
        <v/>
      </c>
      <c r="J830" s="113"/>
      <c r="K830" s="114"/>
      <c r="L830" s="15"/>
      <c r="M830" s="13"/>
      <c r="N830" s="15"/>
      <c r="O830" s="15"/>
      <c r="P830" s="15"/>
      <c r="Q830" s="15"/>
      <c r="R830" s="15"/>
    </row>
    <row r="831" ht="15.75" customHeight="1">
      <c r="A831" s="122"/>
      <c r="B831" s="112"/>
      <c r="C831" s="113"/>
      <c r="D831" s="113"/>
      <c r="E831" s="113"/>
      <c r="F831" s="419"/>
      <c r="G831" s="419"/>
      <c r="H831" s="420">
        <f t="shared" si="2"/>
        <v>0</v>
      </c>
      <c r="I831" s="420" t="str">
        <f t="shared" si="3"/>
        <v/>
      </c>
      <c r="J831" s="113"/>
      <c r="K831" s="114"/>
      <c r="L831" s="15"/>
      <c r="M831" s="13"/>
      <c r="N831" s="15"/>
      <c r="O831" s="15"/>
      <c r="P831" s="15"/>
      <c r="Q831" s="15"/>
      <c r="R831" s="15"/>
    </row>
    <row r="832" ht="15.75" customHeight="1">
      <c r="A832" s="122"/>
      <c r="B832" s="112"/>
      <c r="C832" s="113"/>
      <c r="D832" s="113"/>
      <c r="E832" s="113"/>
      <c r="F832" s="419"/>
      <c r="G832" s="419"/>
      <c r="H832" s="420">
        <f t="shared" si="2"/>
        <v>0</v>
      </c>
      <c r="I832" s="420" t="str">
        <f t="shared" si="3"/>
        <v/>
      </c>
      <c r="J832" s="113"/>
      <c r="K832" s="114"/>
      <c r="L832" s="15"/>
      <c r="M832" s="13"/>
      <c r="N832" s="15"/>
      <c r="O832" s="15"/>
      <c r="P832" s="15"/>
      <c r="Q832" s="15"/>
      <c r="R832" s="15"/>
    </row>
    <row r="833" ht="15.75" customHeight="1">
      <c r="A833" s="122"/>
      <c r="B833" s="112"/>
      <c r="C833" s="113"/>
      <c r="D833" s="113"/>
      <c r="E833" s="113"/>
      <c r="F833" s="419"/>
      <c r="G833" s="419"/>
      <c r="H833" s="420">
        <f t="shared" si="2"/>
        <v>0</v>
      </c>
      <c r="I833" s="420" t="str">
        <f t="shared" si="3"/>
        <v/>
      </c>
      <c r="J833" s="113"/>
      <c r="K833" s="114"/>
      <c r="L833" s="15"/>
      <c r="M833" s="13"/>
      <c r="N833" s="15"/>
      <c r="O833" s="15"/>
      <c r="P833" s="15"/>
      <c r="Q833" s="15"/>
      <c r="R833" s="15"/>
    </row>
    <row r="834" ht="15.75" customHeight="1">
      <c r="A834" s="122"/>
      <c r="B834" s="112"/>
      <c r="C834" s="113"/>
      <c r="D834" s="113"/>
      <c r="E834" s="113"/>
      <c r="F834" s="419"/>
      <c r="G834" s="419"/>
      <c r="H834" s="420">
        <f t="shared" si="2"/>
        <v>0</v>
      </c>
      <c r="I834" s="420" t="str">
        <f t="shared" si="3"/>
        <v/>
      </c>
      <c r="J834" s="113"/>
      <c r="K834" s="114"/>
      <c r="L834" s="15"/>
      <c r="M834" s="13"/>
      <c r="N834" s="15"/>
      <c r="O834" s="15"/>
      <c r="P834" s="15"/>
      <c r="Q834" s="15"/>
      <c r="R834" s="15"/>
    </row>
    <row r="835" ht="15.75" customHeight="1">
      <c r="A835" s="122"/>
      <c r="B835" s="112"/>
      <c r="C835" s="113"/>
      <c r="D835" s="113"/>
      <c r="E835" s="113"/>
      <c r="F835" s="419"/>
      <c r="G835" s="419"/>
      <c r="H835" s="420">
        <f t="shared" si="2"/>
        <v>0</v>
      </c>
      <c r="I835" s="420" t="str">
        <f t="shared" si="3"/>
        <v/>
      </c>
      <c r="J835" s="113"/>
      <c r="K835" s="114"/>
      <c r="L835" s="15"/>
      <c r="M835" s="13"/>
      <c r="N835" s="15"/>
      <c r="O835" s="15"/>
      <c r="P835" s="15"/>
      <c r="Q835" s="15"/>
      <c r="R835" s="15"/>
    </row>
    <row r="836" ht="15.75" customHeight="1">
      <c r="A836" s="122"/>
      <c r="B836" s="112"/>
      <c r="C836" s="113"/>
      <c r="D836" s="113"/>
      <c r="E836" s="113"/>
      <c r="F836" s="419"/>
      <c r="G836" s="419"/>
      <c r="H836" s="420">
        <f t="shared" si="2"/>
        <v>0</v>
      </c>
      <c r="I836" s="420" t="str">
        <f t="shared" si="3"/>
        <v/>
      </c>
      <c r="J836" s="113"/>
      <c r="K836" s="114"/>
      <c r="L836" s="15"/>
      <c r="M836" s="13"/>
      <c r="N836" s="15"/>
      <c r="O836" s="15"/>
      <c r="P836" s="15"/>
      <c r="Q836" s="15"/>
      <c r="R836" s="15"/>
    </row>
    <row r="837" ht="15.75" customHeight="1">
      <c r="A837" s="122"/>
      <c r="B837" s="112"/>
      <c r="C837" s="113"/>
      <c r="D837" s="113"/>
      <c r="E837" s="113"/>
      <c r="F837" s="419"/>
      <c r="G837" s="419"/>
      <c r="H837" s="420">
        <f t="shared" si="2"/>
        <v>0</v>
      </c>
      <c r="I837" s="420" t="str">
        <f t="shared" si="3"/>
        <v/>
      </c>
      <c r="J837" s="113"/>
      <c r="K837" s="114"/>
      <c r="L837" s="15"/>
      <c r="M837" s="13"/>
      <c r="N837" s="15"/>
      <c r="O837" s="15"/>
      <c r="P837" s="15"/>
      <c r="Q837" s="15"/>
      <c r="R837" s="15"/>
    </row>
    <row r="838" ht="15.75" customHeight="1">
      <c r="A838" s="122"/>
      <c r="B838" s="112"/>
      <c r="C838" s="113"/>
      <c r="D838" s="113"/>
      <c r="E838" s="113"/>
      <c r="F838" s="419"/>
      <c r="G838" s="419"/>
      <c r="H838" s="420">
        <f t="shared" si="2"/>
        <v>0</v>
      </c>
      <c r="I838" s="420" t="str">
        <f t="shared" si="3"/>
        <v/>
      </c>
      <c r="J838" s="113"/>
      <c r="K838" s="114"/>
      <c r="L838" s="15"/>
      <c r="M838" s="13"/>
      <c r="N838" s="15"/>
      <c r="O838" s="15"/>
      <c r="P838" s="15"/>
      <c r="Q838" s="15"/>
      <c r="R838" s="15"/>
    </row>
    <row r="839" ht="15.75" customHeight="1">
      <c r="A839" s="122"/>
      <c r="B839" s="112"/>
      <c r="C839" s="113"/>
      <c r="D839" s="113"/>
      <c r="E839" s="113"/>
      <c r="F839" s="419"/>
      <c r="G839" s="419"/>
      <c r="H839" s="420">
        <f t="shared" si="2"/>
        <v>0</v>
      </c>
      <c r="I839" s="420" t="str">
        <f t="shared" si="3"/>
        <v/>
      </c>
      <c r="J839" s="113"/>
      <c r="K839" s="114"/>
      <c r="L839" s="15"/>
      <c r="M839" s="13"/>
      <c r="N839" s="15"/>
      <c r="O839" s="15"/>
      <c r="P839" s="15"/>
      <c r="Q839" s="15"/>
      <c r="R839" s="15"/>
    </row>
    <row r="840" ht="15.75" customHeight="1">
      <c r="A840" s="122"/>
      <c r="B840" s="112"/>
      <c r="C840" s="113"/>
      <c r="D840" s="113"/>
      <c r="E840" s="113"/>
      <c r="F840" s="419"/>
      <c r="G840" s="419"/>
      <c r="H840" s="420">
        <f t="shared" si="2"/>
        <v>0</v>
      </c>
      <c r="I840" s="420" t="str">
        <f t="shared" si="3"/>
        <v/>
      </c>
      <c r="J840" s="113"/>
      <c r="K840" s="114"/>
      <c r="L840" s="15"/>
      <c r="M840" s="13"/>
      <c r="N840" s="15"/>
      <c r="O840" s="15"/>
      <c r="P840" s="15"/>
      <c r="Q840" s="15"/>
      <c r="R840" s="15"/>
    </row>
    <row r="841" ht="15.75" customHeight="1">
      <c r="A841" s="122"/>
      <c r="B841" s="112"/>
      <c r="C841" s="113"/>
      <c r="D841" s="113"/>
      <c r="E841" s="113"/>
      <c r="F841" s="419"/>
      <c r="G841" s="419"/>
      <c r="H841" s="420">
        <f t="shared" si="2"/>
        <v>0</v>
      </c>
      <c r="I841" s="420" t="str">
        <f t="shared" si="3"/>
        <v/>
      </c>
      <c r="J841" s="113"/>
      <c r="K841" s="114"/>
      <c r="L841" s="15"/>
      <c r="M841" s="13"/>
      <c r="N841" s="15"/>
      <c r="O841" s="15"/>
      <c r="P841" s="15"/>
      <c r="Q841" s="15"/>
      <c r="R841" s="15"/>
    </row>
    <row r="842" ht="15.75" customHeight="1">
      <c r="A842" s="122"/>
      <c r="B842" s="112"/>
      <c r="C842" s="113"/>
      <c r="D842" s="113"/>
      <c r="E842" s="113"/>
      <c r="F842" s="419"/>
      <c r="G842" s="419"/>
      <c r="H842" s="420">
        <f t="shared" si="2"/>
        <v>0</v>
      </c>
      <c r="I842" s="420" t="str">
        <f t="shared" si="3"/>
        <v/>
      </c>
      <c r="J842" s="113"/>
      <c r="K842" s="114"/>
      <c r="L842" s="15"/>
      <c r="M842" s="13"/>
      <c r="N842" s="15"/>
      <c r="O842" s="15"/>
      <c r="P842" s="15"/>
      <c r="Q842" s="15"/>
      <c r="R842" s="15"/>
    </row>
    <row r="843" ht="15.75" customHeight="1">
      <c r="A843" s="122"/>
      <c r="B843" s="112"/>
      <c r="C843" s="113"/>
      <c r="D843" s="113"/>
      <c r="E843" s="113"/>
      <c r="F843" s="419"/>
      <c r="G843" s="419"/>
      <c r="H843" s="420">
        <f t="shared" si="2"/>
        <v>0</v>
      </c>
      <c r="I843" s="420" t="str">
        <f t="shared" si="3"/>
        <v/>
      </c>
      <c r="J843" s="113"/>
      <c r="K843" s="114"/>
      <c r="L843" s="15"/>
      <c r="M843" s="13"/>
      <c r="N843" s="15"/>
      <c r="O843" s="15"/>
      <c r="P843" s="15"/>
      <c r="Q843" s="15"/>
      <c r="R843" s="15"/>
    </row>
    <row r="844" ht="15.75" customHeight="1">
      <c r="A844" s="122"/>
      <c r="B844" s="112"/>
      <c r="C844" s="113"/>
      <c r="D844" s="113"/>
      <c r="E844" s="113"/>
      <c r="F844" s="419"/>
      <c r="G844" s="419"/>
      <c r="H844" s="420">
        <f t="shared" si="2"/>
        <v>0</v>
      </c>
      <c r="I844" s="420" t="str">
        <f t="shared" si="3"/>
        <v/>
      </c>
      <c r="J844" s="113"/>
      <c r="K844" s="114"/>
      <c r="L844" s="15"/>
      <c r="M844" s="13"/>
      <c r="N844" s="15"/>
      <c r="O844" s="15"/>
      <c r="P844" s="15"/>
      <c r="Q844" s="15"/>
      <c r="R844" s="15"/>
    </row>
    <row r="845" ht="15.75" customHeight="1">
      <c r="A845" s="122"/>
      <c r="B845" s="112"/>
      <c r="C845" s="113"/>
      <c r="D845" s="113"/>
      <c r="E845" s="113"/>
      <c r="F845" s="419"/>
      <c r="G845" s="419"/>
      <c r="H845" s="420">
        <f t="shared" si="2"/>
        <v>0</v>
      </c>
      <c r="I845" s="420" t="str">
        <f t="shared" si="3"/>
        <v/>
      </c>
      <c r="J845" s="113"/>
      <c r="K845" s="114"/>
      <c r="L845" s="15"/>
      <c r="M845" s="13"/>
      <c r="N845" s="15"/>
      <c r="O845" s="15"/>
      <c r="P845" s="15"/>
      <c r="Q845" s="15"/>
      <c r="R845" s="15"/>
    </row>
    <row r="846" ht="15.75" customHeight="1">
      <c r="A846" s="122"/>
      <c r="B846" s="112"/>
      <c r="C846" s="113"/>
      <c r="D846" s="113"/>
      <c r="E846" s="113"/>
      <c r="F846" s="419"/>
      <c r="G846" s="419"/>
      <c r="H846" s="420">
        <f t="shared" si="2"/>
        <v>0</v>
      </c>
      <c r="I846" s="420" t="str">
        <f t="shared" si="3"/>
        <v/>
      </c>
      <c r="J846" s="113"/>
      <c r="K846" s="114"/>
      <c r="L846" s="15"/>
      <c r="M846" s="13"/>
      <c r="N846" s="15"/>
      <c r="O846" s="15"/>
      <c r="P846" s="15"/>
      <c r="Q846" s="15"/>
      <c r="R846" s="15"/>
    </row>
    <row r="847" ht="15.75" customHeight="1">
      <c r="A847" s="122"/>
      <c r="B847" s="112"/>
      <c r="C847" s="113"/>
      <c r="D847" s="113"/>
      <c r="E847" s="113"/>
      <c r="F847" s="419"/>
      <c r="G847" s="419"/>
      <c r="H847" s="420">
        <f t="shared" si="2"/>
        <v>0</v>
      </c>
      <c r="I847" s="420" t="str">
        <f t="shared" si="3"/>
        <v/>
      </c>
      <c r="J847" s="113"/>
      <c r="K847" s="114"/>
      <c r="L847" s="15"/>
      <c r="M847" s="13"/>
      <c r="N847" s="15"/>
      <c r="O847" s="15"/>
      <c r="P847" s="15"/>
      <c r="Q847" s="15"/>
      <c r="R847" s="15"/>
    </row>
    <row r="848" ht="15.75" customHeight="1">
      <c r="A848" s="122"/>
      <c r="B848" s="112"/>
      <c r="C848" s="113"/>
      <c r="D848" s="113"/>
      <c r="E848" s="113"/>
      <c r="F848" s="419"/>
      <c r="G848" s="419"/>
      <c r="H848" s="420">
        <f t="shared" si="2"/>
        <v>0</v>
      </c>
      <c r="I848" s="420" t="str">
        <f t="shared" si="3"/>
        <v/>
      </c>
      <c r="J848" s="113"/>
      <c r="K848" s="114"/>
      <c r="L848" s="15"/>
      <c r="M848" s="13"/>
      <c r="N848" s="15"/>
      <c r="O848" s="15"/>
      <c r="P848" s="15"/>
      <c r="Q848" s="15"/>
      <c r="R848" s="15"/>
    </row>
    <row r="849" ht="15.75" customHeight="1">
      <c r="A849" s="122"/>
      <c r="B849" s="112"/>
      <c r="C849" s="113"/>
      <c r="D849" s="113"/>
      <c r="E849" s="113"/>
      <c r="F849" s="419"/>
      <c r="G849" s="419"/>
      <c r="H849" s="420">
        <f t="shared" si="2"/>
        <v>0</v>
      </c>
      <c r="I849" s="420" t="str">
        <f t="shared" si="3"/>
        <v/>
      </c>
      <c r="J849" s="113"/>
      <c r="K849" s="114"/>
      <c r="L849" s="15"/>
      <c r="M849" s="13"/>
      <c r="N849" s="15"/>
      <c r="O849" s="15"/>
      <c r="P849" s="15"/>
      <c r="Q849" s="15"/>
      <c r="R849" s="15"/>
    </row>
    <row r="850" ht="15.75" customHeight="1">
      <c r="A850" s="122"/>
      <c r="B850" s="112"/>
      <c r="C850" s="113"/>
      <c r="D850" s="113"/>
      <c r="E850" s="113"/>
      <c r="F850" s="419"/>
      <c r="G850" s="419"/>
      <c r="H850" s="420">
        <f t="shared" si="2"/>
        <v>0</v>
      </c>
      <c r="I850" s="420" t="str">
        <f t="shared" si="3"/>
        <v/>
      </c>
      <c r="J850" s="113"/>
      <c r="K850" s="114"/>
      <c r="L850" s="15"/>
      <c r="M850" s="13"/>
      <c r="N850" s="15"/>
      <c r="O850" s="15"/>
      <c r="P850" s="15"/>
      <c r="Q850" s="15"/>
      <c r="R850" s="15"/>
    </row>
    <row r="851" ht="15.75" customHeight="1">
      <c r="A851" s="122"/>
      <c r="B851" s="112"/>
      <c r="C851" s="113"/>
      <c r="D851" s="113"/>
      <c r="E851" s="113"/>
      <c r="F851" s="419"/>
      <c r="G851" s="419"/>
      <c r="H851" s="420">
        <f t="shared" si="2"/>
        <v>0</v>
      </c>
      <c r="I851" s="420" t="str">
        <f t="shared" si="3"/>
        <v/>
      </c>
      <c r="J851" s="113"/>
      <c r="K851" s="114"/>
      <c r="L851" s="15"/>
      <c r="M851" s="13"/>
      <c r="N851" s="15"/>
      <c r="O851" s="15"/>
      <c r="P851" s="15"/>
      <c r="Q851" s="15"/>
      <c r="R851" s="15"/>
    </row>
    <row r="852" ht="15.75" customHeight="1">
      <c r="A852" s="122"/>
      <c r="B852" s="112"/>
      <c r="C852" s="113"/>
      <c r="D852" s="113"/>
      <c r="E852" s="113"/>
      <c r="F852" s="419"/>
      <c r="G852" s="419"/>
      <c r="H852" s="420">
        <f t="shared" si="2"/>
        <v>0</v>
      </c>
      <c r="I852" s="420" t="str">
        <f t="shared" si="3"/>
        <v/>
      </c>
      <c r="J852" s="113"/>
      <c r="K852" s="114"/>
      <c r="L852" s="15"/>
      <c r="M852" s="13"/>
      <c r="N852" s="15"/>
      <c r="O852" s="15"/>
      <c r="P852" s="15"/>
      <c r="Q852" s="15"/>
      <c r="R852" s="15"/>
    </row>
    <row r="853" ht="15.75" customHeight="1">
      <c r="A853" s="122"/>
      <c r="B853" s="112"/>
      <c r="C853" s="113"/>
      <c r="D853" s="113"/>
      <c r="E853" s="113"/>
      <c r="F853" s="419"/>
      <c r="G853" s="419"/>
      <c r="H853" s="420">
        <f t="shared" si="2"/>
        <v>0</v>
      </c>
      <c r="I853" s="420" t="str">
        <f t="shared" si="3"/>
        <v/>
      </c>
      <c r="J853" s="113"/>
      <c r="K853" s="114"/>
      <c r="L853" s="15"/>
      <c r="M853" s="13"/>
      <c r="N853" s="15"/>
      <c r="O853" s="15"/>
      <c r="P853" s="15"/>
      <c r="Q853" s="15"/>
      <c r="R853" s="15"/>
    </row>
    <row r="854" ht="15.75" customHeight="1">
      <c r="A854" s="122"/>
      <c r="B854" s="112"/>
      <c r="C854" s="113"/>
      <c r="D854" s="113"/>
      <c r="E854" s="113"/>
      <c r="F854" s="419"/>
      <c r="G854" s="419"/>
      <c r="H854" s="420">
        <f t="shared" si="2"/>
        <v>0</v>
      </c>
      <c r="I854" s="420" t="str">
        <f t="shared" si="3"/>
        <v/>
      </c>
      <c r="J854" s="113"/>
      <c r="K854" s="114"/>
      <c r="L854" s="15"/>
      <c r="M854" s="13"/>
      <c r="N854" s="15"/>
      <c r="O854" s="15"/>
      <c r="P854" s="15"/>
      <c r="Q854" s="15"/>
      <c r="R854" s="15"/>
    </row>
    <row r="855" ht="15.75" customHeight="1">
      <c r="A855" s="122"/>
      <c r="B855" s="112"/>
      <c r="C855" s="113"/>
      <c r="D855" s="113"/>
      <c r="E855" s="113"/>
      <c r="F855" s="419"/>
      <c r="G855" s="419"/>
      <c r="H855" s="420">
        <f t="shared" si="2"/>
        <v>0</v>
      </c>
      <c r="I855" s="420" t="str">
        <f t="shared" si="3"/>
        <v/>
      </c>
      <c r="J855" s="113"/>
      <c r="K855" s="114"/>
      <c r="L855" s="15"/>
      <c r="M855" s="13"/>
      <c r="N855" s="15"/>
      <c r="O855" s="15"/>
      <c r="P855" s="15"/>
      <c r="Q855" s="15"/>
      <c r="R855" s="15"/>
    </row>
    <row r="856" ht="15.75" customHeight="1">
      <c r="A856" s="122"/>
      <c r="B856" s="112"/>
      <c r="C856" s="113"/>
      <c r="D856" s="113"/>
      <c r="E856" s="113"/>
      <c r="F856" s="419"/>
      <c r="G856" s="419"/>
      <c r="H856" s="420">
        <f t="shared" si="2"/>
        <v>0</v>
      </c>
      <c r="I856" s="420" t="str">
        <f t="shared" si="3"/>
        <v/>
      </c>
      <c r="J856" s="113"/>
      <c r="K856" s="114"/>
      <c r="L856" s="15"/>
      <c r="M856" s="13"/>
      <c r="N856" s="15"/>
      <c r="O856" s="15"/>
      <c r="P856" s="15"/>
      <c r="Q856" s="15"/>
      <c r="R856" s="15"/>
    </row>
    <row r="857" ht="15.75" customHeight="1">
      <c r="A857" s="122"/>
      <c r="B857" s="112"/>
      <c r="C857" s="113"/>
      <c r="D857" s="113"/>
      <c r="E857" s="113"/>
      <c r="F857" s="419"/>
      <c r="G857" s="419"/>
      <c r="H857" s="420">
        <f t="shared" si="2"/>
        <v>0</v>
      </c>
      <c r="I857" s="420" t="str">
        <f t="shared" si="3"/>
        <v/>
      </c>
      <c r="J857" s="113"/>
      <c r="K857" s="114"/>
      <c r="L857" s="15"/>
      <c r="M857" s="13"/>
      <c r="N857" s="15"/>
      <c r="O857" s="15"/>
      <c r="P857" s="15"/>
      <c r="Q857" s="15"/>
      <c r="R857" s="15"/>
    </row>
    <row r="858" ht="15.75" customHeight="1">
      <c r="A858" s="122"/>
      <c r="B858" s="112"/>
      <c r="C858" s="113"/>
      <c r="D858" s="113"/>
      <c r="E858" s="113"/>
      <c r="F858" s="419"/>
      <c r="G858" s="419"/>
      <c r="H858" s="420">
        <f t="shared" si="2"/>
        <v>0</v>
      </c>
      <c r="I858" s="420" t="str">
        <f t="shared" si="3"/>
        <v/>
      </c>
      <c r="J858" s="113"/>
      <c r="K858" s="114"/>
      <c r="L858" s="15"/>
      <c r="M858" s="13"/>
      <c r="N858" s="15"/>
      <c r="O858" s="15"/>
      <c r="P858" s="15"/>
      <c r="Q858" s="15"/>
      <c r="R858" s="15"/>
    </row>
    <row r="859" ht="15.75" customHeight="1">
      <c r="A859" s="122"/>
      <c r="B859" s="112"/>
      <c r="C859" s="113"/>
      <c r="D859" s="113"/>
      <c r="E859" s="113"/>
      <c r="F859" s="419"/>
      <c r="G859" s="419"/>
      <c r="H859" s="420">
        <f t="shared" si="2"/>
        <v>0</v>
      </c>
      <c r="I859" s="420" t="str">
        <f t="shared" si="3"/>
        <v/>
      </c>
      <c r="J859" s="113"/>
      <c r="K859" s="114"/>
      <c r="L859" s="15"/>
      <c r="M859" s="13"/>
      <c r="N859" s="15"/>
      <c r="O859" s="15"/>
      <c r="P859" s="15"/>
      <c r="Q859" s="15"/>
      <c r="R859" s="15"/>
    </row>
    <row r="860" ht="15.75" customHeight="1">
      <c r="A860" s="122"/>
      <c r="B860" s="112"/>
      <c r="C860" s="113"/>
      <c r="D860" s="113"/>
      <c r="E860" s="113"/>
      <c r="F860" s="419"/>
      <c r="G860" s="419"/>
      <c r="H860" s="420">
        <f t="shared" si="2"/>
        <v>0</v>
      </c>
      <c r="I860" s="420" t="str">
        <f t="shared" si="3"/>
        <v/>
      </c>
      <c r="J860" s="113"/>
      <c r="K860" s="114"/>
      <c r="L860" s="15"/>
      <c r="M860" s="13"/>
      <c r="N860" s="15"/>
      <c r="O860" s="15"/>
      <c r="P860" s="15"/>
      <c r="Q860" s="15"/>
      <c r="R860" s="15"/>
    </row>
    <row r="861" ht="15.75" customHeight="1">
      <c r="A861" s="122"/>
      <c r="B861" s="112"/>
      <c r="C861" s="113"/>
      <c r="D861" s="113"/>
      <c r="E861" s="113"/>
      <c r="F861" s="419"/>
      <c r="G861" s="419"/>
      <c r="H861" s="420">
        <f t="shared" si="2"/>
        <v>0</v>
      </c>
      <c r="I861" s="420" t="str">
        <f t="shared" si="3"/>
        <v/>
      </c>
      <c r="J861" s="113"/>
      <c r="K861" s="114"/>
      <c r="L861" s="15"/>
      <c r="M861" s="13"/>
      <c r="N861" s="15"/>
      <c r="O861" s="15"/>
      <c r="P861" s="15"/>
      <c r="Q861" s="15"/>
      <c r="R861" s="15"/>
    </row>
    <row r="862" ht="15.75" customHeight="1">
      <c r="A862" s="122"/>
      <c r="B862" s="112"/>
      <c r="C862" s="113"/>
      <c r="D862" s="113"/>
      <c r="E862" s="113"/>
      <c r="F862" s="419"/>
      <c r="G862" s="419"/>
      <c r="H862" s="420">
        <f t="shared" si="2"/>
        <v>0</v>
      </c>
      <c r="I862" s="420" t="str">
        <f t="shared" si="3"/>
        <v/>
      </c>
      <c r="J862" s="113"/>
      <c r="K862" s="114"/>
      <c r="L862" s="15"/>
      <c r="M862" s="13"/>
      <c r="N862" s="15"/>
      <c r="O862" s="15"/>
      <c r="P862" s="15"/>
      <c r="Q862" s="15"/>
      <c r="R862" s="15"/>
    </row>
    <row r="863" ht="15.75" customHeight="1">
      <c r="A863" s="122"/>
      <c r="B863" s="112"/>
      <c r="C863" s="113"/>
      <c r="D863" s="113"/>
      <c r="E863" s="113"/>
      <c r="F863" s="419"/>
      <c r="G863" s="419"/>
      <c r="H863" s="420">
        <f t="shared" si="2"/>
        <v>0</v>
      </c>
      <c r="I863" s="420" t="str">
        <f t="shared" si="3"/>
        <v/>
      </c>
      <c r="J863" s="113"/>
      <c r="K863" s="114"/>
      <c r="L863" s="15"/>
      <c r="M863" s="13"/>
      <c r="N863" s="15"/>
      <c r="O863" s="15"/>
      <c r="P863" s="15"/>
      <c r="Q863" s="15"/>
      <c r="R863" s="15"/>
    </row>
    <row r="864" ht="15.75" customHeight="1">
      <c r="A864" s="122"/>
      <c r="B864" s="112"/>
      <c r="C864" s="113"/>
      <c r="D864" s="113"/>
      <c r="E864" s="113"/>
      <c r="F864" s="419"/>
      <c r="G864" s="419"/>
      <c r="H864" s="420">
        <f t="shared" si="2"/>
        <v>0</v>
      </c>
      <c r="I864" s="420" t="str">
        <f t="shared" si="3"/>
        <v/>
      </c>
      <c r="J864" s="113"/>
      <c r="K864" s="114"/>
      <c r="L864" s="15"/>
      <c r="M864" s="13"/>
      <c r="N864" s="15"/>
      <c r="O864" s="15"/>
      <c r="P864" s="15"/>
      <c r="Q864" s="15"/>
      <c r="R864" s="15"/>
    </row>
    <row r="865" ht="15.75" customHeight="1">
      <c r="A865" s="122"/>
      <c r="B865" s="112"/>
      <c r="C865" s="113"/>
      <c r="D865" s="113"/>
      <c r="E865" s="113"/>
      <c r="F865" s="419"/>
      <c r="G865" s="419"/>
      <c r="H865" s="420">
        <f t="shared" si="2"/>
        <v>0</v>
      </c>
      <c r="I865" s="420" t="str">
        <f t="shared" si="3"/>
        <v/>
      </c>
      <c r="J865" s="113"/>
      <c r="K865" s="114"/>
      <c r="L865" s="15"/>
      <c r="M865" s="13"/>
      <c r="N865" s="15"/>
      <c r="O865" s="15"/>
      <c r="P865" s="15"/>
      <c r="Q865" s="15"/>
      <c r="R865" s="15"/>
    </row>
    <row r="866" ht="15.75" customHeight="1">
      <c r="A866" s="122"/>
      <c r="B866" s="112"/>
      <c r="C866" s="113"/>
      <c r="D866" s="113"/>
      <c r="E866" s="113"/>
      <c r="F866" s="419"/>
      <c r="G866" s="419"/>
      <c r="H866" s="420">
        <f t="shared" si="2"/>
        <v>0</v>
      </c>
      <c r="I866" s="420" t="str">
        <f t="shared" si="3"/>
        <v/>
      </c>
      <c r="J866" s="113"/>
      <c r="K866" s="114"/>
      <c r="L866" s="15"/>
      <c r="M866" s="13"/>
      <c r="N866" s="15"/>
      <c r="O866" s="15"/>
      <c r="P866" s="15"/>
      <c r="Q866" s="15"/>
      <c r="R866" s="15"/>
    </row>
    <row r="867" ht="15.75" customHeight="1">
      <c r="A867" s="122"/>
      <c r="B867" s="112"/>
      <c r="C867" s="113"/>
      <c r="D867" s="113"/>
      <c r="E867" s="113"/>
      <c r="F867" s="419"/>
      <c r="G867" s="419"/>
      <c r="H867" s="420">
        <f t="shared" si="2"/>
        <v>0</v>
      </c>
      <c r="I867" s="420" t="str">
        <f t="shared" si="3"/>
        <v/>
      </c>
      <c r="J867" s="113"/>
      <c r="K867" s="114"/>
      <c r="L867" s="15"/>
      <c r="M867" s="13"/>
      <c r="N867" s="15"/>
      <c r="O867" s="15"/>
      <c r="P867" s="15"/>
      <c r="Q867" s="15"/>
      <c r="R867" s="15"/>
    </row>
    <row r="868" ht="15.75" customHeight="1">
      <c r="A868" s="122"/>
      <c r="B868" s="112"/>
      <c r="C868" s="113"/>
      <c r="D868" s="113"/>
      <c r="E868" s="113"/>
      <c r="F868" s="419"/>
      <c r="G868" s="419"/>
      <c r="H868" s="420">
        <f t="shared" si="2"/>
        <v>0</v>
      </c>
      <c r="I868" s="420" t="str">
        <f t="shared" si="3"/>
        <v/>
      </c>
      <c r="J868" s="113"/>
      <c r="K868" s="114"/>
      <c r="L868" s="15"/>
      <c r="M868" s="13"/>
      <c r="N868" s="15"/>
      <c r="O868" s="15"/>
      <c r="P868" s="15"/>
      <c r="Q868" s="15"/>
      <c r="R868" s="15"/>
    </row>
    <row r="869" ht="15.75" customHeight="1">
      <c r="A869" s="122"/>
      <c r="B869" s="112"/>
      <c r="C869" s="113"/>
      <c r="D869" s="113"/>
      <c r="E869" s="113"/>
      <c r="F869" s="419"/>
      <c r="G869" s="419"/>
      <c r="H869" s="420">
        <f t="shared" si="2"/>
        <v>0</v>
      </c>
      <c r="I869" s="420" t="str">
        <f t="shared" si="3"/>
        <v/>
      </c>
      <c r="J869" s="113"/>
      <c r="K869" s="114"/>
      <c r="L869" s="15"/>
      <c r="M869" s="13"/>
      <c r="N869" s="15"/>
      <c r="O869" s="15"/>
      <c r="P869" s="15"/>
      <c r="Q869" s="15"/>
      <c r="R869" s="15"/>
    </row>
    <row r="870" ht="15.75" customHeight="1">
      <c r="A870" s="122"/>
      <c r="B870" s="112"/>
      <c r="C870" s="113"/>
      <c r="D870" s="113"/>
      <c r="E870" s="113"/>
      <c r="F870" s="419"/>
      <c r="G870" s="419"/>
      <c r="H870" s="420">
        <f t="shared" si="2"/>
        <v>0</v>
      </c>
      <c r="I870" s="420" t="str">
        <f t="shared" si="3"/>
        <v/>
      </c>
      <c r="J870" s="113"/>
      <c r="K870" s="114"/>
      <c r="L870" s="15"/>
      <c r="M870" s="13"/>
      <c r="N870" s="15"/>
      <c r="O870" s="15"/>
      <c r="P870" s="15"/>
      <c r="Q870" s="15"/>
      <c r="R870" s="15"/>
    </row>
    <row r="871" ht="15.75" customHeight="1">
      <c r="A871" s="122"/>
      <c r="B871" s="112"/>
      <c r="C871" s="113"/>
      <c r="D871" s="113"/>
      <c r="E871" s="113"/>
      <c r="F871" s="419"/>
      <c r="G871" s="419"/>
      <c r="H871" s="420">
        <f t="shared" si="2"/>
        <v>0</v>
      </c>
      <c r="I871" s="420" t="str">
        <f t="shared" si="3"/>
        <v/>
      </c>
      <c r="J871" s="113"/>
      <c r="K871" s="114"/>
      <c r="L871" s="15"/>
      <c r="M871" s="13"/>
      <c r="N871" s="15"/>
      <c r="O871" s="15"/>
      <c r="P871" s="15"/>
      <c r="Q871" s="15"/>
      <c r="R871" s="15"/>
    </row>
    <row r="872" ht="15.75" customHeight="1">
      <c r="A872" s="122"/>
      <c r="B872" s="112"/>
      <c r="C872" s="113"/>
      <c r="D872" s="113"/>
      <c r="E872" s="113"/>
      <c r="F872" s="419"/>
      <c r="G872" s="419"/>
      <c r="H872" s="420">
        <f t="shared" si="2"/>
        <v>0</v>
      </c>
      <c r="I872" s="420" t="str">
        <f t="shared" si="3"/>
        <v/>
      </c>
      <c r="J872" s="113"/>
      <c r="K872" s="114"/>
      <c r="L872" s="15"/>
      <c r="M872" s="13"/>
      <c r="N872" s="15"/>
      <c r="O872" s="15"/>
      <c r="P872" s="15"/>
      <c r="Q872" s="15"/>
      <c r="R872" s="15"/>
    </row>
    <row r="873" ht="15.75" customHeight="1">
      <c r="A873" s="122"/>
      <c r="B873" s="112"/>
      <c r="C873" s="113"/>
      <c r="D873" s="113"/>
      <c r="E873" s="113"/>
      <c r="F873" s="419"/>
      <c r="G873" s="419"/>
      <c r="H873" s="420">
        <f t="shared" si="2"/>
        <v>0</v>
      </c>
      <c r="I873" s="420" t="str">
        <f t="shared" si="3"/>
        <v/>
      </c>
      <c r="J873" s="113"/>
      <c r="K873" s="114"/>
      <c r="L873" s="15"/>
      <c r="M873" s="13"/>
      <c r="N873" s="15"/>
      <c r="O873" s="15"/>
      <c r="P873" s="15"/>
      <c r="Q873" s="15"/>
      <c r="R873" s="15"/>
    </row>
    <row r="874" ht="15.75" customHeight="1">
      <c r="A874" s="122"/>
      <c r="B874" s="112"/>
      <c r="C874" s="113"/>
      <c r="D874" s="113"/>
      <c r="E874" s="113"/>
      <c r="F874" s="419"/>
      <c r="G874" s="419"/>
      <c r="H874" s="420">
        <f t="shared" si="2"/>
        <v>0</v>
      </c>
      <c r="I874" s="420" t="str">
        <f t="shared" si="3"/>
        <v/>
      </c>
      <c r="J874" s="113"/>
      <c r="K874" s="114"/>
      <c r="L874" s="15"/>
      <c r="M874" s="13"/>
      <c r="N874" s="15"/>
      <c r="O874" s="15"/>
      <c r="P874" s="15"/>
      <c r="Q874" s="15"/>
      <c r="R874" s="15"/>
    </row>
    <row r="875" ht="15.75" customHeight="1">
      <c r="A875" s="122"/>
      <c r="B875" s="112"/>
      <c r="C875" s="113"/>
      <c r="D875" s="113"/>
      <c r="E875" s="113"/>
      <c r="F875" s="419"/>
      <c r="G875" s="419"/>
      <c r="H875" s="420">
        <f t="shared" si="2"/>
        <v>0</v>
      </c>
      <c r="I875" s="420" t="str">
        <f t="shared" si="3"/>
        <v/>
      </c>
      <c r="J875" s="113"/>
      <c r="K875" s="114"/>
      <c r="L875" s="15"/>
      <c r="M875" s="13"/>
      <c r="N875" s="15"/>
      <c r="O875" s="15"/>
      <c r="P875" s="15"/>
      <c r="Q875" s="15"/>
      <c r="R875" s="15"/>
    </row>
    <row r="876" ht="15.75" customHeight="1">
      <c r="A876" s="122"/>
      <c r="B876" s="112"/>
      <c r="C876" s="113"/>
      <c r="D876" s="113"/>
      <c r="E876" s="113"/>
      <c r="F876" s="419"/>
      <c r="G876" s="419"/>
      <c r="H876" s="420">
        <f t="shared" si="2"/>
        <v>0</v>
      </c>
      <c r="I876" s="420" t="str">
        <f t="shared" si="3"/>
        <v/>
      </c>
      <c r="J876" s="113"/>
      <c r="K876" s="114"/>
      <c r="L876" s="15"/>
      <c r="M876" s="13"/>
      <c r="N876" s="15"/>
      <c r="O876" s="15"/>
      <c r="P876" s="15"/>
      <c r="Q876" s="15"/>
      <c r="R876" s="15"/>
    </row>
    <row r="877" ht="15.75" customHeight="1">
      <c r="A877" s="122"/>
      <c r="B877" s="112"/>
      <c r="C877" s="113"/>
      <c r="D877" s="113"/>
      <c r="E877" s="113"/>
      <c r="F877" s="419"/>
      <c r="G877" s="419"/>
      <c r="H877" s="420">
        <f t="shared" si="2"/>
        <v>0</v>
      </c>
      <c r="I877" s="420" t="str">
        <f t="shared" si="3"/>
        <v/>
      </c>
      <c r="J877" s="113"/>
      <c r="K877" s="114"/>
      <c r="L877" s="15"/>
      <c r="M877" s="13"/>
      <c r="N877" s="15"/>
      <c r="O877" s="15"/>
      <c r="P877" s="15"/>
      <c r="Q877" s="15"/>
      <c r="R877" s="15"/>
    </row>
    <row r="878" ht="15.75" customHeight="1">
      <c r="A878" s="122"/>
      <c r="B878" s="112"/>
      <c r="C878" s="113"/>
      <c r="D878" s="113"/>
      <c r="E878" s="113"/>
      <c r="F878" s="419"/>
      <c r="G878" s="419"/>
      <c r="H878" s="420">
        <f t="shared" si="2"/>
        <v>0</v>
      </c>
      <c r="I878" s="420" t="str">
        <f t="shared" si="3"/>
        <v/>
      </c>
      <c r="J878" s="113"/>
      <c r="K878" s="114"/>
      <c r="L878" s="15"/>
      <c r="M878" s="13"/>
      <c r="N878" s="15"/>
      <c r="O878" s="15"/>
      <c r="P878" s="15"/>
      <c r="Q878" s="15"/>
      <c r="R878" s="15"/>
    </row>
    <row r="879" ht="15.75" customHeight="1">
      <c r="A879" s="122"/>
      <c r="B879" s="112"/>
      <c r="C879" s="113"/>
      <c r="D879" s="113"/>
      <c r="E879" s="113"/>
      <c r="F879" s="419"/>
      <c r="G879" s="419"/>
      <c r="H879" s="420">
        <f t="shared" si="2"/>
        <v>0</v>
      </c>
      <c r="I879" s="420" t="str">
        <f t="shared" si="3"/>
        <v/>
      </c>
      <c r="J879" s="113"/>
      <c r="K879" s="114"/>
      <c r="L879" s="15"/>
      <c r="M879" s="13"/>
      <c r="N879" s="15"/>
      <c r="O879" s="15"/>
      <c r="P879" s="15"/>
      <c r="Q879" s="15"/>
      <c r="R879" s="15"/>
    </row>
    <row r="880" ht="15.75" customHeight="1">
      <c r="A880" s="122"/>
      <c r="B880" s="112"/>
      <c r="C880" s="113"/>
      <c r="D880" s="113"/>
      <c r="E880" s="113"/>
      <c r="F880" s="419"/>
      <c r="G880" s="419"/>
      <c r="H880" s="420">
        <f t="shared" si="2"/>
        <v>0</v>
      </c>
      <c r="I880" s="420" t="str">
        <f t="shared" si="3"/>
        <v/>
      </c>
      <c r="J880" s="113"/>
      <c r="K880" s="114"/>
      <c r="L880" s="15"/>
      <c r="M880" s="13"/>
      <c r="N880" s="15"/>
      <c r="O880" s="15"/>
      <c r="P880" s="15"/>
      <c r="Q880" s="15"/>
      <c r="R880" s="15"/>
    </row>
    <row r="881" ht="15.75" customHeight="1">
      <c r="A881" s="122"/>
      <c r="B881" s="112"/>
      <c r="C881" s="113"/>
      <c r="D881" s="113"/>
      <c r="E881" s="113"/>
      <c r="F881" s="419"/>
      <c r="G881" s="419"/>
      <c r="H881" s="420">
        <f t="shared" si="2"/>
        <v>0</v>
      </c>
      <c r="I881" s="420" t="str">
        <f t="shared" si="3"/>
        <v/>
      </c>
      <c r="J881" s="113"/>
      <c r="K881" s="114"/>
      <c r="L881" s="15"/>
      <c r="M881" s="13"/>
      <c r="N881" s="15"/>
      <c r="O881" s="15"/>
      <c r="P881" s="15"/>
      <c r="Q881" s="15"/>
      <c r="R881" s="15"/>
    </row>
    <row r="882" ht="15.75" customHeight="1">
      <c r="A882" s="122"/>
      <c r="B882" s="112"/>
      <c r="C882" s="113"/>
      <c r="D882" s="113"/>
      <c r="E882" s="113"/>
      <c r="F882" s="419"/>
      <c r="G882" s="419"/>
      <c r="H882" s="420">
        <f t="shared" si="2"/>
        <v>0</v>
      </c>
      <c r="I882" s="420" t="str">
        <f t="shared" si="3"/>
        <v/>
      </c>
      <c r="J882" s="113"/>
      <c r="K882" s="114"/>
      <c r="L882" s="15"/>
      <c r="M882" s="13"/>
      <c r="N882" s="15"/>
      <c r="O882" s="15"/>
      <c r="P882" s="15"/>
      <c r="Q882" s="15"/>
      <c r="R882" s="15"/>
    </row>
    <row r="883" ht="15.75" customHeight="1">
      <c r="A883" s="122"/>
      <c r="B883" s="112"/>
      <c r="C883" s="113"/>
      <c r="D883" s="113"/>
      <c r="E883" s="113"/>
      <c r="F883" s="419"/>
      <c r="G883" s="419"/>
      <c r="H883" s="420">
        <f t="shared" si="2"/>
        <v>0</v>
      </c>
      <c r="I883" s="420" t="str">
        <f t="shared" si="3"/>
        <v/>
      </c>
      <c r="J883" s="113"/>
      <c r="K883" s="114"/>
      <c r="L883" s="15"/>
      <c r="M883" s="13"/>
      <c r="N883" s="15"/>
      <c r="O883" s="15"/>
      <c r="P883" s="15"/>
      <c r="Q883" s="15"/>
      <c r="R883" s="15"/>
    </row>
    <row r="884" ht="15.75" customHeight="1">
      <c r="A884" s="122"/>
      <c r="B884" s="112"/>
      <c r="C884" s="113"/>
      <c r="D884" s="113"/>
      <c r="E884" s="113"/>
      <c r="F884" s="419"/>
      <c r="G884" s="419"/>
      <c r="H884" s="420">
        <f t="shared" si="2"/>
        <v>0</v>
      </c>
      <c r="I884" s="420" t="str">
        <f t="shared" si="3"/>
        <v/>
      </c>
      <c r="J884" s="113"/>
      <c r="K884" s="114"/>
      <c r="L884" s="15"/>
      <c r="M884" s="13"/>
      <c r="N884" s="15"/>
      <c r="O884" s="15"/>
      <c r="P884" s="15"/>
      <c r="Q884" s="15"/>
      <c r="R884" s="15"/>
    </row>
    <row r="885" ht="15.75" customHeight="1">
      <c r="A885" s="122"/>
      <c r="B885" s="112"/>
      <c r="C885" s="113"/>
      <c r="D885" s="113"/>
      <c r="E885" s="113"/>
      <c r="F885" s="419"/>
      <c r="G885" s="419"/>
      <c r="H885" s="420">
        <f t="shared" si="2"/>
        <v>0</v>
      </c>
      <c r="I885" s="420" t="str">
        <f t="shared" si="3"/>
        <v/>
      </c>
      <c r="J885" s="113"/>
      <c r="K885" s="114"/>
      <c r="L885" s="15"/>
      <c r="M885" s="13"/>
      <c r="N885" s="15"/>
      <c r="O885" s="15"/>
      <c r="P885" s="15"/>
      <c r="Q885" s="15"/>
      <c r="R885" s="15"/>
    </row>
    <row r="886" ht="15.75" customHeight="1">
      <c r="A886" s="122"/>
      <c r="B886" s="112"/>
      <c r="C886" s="113"/>
      <c r="D886" s="113"/>
      <c r="E886" s="113"/>
      <c r="F886" s="419"/>
      <c r="G886" s="419"/>
      <c r="H886" s="420">
        <f t="shared" si="2"/>
        <v>0</v>
      </c>
      <c r="I886" s="420" t="str">
        <f t="shared" si="3"/>
        <v/>
      </c>
      <c r="J886" s="113"/>
      <c r="K886" s="114"/>
      <c r="L886" s="15"/>
      <c r="M886" s="13"/>
      <c r="N886" s="15"/>
      <c r="O886" s="15"/>
      <c r="P886" s="15"/>
      <c r="Q886" s="15"/>
      <c r="R886" s="15"/>
    </row>
    <row r="887" ht="15.75" customHeight="1">
      <c r="A887" s="122"/>
      <c r="B887" s="112"/>
      <c r="C887" s="113"/>
      <c r="D887" s="113"/>
      <c r="E887" s="113"/>
      <c r="F887" s="419"/>
      <c r="G887" s="419"/>
      <c r="H887" s="420">
        <f t="shared" si="2"/>
        <v>0</v>
      </c>
      <c r="I887" s="420" t="str">
        <f t="shared" si="3"/>
        <v/>
      </c>
      <c r="J887" s="113"/>
      <c r="K887" s="114"/>
      <c r="L887" s="15"/>
      <c r="M887" s="13"/>
      <c r="N887" s="15"/>
      <c r="O887" s="15"/>
      <c r="P887" s="15"/>
      <c r="Q887" s="15"/>
      <c r="R887" s="15"/>
    </row>
    <row r="888" ht="15.75" customHeight="1">
      <c r="A888" s="122"/>
      <c r="B888" s="112"/>
      <c r="C888" s="113"/>
      <c r="D888" s="113"/>
      <c r="E888" s="113"/>
      <c r="F888" s="419"/>
      <c r="G888" s="419"/>
      <c r="H888" s="420">
        <f t="shared" si="2"/>
        <v>0</v>
      </c>
      <c r="I888" s="420" t="str">
        <f t="shared" si="3"/>
        <v/>
      </c>
      <c r="J888" s="113"/>
      <c r="K888" s="114"/>
      <c r="L888" s="15"/>
      <c r="M888" s="13"/>
      <c r="N888" s="15"/>
      <c r="O888" s="15"/>
      <c r="P888" s="15"/>
      <c r="Q888" s="15"/>
      <c r="R888" s="15"/>
    </row>
    <row r="889" ht="15.75" customHeight="1">
      <c r="A889" s="122"/>
      <c r="B889" s="112"/>
      <c r="C889" s="113"/>
      <c r="D889" s="113"/>
      <c r="E889" s="113"/>
      <c r="F889" s="419"/>
      <c r="G889" s="419"/>
      <c r="H889" s="420">
        <f t="shared" si="2"/>
        <v>0</v>
      </c>
      <c r="I889" s="420" t="str">
        <f t="shared" si="3"/>
        <v/>
      </c>
      <c r="J889" s="113"/>
      <c r="K889" s="114"/>
      <c r="L889" s="15"/>
      <c r="M889" s="13"/>
      <c r="N889" s="15"/>
      <c r="O889" s="15"/>
      <c r="P889" s="15"/>
      <c r="Q889" s="15"/>
      <c r="R889" s="15"/>
    </row>
    <row r="890" ht="15.75" customHeight="1">
      <c r="A890" s="122"/>
      <c r="B890" s="112"/>
      <c r="C890" s="113"/>
      <c r="D890" s="113"/>
      <c r="E890" s="113"/>
      <c r="F890" s="419"/>
      <c r="G890" s="419"/>
      <c r="H890" s="420">
        <f t="shared" si="2"/>
        <v>0</v>
      </c>
      <c r="I890" s="420" t="str">
        <f t="shared" si="3"/>
        <v/>
      </c>
      <c r="J890" s="113"/>
      <c r="K890" s="114"/>
      <c r="L890" s="15"/>
      <c r="M890" s="13"/>
      <c r="N890" s="15"/>
      <c r="O890" s="15"/>
      <c r="P890" s="15"/>
      <c r="Q890" s="15"/>
      <c r="R890" s="15"/>
    </row>
    <row r="891" ht="15.75" customHeight="1">
      <c r="A891" s="122"/>
      <c r="B891" s="112"/>
      <c r="C891" s="113"/>
      <c r="D891" s="113"/>
      <c r="E891" s="113"/>
      <c r="F891" s="419"/>
      <c r="G891" s="419"/>
      <c r="H891" s="420">
        <f t="shared" si="2"/>
        <v>0</v>
      </c>
      <c r="I891" s="420" t="str">
        <f t="shared" si="3"/>
        <v/>
      </c>
      <c r="J891" s="113"/>
      <c r="K891" s="114"/>
      <c r="L891" s="15"/>
      <c r="M891" s="13"/>
      <c r="N891" s="15"/>
      <c r="O891" s="15"/>
      <c r="P891" s="15"/>
      <c r="Q891" s="15"/>
      <c r="R891" s="15"/>
    </row>
    <row r="892" ht="15.75" customHeight="1">
      <c r="A892" s="122"/>
      <c r="B892" s="112"/>
      <c r="C892" s="113"/>
      <c r="D892" s="113"/>
      <c r="E892" s="113"/>
      <c r="F892" s="419"/>
      <c r="G892" s="419"/>
      <c r="H892" s="420">
        <f t="shared" si="2"/>
        <v>0</v>
      </c>
      <c r="I892" s="420" t="str">
        <f t="shared" si="3"/>
        <v/>
      </c>
      <c r="J892" s="113"/>
      <c r="K892" s="114"/>
      <c r="L892" s="15"/>
      <c r="M892" s="13"/>
      <c r="N892" s="15"/>
      <c r="O892" s="15"/>
      <c r="P892" s="15"/>
      <c r="Q892" s="15"/>
      <c r="R892" s="15"/>
    </row>
    <row r="893" ht="15.75" customHeight="1">
      <c r="A893" s="122"/>
      <c r="B893" s="112"/>
      <c r="C893" s="113"/>
      <c r="D893" s="113"/>
      <c r="E893" s="113"/>
      <c r="F893" s="419"/>
      <c r="G893" s="419"/>
      <c r="H893" s="420">
        <f t="shared" si="2"/>
        <v>0</v>
      </c>
      <c r="I893" s="420" t="str">
        <f t="shared" si="3"/>
        <v/>
      </c>
      <c r="J893" s="113"/>
      <c r="K893" s="114"/>
      <c r="L893" s="15"/>
      <c r="M893" s="13"/>
      <c r="N893" s="15"/>
      <c r="O893" s="15"/>
      <c r="P893" s="15"/>
      <c r="Q893" s="15"/>
      <c r="R893" s="15"/>
    </row>
    <row r="894" ht="15.75" customHeight="1">
      <c r="A894" s="122"/>
      <c r="B894" s="112"/>
      <c r="C894" s="113"/>
      <c r="D894" s="113"/>
      <c r="E894" s="113"/>
      <c r="F894" s="419"/>
      <c r="G894" s="419"/>
      <c r="H894" s="420">
        <f t="shared" si="2"/>
        <v>0</v>
      </c>
      <c r="I894" s="420" t="str">
        <f t="shared" si="3"/>
        <v/>
      </c>
      <c r="J894" s="113"/>
      <c r="K894" s="114"/>
      <c r="L894" s="15"/>
      <c r="M894" s="13"/>
      <c r="N894" s="15"/>
      <c r="O894" s="15"/>
      <c r="P894" s="15"/>
      <c r="Q894" s="15"/>
      <c r="R894" s="15"/>
    </row>
    <row r="895" ht="15.75" customHeight="1">
      <c r="A895" s="122"/>
      <c r="B895" s="112"/>
      <c r="C895" s="113"/>
      <c r="D895" s="113"/>
      <c r="E895" s="113"/>
      <c r="F895" s="419"/>
      <c r="G895" s="419"/>
      <c r="H895" s="420">
        <f t="shared" si="2"/>
        <v>0</v>
      </c>
      <c r="I895" s="420" t="str">
        <f t="shared" si="3"/>
        <v/>
      </c>
      <c r="J895" s="113"/>
      <c r="K895" s="114"/>
      <c r="L895" s="15"/>
      <c r="M895" s="13"/>
      <c r="N895" s="15"/>
      <c r="O895" s="15"/>
      <c r="P895" s="15"/>
      <c r="Q895" s="15"/>
      <c r="R895" s="15"/>
    </row>
    <row r="896" ht="15.75" customHeight="1">
      <c r="A896" s="122"/>
      <c r="B896" s="112"/>
      <c r="C896" s="113"/>
      <c r="D896" s="113"/>
      <c r="E896" s="113"/>
      <c r="F896" s="419"/>
      <c r="G896" s="419"/>
      <c r="H896" s="420">
        <f t="shared" si="2"/>
        <v>0</v>
      </c>
      <c r="I896" s="420" t="str">
        <f t="shared" si="3"/>
        <v/>
      </c>
      <c r="J896" s="113"/>
      <c r="K896" s="114"/>
      <c r="L896" s="15"/>
      <c r="M896" s="13"/>
      <c r="N896" s="15"/>
      <c r="O896" s="15"/>
      <c r="P896" s="15"/>
      <c r="Q896" s="15"/>
      <c r="R896" s="15"/>
    </row>
    <row r="897" ht="15.75" customHeight="1">
      <c r="A897" s="122"/>
      <c r="B897" s="112"/>
      <c r="C897" s="113"/>
      <c r="D897" s="113"/>
      <c r="E897" s="113"/>
      <c r="F897" s="419"/>
      <c r="G897" s="419"/>
      <c r="H897" s="420">
        <f t="shared" si="2"/>
        <v>0</v>
      </c>
      <c r="I897" s="420" t="str">
        <f t="shared" si="3"/>
        <v/>
      </c>
      <c r="J897" s="113"/>
      <c r="K897" s="114"/>
      <c r="L897" s="15"/>
      <c r="M897" s="13"/>
      <c r="N897" s="15"/>
      <c r="O897" s="15"/>
      <c r="P897" s="15"/>
      <c r="Q897" s="15"/>
      <c r="R897" s="15"/>
    </row>
    <row r="898" ht="15.75" customHeight="1">
      <c r="A898" s="122"/>
      <c r="B898" s="112"/>
      <c r="C898" s="113"/>
      <c r="D898" s="113"/>
      <c r="E898" s="113"/>
      <c r="F898" s="419"/>
      <c r="G898" s="419"/>
      <c r="H898" s="420">
        <f t="shared" si="2"/>
        <v>0</v>
      </c>
      <c r="I898" s="420" t="str">
        <f t="shared" si="3"/>
        <v/>
      </c>
      <c r="J898" s="113"/>
      <c r="K898" s="114"/>
      <c r="L898" s="15"/>
      <c r="M898" s="13"/>
      <c r="N898" s="15"/>
      <c r="O898" s="15"/>
      <c r="P898" s="15"/>
      <c r="Q898" s="15"/>
      <c r="R898" s="15"/>
    </row>
    <row r="899" ht="15.75" customHeight="1">
      <c r="A899" s="122"/>
      <c r="B899" s="112"/>
      <c r="C899" s="113"/>
      <c r="D899" s="113"/>
      <c r="E899" s="113"/>
      <c r="F899" s="419"/>
      <c r="G899" s="419"/>
      <c r="H899" s="420">
        <f t="shared" si="2"/>
        <v>0</v>
      </c>
      <c r="I899" s="420" t="str">
        <f t="shared" si="3"/>
        <v/>
      </c>
      <c r="J899" s="113"/>
      <c r="K899" s="114"/>
      <c r="L899" s="15"/>
      <c r="M899" s="13"/>
      <c r="N899" s="15"/>
      <c r="O899" s="15"/>
      <c r="P899" s="15"/>
      <c r="Q899" s="15"/>
      <c r="R899" s="15"/>
    </row>
    <row r="900" ht="15.75" customHeight="1">
      <c r="A900" s="122"/>
      <c r="B900" s="112"/>
      <c r="C900" s="113"/>
      <c r="D900" s="113"/>
      <c r="E900" s="113"/>
      <c r="F900" s="419"/>
      <c r="G900" s="419"/>
      <c r="H900" s="420">
        <f t="shared" si="2"/>
        <v>0</v>
      </c>
      <c r="I900" s="420" t="str">
        <f t="shared" si="3"/>
        <v/>
      </c>
      <c r="J900" s="113"/>
      <c r="K900" s="114"/>
      <c r="L900" s="15"/>
      <c r="M900" s="13"/>
      <c r="N900" s="15"/>
      <c r="O900" s="15"/>
      <c r="P900" s="15"/>
      <c r="Q900" s="15"/>
      <c r="R900" s="15"/>
    </row>
    <row r="901" ht="15.75" customHeight="1">
      <c r="A901" s="122"/>
      <c r="B901" s="112"/>
      <c r="C901" s="113"/>
      <c r="D901" s="113"/>
      <c r="E901" s="113"/>
      <c r="F901" s="419"/>
      <c r="G901" s="419"/>
      <c r="H901" s="420">
        <f t="shared" si="2"/>
        <v>0</v>
      </c>
      <c r="I901" s="420" t="str">
        <f t="shared" si="3"/>
        <v/>
      </c>
      <c r="J901" s="113"/>
      <c r="K901" s="114"/>
      <c r="L901" s="15"/>
      <c r="M901" s="13"/>
      <c r="N901" s="15"/>
      <c r="O901" s="15"/>
      <c r="P901" s="15"/>
      <c r="Q901" s="15"/>
      <c r="R901" s="15"/>
    </row>
    <row r="902" ht="15.75" customHeight="1">
      <c r="A902" s="122"/>
      <c r="B902" s="112"/>
      <c r="C902" s="113"/>
      <c r="D902" s="113"/>
      <c r="E902" s="113"/>
      <c r="F902" s="419"/>
      <c r="G902" s="419"/>
      <c r="H902" s="420">
        <f t="shared" si="2"/>
        <v>0</v>
      </c>
      <c r="I902" s="420" t="str">
        <f t="shared" si="3"/>
        <v/>
      </c>
      <c r="J902" s="113"/>
      <c r="K902" s="114"/>
      <c r="L902" s="15"/>
      <c r="M902" s="13"/>
      <c r="N902" s="15"/>
      <c r="O902" s="15"/>
      <c r="P902" s="15"/>
      <c r="Q902" s="15"/>
      <c r="R902" s="15"/>
    </row>
    <row r="903" ht="15.75" customHeight="1">
      <c r="A903" s="122"/>
      <c r="B903" s="112"/>
      <c r="C903" s="113"/>
      <c r="D903" s="113"/>
      <c r="E903" s="113"/>
      <c r="F903" s="419"/>
      <c r="G903" s="419"/>
      <c r="H903" s="420">
        <f t="shared" si="2"/>
        <v>0</v>
      </c>
      <c r="I903" s="420" t="str">
        <f t="shared" si="3"/>
        <v/>
      </c>
      <c r="J903" s="113"/>
      <c r="K903" s="114"/>
      <c r="L903" s="15"/>
      <c r="M903" s="13"/>
      <c r="N903" s="15"/>
      <c r="O903" s="15"/>
      <c r="P903" s="15"/>
      <c r="Q903" s="15"/>
      <c r="R903" s="15"/>
    </row>
    <row r="904" ht="15.75" customHeight="1">
      <c r="A904" s="122"/>
      <c r="B904" s="112"/>
      <c r="C904" s="113"/>
      <c r="D904" s="113"/>
      <c r="E904" s="113"/>
      <c r="F904" s="419"/>
      <c r="G904" s="419"/>
      <c r="H904" s="420">
        <f t="shared" si="2"/>
        <v>0</v>
      </c>
      <c r="I904" s="420" t="str">
        <f t="shared" si="3"/>
        <v/>
      </c>
      <c r="J904" s="113"/>
      <c r="K904" s="114"/>
      <c r="L904" s="15"/>
      <c r="M904" s="13"/>
      <c r="N904" s="15"/>
      <c r="O904" s="15"/>
      <c r="P904" s="15"/>
      <c r="Q904" s="15"/>
      <c r="R904" s="15"/>
    </row>
    <row r="905" ht="15.75" customHeight="1">
      <c r="A905" s="122"/>
      <c r="B905" s="112"/>
      <c r="C905" s="113"/>
      <c r="D905" s="113"/>
      <c r="E905" s="113"/>
      <c r="F905" s="419"/>
      <c r="G905" s="419"/>
      <c r="H905" s="420">
        <f t="shared" si="2"/>
        <v>0</v>
      </c>
      <c r="I905" s="420" t="str">
        <f t="shared" si="3"/>
        <v/>
      </c>
      <c r="J905" s="113"/>
      <c r="K905" s="114"/>
      <c r="L905" s="15"/>
      <c r="M905" s="13"/>
      <c r="N905" s="15"/>
      <c r="O905" s="15"/>
      <c r="P905" s="15"/>
      <c r="Q905" s="15"/>
      <c r="R905" s="15"/>
    </row>
    <row r="906" ht="15.75" customHeight="1">
      <c r="A906" s="122"/>
      <c r="B906" s="112"/>
      <c r="C906" s="113"/>
      <c r="D906" s="113"/>
      <c r="E906" s="113"/>
      <c r="F906" s="419"/>
      <c r="G906" s="419"/>
      <c r="H906" s="420">
        <f t="shared" si="2"/>
        <v>0</v>
      </c>
      <c r="I906" s="420" t="str">
        <f t="shared" si="3"/>
        <v/>
      </c>
      <c r="J906" s="113"/>
      <c r="K906" s="114"/>
      <c r="L906" s="15"/>
      <c r="M906" s="13"/>
      <c r="N906" s="15"/>
      <c r="O906" s="15"/>
      <c r="P906" s="15"/>
      <c r="Q906" s="15"/>
      <c r="R906" s="15"/>
    </row>
    <row r="907" ht="15.75" customHeight="1">
      <c r="A907" s="122"/>
      <c r="B907" s="112"/>
      <c r="C907" s="113"/>
      <c r="D907" s="113"/>
      <c r="E907" s="113"/>
      <c r="F907" s="419"/>
      <c r="G907" s="419"/>
      <c r="H907" s="420">
        <f t="shared" si="2"/>
        <v>0</v>
      </c>
      <c r="I907" s="420" t="str">
        <f t="shared" si="3"/>
        <v/>
      </c>
      <c r="J907" s="113"/>
      <c r="K907" s="114"/>
      <c r="L907" s="15"/>
      <c r="M907" s="13"/>
      <c r="N907" s="15"/>
      <c r="O907" s="15"/>
      <c r="P907" s="15"/>
      <c r="Q907" s="15"/>
      <c r="R907" s="15"/>
    </row>
    <row r="908" ht="15.75" customHeight="1">
      <c r="A908" s="122"/>
      <c r="B908" s="112"/>
      <c r="C908" s="113"/>
      <c r="D908" s="113"/>
      <c r="E908" s="113"/>
      <c r="F908" s="419"/>
      <c r="G908" s="419"/>
      <c r="H908" s="420">
        <f t="shared" si="2"/>
        <v>0</v>
      </c>
      <c r="I908" s="420" t="str">
        <f t="shared" si="3"/>
        <v/>
      </c>
      <c r="J908" s="113"/>
      <c r="K908" s="114"/>
      <c r="L908" s="15"/>
      <c r="M908" s="13"/>
      <c r="N908" s="15"/>
      <c r="O908" s="15"/>
      <c r="P908" s="15"/>
      <c r="Q908" s="15"/>
      <c r="R908" s="15"/>
    </row>
    <row r="909" ht="15.75" customHeight="1">
      <c r="A909" s="122"/>
      <c r="B909" s="112"/>
      <c r="C909" s="113"/>
      <c r="D909" s="113"/>
      <c r="E909" s="113"/>
      <c r="F909" s="419"/>
      <c r="G909" s="419"/>
      <c r="H909" s="420">
        <f t="shared" si="2"/>
        <v>0</v>
      </c>
      <c r="I909" s="420" t="str">
        <f t="shared" si="3"/>
        <v/>
      </c>
      <c r="J909" s="113"/>
      <c r="K909" s="114"/>
      <c r="L909" s="15"/>
      <c r="M909" s="13"/>
      <c r="N909" s="15"/>
      <c r="O909" s="15"/>
      <c r="P909" s="15"/>
      <c r="Q909" s="15"/>
      <c r="R909" s="15"/>
    </row>
    <row r="910" ht="15.75" customHeight="1">
      <c r="A910" s="122"/>
      <c r="B910" s="112"/>
      <c r="C910" s="113"/>
      <c r="D910" s="113"/>
      <c r="E910" s="113"/>
      <c r="F910" s="419"/>
      <c r="G910" s="419"/>
      <c r="H910" s="420">
        <f t="shared" si="2"/>
        <v>0</v>
      </c>
      <c r="I910" s="420" t="str">
        <f t="shared" si="3"/>
        <v/>
      </c>
      <c r="J910" s="113"/>
      <c r="K910" s="114"/>
      <c r="L910" s="15"/>
      <c r="M910" s="13"/>
      <c r="N910" s="15"/>
      <c r="O910" s="15"/>
      <c r="P910" s="15"/>
      <c r="Q910" s="15"/>
      <c r="R910" s="15"/>
    </row>
    <row r="911" ht="15.75" customHeight="1">
      <c r="A911" s="122"/>
      <c r="B911" s="112"/>
      <c r="C911" s="113"/>
      <c r="D911" s="113"/>
      <c r="E911" s="113"/>
      <c r="F911" s="419"/>
      <c r="G911" s="419"/>
      <c r="H911" s="420">
        <f t="shared" si="2"/>
        <v>0</v>
      </c>
      <c r="I911" s="420" t="str">
        <f t="shared" si="3"/>
        <v/>
      </c>
      <c r="J911" s="113"/>
      <c r="K911" s="114"/>
      <c r="L911" s="15"/>
      <c r="M911" s="13"/>
      <c r="N911" s="15"/>
      <c r="O911" s="15"/>
      <c r="P911" s="15"/>
      <c r="Q911" s="15"/>
      <c r="R911" s="15"/>
    </row>
    <row r="912" ht="15.75" customHeight="1">
      <c r="A912" s="122"/>
      <c r="B912" s="112"/>
      <c r="C912" s="113"/>
      <c r="D912" s="113"/>
      <c r="E912" s="113"/>
      <c r="F912" s="419"/>
      <c r="G912" s="419"/>
      <c r="H912" s="420">
        <f t="shared" si="2"/>
        <v>0</v>
      </c>
      <c r="I912" s="420" t="str">
        <f t="shared" si="3"/>
        <v/>
      </c>
      <c r="J912" s="113"/>
      <c r="K912" s="114"/>
      <c r="L912" s="15"/>
      <c r="M912" s="13"/>
      <c r="N912" s="15"/>
      <c r="O912" s="15"/>
      <c r="P912" s="15"/>
      <c r="Q912" s="15"/>
      <c r="R912" s="15"/>
    </row>
    <row r="913" ht="15.75" customHeight="1">
      <c r="A913" s="122"/>
      <c r="B913" s="112"/>
      <c r="C913" s="113"/>
      <c r="D913" s="113"/>
      <c r="E913" s="113"/>
      <c r="F913" s="419"/>
      <c r="G913" s="419"/>
      <c r="H913" s="420">
        <f t="shared" si="2"/>
        <v>0</v>
      </c>
      <c r="I913" s="420" t="str">
        <f t="shared" si="3"/>
        <v/>
      </c>
      <c r="J913" s="113"/>
      <c r="K913" s="114"/>
      <c r="L913" s="15"/>
      <c r="M913" s="13"/>
      <c r="N913" s="15"/>
      <c r="O913" s="15"/>
      <c r="P913" s="15"/>
      <c r="Q913" s="15"/>
      <c r="R913" s="15"/>
    </row>
    <row r="914" ht="15.75" customHeight="1">
      <c r="A914" s="122"/>
      <c r="B914" s="112"/>
      <c r="C914" s="113"/>
      <c r="D914" s="113"/>
      <c r="E914" s="113"/>
      <c r="F914" s="419"/>
      <c r="G914" s="419"/>
      <c r="H914" s="420">
        <f t="shared" si="2"/>
        <v>0</v>
      </c>
      <c r="I914" s="420" t="str">
        <f t="shared" si="3"/>
        <v/>
      </c>
      <c r="J914" s="113"/>
      <c r="K914" s="114"/>
      <c r="L914" s="15"/>
      <c r="M914" s="13"/>
      <c r="N914" s="15"/>
      <c r="O914" s="15"/>
      <c r="P914" s="15"/>
      <c r="Q914" s="15"/>
      <c r="R914" s="15"/>
    </row>
    <row r="915" ht="15.75" customHeight="1">
      <c r="A915" s="122"/>
      <c r="B915" s="112"/>
      <c r="C915" s="113"/>
      <c r="D915" s="113"/>
      <c r="E915" s="113"/>
      <c r="F915" s="419"/>
      <c r="G915" s="419"/>
      <c r="H915" s="420">
        <f t="shared" si="2"/>
        <v>0</v>
      </c>
      <c r="I915" s="420" t="str">
        <f t="shared" si="3"/>
        <v/>
      </c>
      <c r="J915" s="113"/>
      <c r="K915" s="114"/>
      <c r="L915" s="15"/>
      <c r="M915" s="13"/>
      <c r="N915" s="15"/>
      <c r="O915" s="15"/>
      <c r="P915" s="15"/>
      <c r="Q915" s="15"/>
      <c r="R915" s="15"/>
    </row>
    <row r="916" ht="15.75" customHeight="1">
      <c r="A916" s="122"/>
      <c r="B916" s="112"/>
      <c r="C916" s="113"/>
      <c r="D916" s="113"/>
      <c r="E916" s="113"/>
      <c r="F916" s="419"/>
      <c r="G916" s="419"/>
      <c r="H916" s="420">
        <f t="shared" si="2"/>
        <v>0</v>
      </c>
      <c r="I916" s="420" t="str">
        <f t="shared" si="3"/>
        <v/>
      </c>
      <c r="J916" s="113"/>
      <c r="K916" s="114"/>
      <c r="L916" s="15"/>
      <c r="M916" s="13"/>
      <c r="N916" s="15"/>
      <c r="O916" s="15"/>
      <c r="P916" s="15"/>
      <c r="Q916" s="15"/>
      <c r="R916" s="15"/>
    </row>
    <row r="917" ht="15.75" customHeight="1">
      <c r="A917" s="122"/>
      <c r="B917" s="112"/>
      <c r="C917" s="113"/>
      <c r="D917" s="113"/>
      <c r="E917" s="113"/>
      <c r="F917" s="419"/>
      <c r="G917" s="419"/>
      <c r="H917" s="420">
        <f t="shared" si="2"/>
        <v>0</v>
      </c>
      <c r="I917" s="420" t="str">
        <f t="shared" si="3"/>
        <v/>
      </c>
      <c r="J917" s="113"/>
      <c r="K917" s="114"/>
      <c r="L917" s="15"/>
      <c r="M917" s="13"/>
      <c r="N917" s="15"/>
      <c r="O917" s="15"/>
      <c r="P917" s="15"/>
      <c r="Q917" s="15"/>
      <c r="R917" s="15"/>
    </row>
    <row r="918" ht="15.75" customHeight="1">
      <c r="A918" s="122"/>
      <c r="B918" s="112"/>
      <c r="C918" s="113"/>
      <c r="D918" s="113"/>
      <c r="E918" s="113"/>
      <c r="F918" s="419"/>
      <c r="G918" s="419"/>
      <c r="H918" s="420">
        <f t="shared" si="2"/>
        <v>0</v>
      </c>
      <c r="I918" s="420" t="str">
        <f t="shared" si="3"/>
        <v/>
      </c>
      <c r="J918" s="113"/>
      <c r="K918" s="114"/>
      <c r="L918" s="15"/>
      <c r="M918" s="13"/>
      <c r="N918" s="15"/>
      <c r="O918" s="15"/>
      <c r="P918" s="15"/>
      <c r="Q918" s="15"/>
      <c r="R918" s="15"/>
    </row>
    <row r="919" ht="15.75" customHeight="1">
      <c r="A919" s="122"/>
      <c r="B919" s="112"/>
      <c r="C919" s="113"/>
      <c r="D919" s="113"/>
      <c r="E919" s="113"/>
      <c r="F919" s="419"/>
      <c r="G919" s="419"/>
      <c r="H919" s="420">
        <f t="shared" si="2"/>
        <v>0</v>
      </c>
      <c r="I919" s="420" t="str">
        <f t="shared" si="3"/>
        <v/>
      </c>
      <c r="J919" s="113"/>
      <c r="K919" s="114"/>
      <c r="L919" s="15"/>
      <c r="M919" s="13"/>
      <c r="N919" s="15"/>
      <c r="O919" s="15"/>
      <c r="P919" s="15"/>
      <c r="Q919" s="15"/>
      <c r="R919" s="15"/>
    </row>
    <row r="920" ht="15.75" customHeight="1">
      <c r="A920" s="122"/>
      <c r="B920" s="112"/>
      <c r="C920" s="113"/>
      <c r="D920" s="113"/>
      <c r="E920" s="113"/>
      <c r="F920" s="419"/>
      <c r="G920" s="419"/>
      <c r="H920" s="420">
        <f t="shared" si="2"/>
        <v>0</v>
      </c>
      <c r="I920" s="420" t="str">
        <f t="shared" si="3"/>
        <v/>
      </c>
      <c r="J920" s="113"/>
      <c r="K920" s="114"/>
      <c r="L920" s="15"/>
      <c r="M920" s="13"/>
      <c r="N920" s="15"/>
      <c r="O920" s="15"/>
      <c r="P920" s="15"/>
      <c r="Q920" s="15"/>
      <c r="R920" s="15"/>
    </row>
    <row r="921" ht="15.75" customHeight="1">
      <c r="A921" s="122"/>
      <c r="B921" s="112"/>
      <c r="C921" s="113"/>
      <c r="D921" s="113"/>
      <c r="E921" s="113"/>
      <c r="F921" s="419"/>
      <c r="G921" s="419"/>
      <c r="H921" s="420">
        <f t="shared" si="2"/>
        <v>0</v>
      </c>
      <c r="I921" s="420" t="str">
        <f t="shared" si="3"/>
        <v/>
      </c>
      <c r="J921" s="113"/>
      <c r="K921" s="114"/>
      <c r="L921" s="15"/>
      <c r="M921" s="13"/>
      <c r="N921" s="15"/>
      <c r="O921" s="15"/>
      <c r="P921" s="15"/>
      <c r="Q921" s="15"/>
      <c r="R921" s="15"/>
    </row>
    <row r="922" ht="15.75" customHeight="1">
      <c r="A922" s="122"/>
      <c r="B922" s="112"/>
      <c r="C922" s="113"/>
      <c r="D922" s="113"/>
      <c r="E922" s="113"/>
      <c r="F922" s="419"/>
      <c r="G922" s="419"/>
      <c r="H922" s="420">
        <f t="shared" si="2"/>
        <v>0</v>
      </c>
      <c r="I922" s="420" t="str">
        <f t="shared" si="3"/>
        <v/>
      </c>
      <c r="J922" s="113"/>
      <c r="K922" s="114"/>
      <c r="L922" s="15"/>
      <c r="M922" s="13"/>
      <c r="N922" s="15"/>
      <c r="O922" s="15"/>
      <c r="P922" s="15"/>
      <c r="Q922" s="15"/>
      <c r="R922" s="15"/>
    </row>
    <row r="923" ht="15.75" customHeight="1">
      <c r="A923" s="122"/>
      <c r="B923" s="112"/>
      <c r="C923" s="113"/>
      <c r="D923" s="113"/>
      <c r="E923" s="113"/>
      <c r="F923" s="419"/>
      <c r="G923" s="419"/>
      <c r="H923" s="420">
        <f t="shared" si="2"/>
        <v>0</v>
      </c>
      <c r="I923" s="420" t="str">
        <f t="shared" si="3"/>
        <v/>
      </c>
      <c r="J923" s="113"/>
      <c r="K923" s="114"/>
      <c r="L923" s="15"/>
      <c r="M923" s="13"/>
      <c r="N923" s="15"/>
      <c r="O923" s="15"/>
      <c r="P923" s="15"/>
      <c r="Q923" s="15"/>
      <c r="R923" s="15"/>
    </row>
    <row r="924" ht="15.75" customHeight="1">
      <c r="A924" s="122"/>
      <c r="B924" s="112"/>
      <c r="C924" s="113"/>
      <c r="D924" s="113"/>
      <c r="E924" s="113"/>
      <c r="F924" s="419"/>
      <c r="G924" s="419"/>
      <c r="H924" s="420">
        <f t="shared" si="2"/>
        <v>0</v>
      </c>
      <c r="I924" s="420" t="str">
        <f t="shared" si="3"/>
        <v/>
      </c>
      <c r="J924" s="113"/>
      <c r="K924" s="114"/>
      <c r="L924" s="15"/>
      <c r="M924" s="13"/>
      <c r="N924" s="15"/>
      <c r="O924" s="15"/>
      <c r="P924" s="15"/>
      <c r="Q924" s="15"/>
      <c r="R924" s="15"/>
    </row>
    <row r="925" ht="15.75" customHeight="1">
      <c r="A925" s="122"/>
      <c r="B925" s="112"/>
      <c r="C925" s="113"/>
      <c r="D925" s="113"/>
      <c r="E925" s="113"/>
      <c r="F925" s="419"/>
      <c r="G925" s="419"/>
      <c r="H925" s="420">
        <f t="shared" si="2"/>
        <v>0</v>
      </c>
      <c r="I925" s="420" t="str">
        <f t="shared" si="3"/>
        <v/>
      </c>
      <c r="J925" s="113"/>
      <c r="K925" s="114"/>
      <c r="L925" s="15"/>
      <c r="M925" s="13"/>
      <c r="N925" s="15"/>
      <c r="O925" s="15"/>
      <c r="P925" s="15"/>
      <c r="Q925" s="15"/>
      <c r="R925" s="15"/>
    </row>
    <row r="926" ht="15.75" customHeight="1">
      <c r="A926" s="122"/>
      <c r="B926" s="112"/>
      <c r="C926" s="113"/>
      <c r="D926" s="113"/>
      <c r="E926" s="113"/>
      <c r="F926" s="419"/>
      <c r="G926" s="419"/>
      <c r="H926" s="420">
        <f t="shared" si="2"/>
        <v>0</v>
      </c>
      <c r="I926" s="420" t="str">
        <f t="shared" si="3"/>
        <v/>
      </c>
      <c r="J926" s="113"/>
      <c r="K926" s="114"/>
      <c r="L926" s="15"/>
      <c r="M926" s="13"/>
      <c r="N926" s="15"/>
      <c r="O926" s="15"/>
      <c r="P926" s="15"/>
      <c r="Q926" s="15"/>
      <c r="R926" s="15"/>
    </row>
    <row r="927" ht="15.75" customHeight="1">
      <c r="A927" s="122"/>
      <c r="B927" s="112"/>
      <c r="C927" s="113"/>
      <c r="D927" s="113"/>
      <c r="E927" s="113"/>
      <c r="F927" s="419"/>
      <c r="G927" s="419"/>
      <c r="H927" s="420">
        <f t="shared" si="2"/>
        <v>0</v>
      </c>
      <c r="I927" s="420" t="str">
        <f t="shared" si="3"/>
        <v/>
      </c>
      <c r="J927" s="113"/>
      <c r="K927" s="114"/>
      <c r="L927" s="15"/>
      <c r="M927" s="13"/>
      <c r="N927" s="15"/>
      <c r="O927" s="15"/>
      <c r="P927" s="15"/>
      <c r="Q927" s="15"/>
      <c r="R927" s="15"/>
    </row>
    <row r="928" ht="15.75" customHeight="1">
      <c r="A928" s="122"/>
      <c r="B928" s="112"/>
      <c r="C928" s="113"/>
      <c r="D928" s="113"/>
      <c r="E928" s="113"/>
      <c r="F928" s="419"/>
      <c r="G928" s="419"/>
      <c r="H928" s="420">
        <f t="shared" si="2"/>
        <v>0</v>
      </c>
      <c r="I928" s="420" t="str">
        <f t="shared" si="3"/>
        <v/>
      </c>
      <c r="J928" s="113"/>
      <c r="K928" s="114"/>
      <c r="L928" s="15"/>
      <c r="M928" s="13"/>
      <c r="N928" s="15"/>
      <c r="O928" s="15"/>
      <c r="P928" s="15"/>
      <c r="Q928" s="15"/>
      <c r="R928" s="15"/>
    </row>
    <row r="929" ht="15.75" customHeight="1">
      <c r="A929" s="122"/>
      <c r="B929" s="112"/>
      <c r="C929" s="113"/>
      <c r="D929" s="113"/>
      <c r="E929" s="113"/>
      <c r="F929" s="419"/>
      <c r="G929" s="419"/>
      <c r="H929" s="420">
        <f t="shared" si="2"/>
        <v>0</v>
      </c>
      <c r="I929" s="420" t="str">
        <f t="shared" si="3"/>
        <v/>
      </c>
      <c r="J929" s="113"/>
      <c r="K929" s="114"/>
      <c r="L929" s="15"/>
      <c r="M929" s="13"/>
      <c r="N929" s="15"/>
      <c r="O929" s="15"/>
      <c r="P929" s="15"/>
      <c r="Q929" s="15"/>
      <c r="R929" s="15"/>
    </row>
    <row r="930" ht="15.75" customHeight="1">
      <c r="A930" s="122"/>
      <c r="B930" s="112"/>
      <c r="C930" s="113"/>
      <c r="D930" s="113"/>
      <c r="E930" s="113"/>
      <c r="F930" s="419"/>
      <c r="G930" s="419"/>
      <c r="H930" s="420">
        <f t="shared" si="2"/>
        <v>0</v>
      </c>
      <c r="I930" s="420" t="str">
        <f t="shared" si="3"/>
        <v/>
      </c>
      <c r="J930" s="113"/>
      <c r="K930" s="114"/>
      <c r="L930" s="15"/>
      <c r="M930" s="13"/>
      <c r="N930" s="15"/>
      <c r="O930" s="15"/>
      <c r="P930" s="15"/>
      <c r="Q930" s="15"/>
      <c r="R930" s="15"/>
    </row>
    <row r="931" ht="15.75" customHeight="1">
      <c r="A931" s="122"/>
      <c r="B931" s="112"/>
      <c r="C931" s="113"/>
      <c r="D931" s="113"/>
      <c r="E931" s="113"/>
      <c r="F931" s="419"/>
      <c r="G931" s="419"/>
      <c r="H931" s="420">
        <f t="shared" si="2"/>
        <v>0</v>
      </c>
      <c r="I931" s="420" t="str">
        <f t="shared" si="3"/>
        <v/>
      </c>
      <c r="J931" s="113"/>
      <c r="K931" s="114"/>
      <c r="L931" s="15"/>
      <c r="M931" s="13"/>
      <c r="N931" s="15"/>
      <c r="O931" s="15"/>
      <c r="P931" s="15"/>
      <c r="Q931" s="15"/>
      <c r="R931" s="15"/>
    </row>
    <row r="932" ht="15.75" customHeight="1">
      <c r="A932" s="122"/>
      <c r="B932" s="112"/>
      <c r="C932" s="113"/>
      <c r="D932" s="113"/>
      <c r="E932" s="113"/>
      <c r="F932" s="419"/>
      <c r="G932" s="419"/>
      <c r="H932" s="420">
        <f t="shared" si="2"/>
        <v>0</v>
      </c>
      <c r="I932" s="420" t="str">
        <f t="shared" si="3"/>
        <v/>
      </c>
      <c r="J932" s="113"/>
      <c r="K932" s="114"/>
      <c r="L932" s="15"/>
      <c r="M932" s="13"/>
      <c r="N932" s="15"/>
      <c r="O932" s="15"/>
      <c r="P932" s="15"/>
      <c r="Q932" s="15"/>
      <c r="R932" s="15"/>
    </row>
    <row r="933" ht="15.75" customHeight="1">
      <c r="A933" s="122"/>
      <c r="B933" s="112"/>
      <c r="C933" s="113"/>
      <c r="D933" s="113"/>
      <c r="E933" s="113"/>
      <c r="F933" s="419"/>
      <c r="G933" s="419"/>
      <c r="H933" s="420">
        <f t="shared" si="2"/>
        <v>0</v>
      </c>
      <c r="I933" s="420" t="str">
        <f t="shared" si="3"/>
        <v/>
      </c>
      <c r="J933" s="113"/>
      <c r="K933" s="114"/>
      <c r="L933" s="15"/>
      <c r="M933" s="13"/>
      <c r="N933" s="15"/>
      <c r="O933" s="15"/>
      <c r="P933" s="15"/>
      <c r="Q933" s="15"/>
      <c r="R933" s="15"/>
    </row>
    <row r="934" ht="15.75" customHeight="1">
      <c r="A934" s="122"/>
      <c r="B934" s="112"/>
      <c r="C934" s="113"/>
      <c r="D934" s="113"/>
      <c r="E934" s="113"/>
      <c r="F934" s="419"/>
      <c r="G934" s="419"/>
      <c r="H934" s="420">
        <f t="shared" si="2"/>
        <v>0</v>
      </c>
      <c r="I934" s="420" t="str">
        <f t="shared" si="3"/>
        <v/>
      </c>
      <c r="J934" s="113"/>
      <c r="K934" s="114"/>
      <c r="L934" s="15"/>
      <c r="M934" s="13"/>
      <c r="N934" s="15"/>
      <c r="O934" s="15"/>
      <c r="P934" s="15"/>
      <c r="Q934" s="15"/>
      <c r="R934" s="15"/>
    </row>
    <row r="935" ht="15.75" customHeight="1">
      <c r="A935" s="122"/>
      <c r="B935" s="112"/>
      <c r="C935" s="113"/>
      <c r="D935" s="113"/>
      <c r="E935" s="113"/>
      <c r="F935" s="419"/>
      <c r="G935" s="419"/>
      <c r="H935" s="420">
        <f t="shared" si="2"/>
        <v>0</v>
      </c>
      <c r="I935" s="420" t="str">
        <f t="shared" si="3"/>
        <v/>
      </c>
      <c r="J935" s="113"/>
      <c r="K935" s="114"/>
      <c r="L935" s="15"/>
      <c r="M935" s="13"/>
      <c r="N935" s="15"/>
      <c r="O935" s="15"/>
      <c r="P935" s="15"/>
      <c r="Q935" s="15"/>
      <c r="R935" s="15"/>
    </row>
    <row r="936" ht="15.75" customHeight="1">
      <c r="A936" s="122"/>
      <c r="B936" s="112"/>
      <c r="C936" s="113"/>
      <c r="D936" s="113"/>
      <c r="E936" s="113"/>
      <c r="F936" s="419"/>
      <c r="G936" s="419"/>
      <c r="H936" s="420">
        <f t="shared" si="2"/>
        <v>0</v>
      </c>
      <c r="I936" s="420" t="str">
        <f t="shared" si="3"/>
        <v/>
      </c>
      <c r="J936" s="113"/>
      <c r="K936" s="114"/>
      <c r="L936" s="15"/>
      <c r="M936" s="13"/>
      <c r="N936" s="15"/>
      <c r="O936" s="15"/>
      <c r="P936" s="15"/>
      <c r="Q936" s="15"/>
      <c r="R936" s="15"/>
    </row>
    <row r="937" ht="15.75" customHeight="1">
      <c r="A937" s="122"/>
      <c r="B937" s="112"/>
      <c r="C937" s="113"/>
      <c r="D937" s="113"/>
      <c r="E937" s="113"/>
      <c r="F937" s="419"/>
      <c r="G937" s="419"/>
      <c r="H937" s="420">
        <f t="shared" si="2"/>
        <v>0</v>
      </c>
      <c r="I937" s="420" t="str">
        <f t="shared" si="3"/>
        <v/>
      </c>
      <c r="J937" s="113"/>
      <c r="K937" s="114"/>
      <c r="L937" s="15"/>
      <c r="M937" s="13"/>
      <c r="N937" s="15"/>
      <c r="O937" s="15"/>
      <c r="P937" s="15"/>
      <c r="Q937" s="15"/>
      <c r="R937" s="15"/>
    </row>
    <row r="938" ht="15.75" customHeight="1">
      <c r="A938" s="122"/>
      <c r="B938" s="112"/>
      <c r="C938" s="113"/>
      <c r="D938" s="113"/>
      <c r="E938" s="113"/>
      <c r="F938" s="419"/>
      <c r="G938" s="419"/>
      <c r="H938" s="420">
        <f t="shared" si="2"/>
        <v>0</v>
      </c>
      <c r="I938" s="420" t="str">
        <f t="shared" si="3"/>
        <v/>
      </c>
      <c r="J938" s="113"/>
      <c r="K938" s="114"/>
      <c r="L938" s="15"/>
      <c r="M938" s="13"/>
      <c r="N938" s="15"/>
      <c r="O938" s="15"/>
      <c r="P938" s="15"/>
      <c r="Q938" s="15"/>
      <c r="R938" s="15"/>
    </row>
    <row r="939" ht="15.75" customHeight="1">
      <c r="A939" s="122"/>
      <c r="B939" s="112"/>
      <c r="C939" s="113"/>
      <c r="D939" s="113"/>
      <c r="E939" s="113"/>
      <c r="F939" s="419"/>
      <c r="G939" s="419"/>
      <c r="H939" s="420">
        <f t="shared" si="2"/>
        <v>0</v>
      </c>
      <c r="I939" s="420" t="str">
        <f t="shared" si="3"/>
        <v/>
      </c>
      <c r="J939" s="113"/>
      <c r="K939" s="114"/>
      <c r="L939" s="15"/>
      <c r="M939" s="13"/>
      <c r="N939" s="15"/>
      <c r="O939" s="15"/>
      <c r="P939" s="15"/>
      <c r="Q939" s="15"/>
      <c r="R939" s="15"/>
    </row>
    <row r="940" ht="15.75" customHeight="1">
      <c r="A940" s="122"/>
      <c r="B940" s="112"/>
      <c r="C940" s="113"/>
      <c r="D940" s="113"/>
      <c r="E940" s="113"/>
      <c r="F940" s="419"/>
      <c r="G940" s="419"/>
      <c r="H940" s="420">
        <f t="shared" si="2"/>
        <v>0</v>
      </c>
      <c r="I940" s="420" t="str">
        <f t="shared" si="3"/>
        <v/>
      </c>
      <c r="J940" s="113"/>
      <c r="K940" s="114"/>
      <c r="L940" s="15"/>
      <c r="M940" s="13"/>
      <c r="N940" s="15"/>
      <c r="O940" s="15"/>
      <c r="P940" s="15"/>
      <c r="Q940" s="15"/>
      <c r="R940" s="15"/>
    </row>
    <row r="941" ht="15.75" customHeight="1">
      <c r="A941" s="122"/>
      <c r="B941" s="112"/>
      <c r="C941" s="113"/>
      <c r="D941" s="113"/>
      <c r="E941" s="113"/>
      <c r="F941" s="419"/>
      <c r="G941" s="419"/>
      <c r="H941" s="420">
        <f t="shared" si="2"/>
        <v>0</v>
      </c>
      <c r="I941" s="420" t="str">
        <f t="shared" si="3"/>
        <v/>
      </c>
      <c r="J941" s="113"/>
      <c r="K941" s="114"/>
      <c r="L941" s="15"/>
      <c r="M941" s="13"/>
      <c r="N941" s="15"/>
      <c r="O941" s="15"/>
      <c r="P941" s="15"/>
      <c r="Q941" s="15"/>
      <c r="R941" s="15"/>
    </row>
    <row r="942" ht="15.75" customHeight="1">
      <c r="A942" s="122"/>
      <c r="B942" s="112"/>
      <c r="C942" s="113"/>
      <c r="D942" s="113"/>
      <c r="E942" s="113"/>
      <c r="F942" s="419"/>
      <c r="G942" s="419"/>
      <c r="H942" s="420">
        <f t="shared" si="2"/>
        <v>0</v>
      </c>
      <c r="I942" s="420" t="str">
        <f t="shared" si="3"/>
        <v/>
      </c>
      <c r="J942" s="113"/>
      <c r="K942" s="114"/>
      <c r="L942" s="15"/>
      <c r="M942" s="13"/>
      <c r="N942" s="15"/>
      <c r="O942" s="15"/>
      <c r="P942" s="15"/>
      <c r="Q942" s="15"/>
      <c r="R942" s="15"/>
    </row>
    <row r="943" ht="15.75" customHeight="1">
      <c r="A943" s="122"/>
      <c r="B943" s="112"/>
      <c r="C943" s="113"/>
      <c r="D943" s="113"/>
      <c r="E943" s="113"/>
      <c r="F943" s="419"/>
      <c r="G943" s="419"/>
      <c r="H943" s="420">
        <f t="shared" si="2"/>
        <v>0</v>
      </c>
      <c r="I943" s="420" t="str">
        <f t="shared" si="3"/>
        <v/>
      </c>
      <c r="J943" s="113"/>
      <c r="K943" s="114"/>
      <c r="L943" s="15"/>
      <c r="M943" s="13"/>
      <c r="N943" s="15"/>
      <c r="O943" s="15"/>
      <c r="P943" s="15"/>
      <c r="Q943" s="15"/>
      <c r="R943" s="15"/>
    </row>
    <row r="944" ht="15.75" customHeight="1">
      <c r="A944" s="122"/>
      <c r="B944" s="112"/>
      <c r="C944" s="113"/>
      <c r="D944" s="113"/>
      <c r="E944" s="113"/>
      <c r="F944" s="419"/>
      <c r="G944" s="419"/>
      <c r="H944" s="420">
        <f t="shared" si="2"/>
        <v>0</v>
      </c>
      <c r="I944" s="420" t="str">
        <f t="shared" si="3"/>
        <v/>
      </c>
      <c r="J944" s="113"/>
      <c r="K944" s="114"/>
      <c r="L944" s="15"/>
      <c r="M944" s="13"/>
      <c r="N944" s="15"/>
      <c r="O944" s="15"/>
      <c r="P944" s="15"/>
      <c r="Q944" s="15"/>
      <c r="R944" s="15"/>
    </row>
    <row r="945" ht="15.75" customHeight="1">
      <c r="A945" s="122"/>
      <c r="B945" s="112"/>
      <c r="C945" s="113"/>
      <c r="D945" s="113"/>
      <c r="E945" s="113"/>
      <c r="F945" s="419"/>
      <c r="G945" s="419"/>
      <c r="H945" s="420">
        <f t="shared" si="2"/>
        <v>0</v>
      </c>
      <c r="I945" s="420" t="str">
        <f t="shared" si="3"/>
        <v/>
      </c>
      <c r="J945" s="113"/>
      <c r="K945" s="114"/>
      <c r="L945" s="15"/>
      <c r="M945" s="13"/>
      <c r="N945" s="15"/>
      <c r="O945" s="15"/>
      <c r="P945" s="15"/>
      <c r="Q945" s="15"/>
      <c r="R945" s="15"/>
    </row>
    <row r="946" ht="15.75" customHeight="1">
      <c r="A946" s="122"/>
      <c r="B946" s="112"/>
      <c r="C946" s="113"/>
      <c r="D946" s="113"/>
      <c r="E946" s="113"/>
      <c r="F946" s="419"/>
      <c r="G946" s="419"/>
      <c r="H946" s="420">
        <f t="shared" si="2"/>
        <v>0</v>
      </c>
      <c r="I946" s="420" t="str">
        <f t="shared" si="3"/>
        <v/>
      </c>
      <c r="J946" s="113"/>
      <c r="K946" s="114"/>
      <c r="L946" s="15"/>
      <c r="M946" s="13"/>
      <c r="N946" s="15"/>
      <c r="O946" s="15"/>
      <c r="P946" s="15"/>
      <c r="Q946" s="15"/>
      <c r="R946" s="15"/>
    </row>
    <row r="947" ht="15.75" customHeight="1">
      <c r="A947" s="122"/>
      <c r="B947" s="112"/>
      <c r="C947" s="113"/>
      <c r="D947" s="113"/>
      <c r="E947" s="113"/>
      <c r="F947" s="419"/>
      <c r="G947" s="419"/>
      <c r="H947" s="420">
        <f t="shared" si="2"/>
        <v>0</v>
      </c>
      <c r="I947" s="420" t="str">
        <f t="shared" si="3"/>
        <v/>
      </c>
      <c r="J947" s="113"/>
      <c r="K947" s="114"/>
      <c r="L947" s="15"/>
      <c r="M947" s="13"/>
      <c r="N947" s="15"/>
      <c r="O947" s="15"/>
      <c r="P947" s="15"/>
      <c r="Q947" s="15"/>
      <c r="R947" s="15"/>
    </row>
    <row r="948" ht="15.75" customHeight="1">
      <c r="A948" s="122"/>
      <c r="B948" s="112"/>
      <c r="C948" s="113"/>
      <c r="D948" s="113"/>
      <c r="E948" s="113"/>
      <c r="F948" s="419"/>
      <c r="G948" s="419"/>
      <c r="H948" s="420">
        <f t="shared" si="2"/>
        <v>0</v>
      </c>
      <c r="I948" s="420" t="str">
        <f t="shared" si="3"/>
        <v/>
      </c>
      <c r="J948" s="113"/>
      <c r="K948" s="114"/>
      <c r="L948" s="15"/>
      <c r="M948" s="13"/>
      <c r="N948" s="15"/>
      <c r="O948" s="15"/>
      <c r="P948" s="15"/>
      <c r="Q948" s="15"/>
      <c r="R948" s="15"/>
    </row>
    <row r="949" ht="15.75" customHeight="1">
      <c r="A949" s="122"/>
      <c r="B949" s="112"/>
      <c r="C949" s="113"/>
      <c r="D949" s="113"/>
      <c r="E949" s="113"/>
      <c r="F949" s="419"/>
      <c r="G949" s="419"/>
      <c r="H949" s="420">
        <f t="shared" si="2"/>
        <v>0</v>
      </c>
      <c r="I949" s="420" t="str">
        <f t="shared" si="3"/>
        <v/>
      </c>
      <c r="J949" s="113"/>
      <c r="K949" s="114"/>
      <c r="L949" s="15"/>
      <c r="M949" s="13"/>
      <c r="N949" s="15"/>
      <c r="O949" s="15"/>
      <c r="P949" s="15"/>
      <c r="Q949" s="15"/>
      <c r="R949" s="15"/>
    </row>
    <row r="950" ht="15.75" customHeight="1">
      <c r="A950" s="122"/>
      <c r="B950" s="112"/>
      <c r="C950" s="113"/>
      <c r="D950" s="113"/>
      <c r="E950" s="113"/>
      <c r="F950" s="419"/>
      <c r="G950" s="419"/>
      <c r="H950" s="420">
        <f t="shared" si="2"/>
        <v>0</v>
      </c>
      <c r="I950" s="420" t="str">
        <f t="shared" si="3"/>
        <v/>
      </c>
      <c r="J950" s="113"/>
      <c r="K950" s="114"/>
      <c r="L950" s="15"/>
      <c r="M950" s="13"/>
      <c r="N950" s="15"/>
      <c r="O950" s="15"/>
      <c r="P950" s="15"/>
      <c r="Q950" s="15"/>
      <c r="R950" s="15"/>
    </row>
    <row r="951" ht="15.75" customHeight="1">
      <c r="A951" s="122"/>
      <c r="B951" s="112"/>
      <c r="C951" s="113"/>
      <c r="D951" s="113"/>
      <c r="E951" s="113"/>
      <c r="F951" s="419"/>
      <c r="G951" s="419"/>
      <c r="H951" s="420">
        <f t="shared" si="2"/>
        <v>0</v>
      </c>
      <c r="I951" s="420" t="str">
        <f t="shared" si="3"/>
        <v/>
      </c>
      <c r="J951" s="113"/>
      <c r="K951" s="114"/>
      <c r="L951" s="15"/>
      <c r="M951" s="13"/>
      <c r="N951" s="15"/>
      <c r="O951" s="15"/>
      <c r="P951" s="15"/>
      <c r="Q951" s="15"/>
      <c r="R951" s="15"/>
    </row>
    <row r="952" ht="15.75" customHeight="1">
      <c r="A952" s="122"/>
      <c r="B952" s="112"/>
      <c r="C952" s="113"/>
      <c r="D952" s="113"/>
      <c r="E952" s="113"/>
      <c r="F952" s="419"/>
      <c r="G952" s="419"/>
      <c r="H952" s="420">
        <f t="shared" si="2"/>
        <v>0</v>
      </c>
      <c r="I952" s="420" t="str">
        <f t="shared" si="3"/>
        <v/>
      </c>
      <c r="J952" s="113"/>
      <c r="K952" s="114"/>
      <c r="L952" s="15"/>
      <c r="M952" s="13"/>
      <c r="N952" s="15"/>
      <c r="O952" s="15"/>
      <c r="P952" s="15"/>
      <c r="Q952" s="15"/>
      <c r="R952" s="15"/>
    </row>
    <row r="953" ht="15.75" customHeight="1">
      <c r="A953" s="122"/>
      <c r="B953" s="112"/>
      <c r="C953" s="113"/>
      <c r="D953" s="113"/>
      <c r="E953" s="113"/>
      <c r="F953" s="419"/>
      <c r="G953" s="419"/>
      <c r="H953" s="420">
        <f t="shared" si="2"/>
        <v>0</v>
      </c>
      <c r="I953" s="420" t="str">
        <f t="shared" si="3"/>
        <v/>
      </c>
      <c r="J953" s="113"/>
      <c r="K953" s="114"/>
      <c r="L953" s="15"/>
      <c r="M953" s="13"/>
      <c r="N953" s="15"/>
      <c r="O953" s="15"/>
      <c r="P953" s="15"/>
      <c r="Q953" s="15"/>
      <c r="R953" s="15"/>
    </row>
    <row r="954" ht="15.75" customHeight="1">
      <c r="A954" s="122"/>
      <c r="B954" s="112"/>
      <c r="C954" s="113"/>
      <c r="D954" s="113"/>
      <c r="E954" s="113"/>
      <c r="F954" s="419"/>
      <c r="G954" s="419"/>
      <c r="H954" s="420">
        <f t="shared" si="2"/>
        <v>0</v>
      </c>
      <c r="I954" s="420" t="str">
        <f t="shared" si="3"/>
        <v/>
      </c>
      <c r="J954" s="113"/>
      <c r="K954" s="114"/>
      <c r="L954" s="15"/>
      <c r="M954" s="13"/>
      <c r="N954" s="15"/>
      <c r="O954" s="15"/>
      <c r="P954" s="15"/>
      <c r="Q954" s="15"/>
      <c r="R954" s="15"/>
    </row>
    <row r="955" ht="15.75" customHeight="1">
      <c r="A955" s="122"/>
      <c r="B955" s="112"/>
      <c r="C955" s="113"/>
      <c r="D955" s="113"/>
      <c r="E955" s="113"/>
      <c r="F955" s="419"/>
      <c r="G955" s="419"/>
      <c r="H955" s="420">
        <f t="shared" si="2"/>
        <v>0</v>
      </c>
      <c r="I955" s="420" t="str">
        <f t="shared" si="3"/>
        <v/>
      </c>
      <c r="J955" s="113"/>
      <c r="K955" s="114"/>
      <c r="L955" s="15"/>
      <c r="M955" s="13"/>
      <c r="N955" s="15"/>
      <c r="O955" s="15"/>
      <c r="P955" s="15"/>
      <c r="Q955" s="15"/>
      <c r="R955" s="15"/>
    </row>
    <row r="956" ht="15.75" customHeight="1">
      <c r="A956" s="122"/>
      <c r="B956" s="112"/>
      <c r="C956" s="113"/>
      <c r="D956" s="113"/>
      <c r="E956" s="113"/>
      <c r="F956" s="419"/>
      <c r="G956" s="419"/>
      <c r="H956" s="420">
        <f t="shared" si="2"/>
        <v>0</v>
      </c>
      <c r="I956" s="420" t="str">
        <f t="shared" si="3"/>
        <v/>
      </c>
      <c r="J956" s="113"/>
      <c r="K956" s="114"/>
      <c r="L956" s="15"/>
      <c r="M956" s="13"/>
      <c r="N956" s="15"/>
      <c r="O956" s="15"/>
      <c r="P956" s="15"/>
      <c r="Q956" s="15"/>
      <c r="R956" s="15"/>
    </row>
    <row r="957" ht="15.75" customHeight="1">
      <c r="A957" s="122"/>
      <c r="B957" s="112"/>
      <c r="C957" s="113"/>
      <c r="D957" s="113"/>
      <c r="E957" s="113"/>
      <c r="F957" s="419"/>
      <c r="G957" s="419"/>
      <c r="H957" s="420">
        <f t="shared" si="2"/>
        <v>0</v>
      </c>
      <c r="I957" s="420" t="str">
        <f t="shared" si="3"/>
        <v/>
      </c>
      <c r="J957" s="113"/>
      <c r="K957" s="114"/>
      <c r="L957" s="15"/>
      <c r="M957" s="13"/>
      <c r="N957" s="15"/>
      <c r="O957" s="15"/>
      <c r="P957" s="15"/>
      <c r="Q957" s="15"/>
      <c r="R957" s="15"/>
    </row>
    <row r="958" ht="15.75" customHeight="1">
      <c r="A958" s="122"/>
      <c r="B958" s="112"/>
      <c r="C958" s="113"/>
      <c r="D958" s="113"/>
      <c r="E958" s="113"/>
      <c r="F958" s="419"/>
      <c r="G958" s="419"/>
      <c r="H958" s="420">
        <f t="shared" si="2"/>
        <v>0</v>
      </c>
      <c r="I958" s="420" t="str">
        <f t="shared" si="3"/>
        <v/>
      </c>
      <c r="J958" s="113"/>
      <c r="K958" s="114"/>
      <c r="L958" s="15"/>
      <c r="M958" s="13"/>
      <c r="N958" s="15"/>
      <c r="O958" s="15"/>
      <c r="P958" s="15"/>
      <c r="Q958" s="15"/>
      <c r="R958" s="15"/>
    </row>
    <row r="959" ht="15.75" customHeight="1">
      <c r="A959" s="122"/>
      <c r="B959" s="112"/>
      <c r="C959" s="113"/>
      <c r="D959" s="113"/>
      <c r="E959" s="113"/>
      <c r="F959" s="419"/>
      <c r="G959" s="419"/>
      <c r="H959" s="420">
        <f t="shared" si="2"/>
        <v>0</v>
      </c>
      <c r="I959" s="420" t="str">
        <f t="shared" si="3"/>
        <v/>
      </c>
      <c r="J959" s="113"/>
      <c r="K959" s="114"/>
      <c r="L959" s="15"/>
      <c r="M959" s="13"/>
      <c r="N959" s="15"/>
      <c r="O959" s="15"/>
      <c r="P959" s="15"/>
      <c r="Q959" s="15"/>
      <c r="R959" s="15"/>
    </row>
    <row r="960" ht="15.75" customHeight="1">
      <c r="A960" s="122"/>
      <c r="B960" s="112"/>
      <c r="C960" s="113"/>
      <c r="D960" s="113"/>
      <c r="E960" s="113"/>
      <c r="F960" s="419"/>
      <c r="G960" s="419"/>
      <c r="H960" s="420">
        <f t="shared" si="2"/>
        <v>0</v>
      </c>
      <c r="I960" s="420" t="str">
        <f t="shared" si="3"/>
        <v/>
      </c>
      <c r="J960" s="113"/>
      <c r="K960" s="114"/>
      <c r="L960" s="15"/>
      <c r="M960" s="13"/>
      <c r="N960" s="15"/>
      <c r="O960" s="15"/>
      <c r="P960" s="15"/>
      <c r="Q960" s="15"/>
      <c r="R960" s="15"/>
    </row>
    <row r="961" ht="15.75" customHeight="1">
      <c r="A961" s="122"/>
      <c r="B961" s="112"/>
      <c r="C961" s="113"/>
      <c r="D961" s="113"/>
      <c r="E961" s="113"/>
      <c r="F961" s="419"/>
      <c r="G961" s="419"/>
      <c r="H961" s="420">
        <f t="shared" si="2"/>
        <v>0</v>
      </c>
      <c r="I961" s="420" t="str">
        <f t="shared" si="3"/>
        <v/>
      </c>
      <c r="J961" s="113"/>
      <c r="K961" s="114"/>
      <c r="L961" s="15"/>
      <c r="M961" s="13"/>
      <c r="N961" s="15"/>
      <c r="O961" s="15"/>
      <c r="P961" s="15"/>
      <c r="Q961" s="15"/>
      <c r="R961" s="15"/>
    </row>
    <row r="962" ht="15.75" customHeight="1">
      <c r="A962" s="122"/>
      <c r="B962" s="112"/>
      <c r="C962" s="113"/>
      <c r="D962" s="113"/>
      <c r="E962" s="113"/>
      <c r="F962" s="419"/>
      <c r="G962" s="419"/>
      <c r="H962" s="420">
        <f t="shared" si="2"/>
        <v>0</v>
      </c>
      <c r="I962" s="420" t="str">
        <f t="shared" si="3"/>
        <v/>
      </c>
      <c r="J962" s="113"/>
      <c r="K962" s="114"/>
      <c r="L962" s="15"/>
      <c r="M962" s="13"/>
      <c r="N962" s="15"/>
      <c r="O962" s="15"/>
      <c r="P962" s="15"/>
      <c r="Q962" s="15"/>
      <c r="R962" s="15"/>
    </row>
    <row r="963" ht="15.75" customHeight="1">
      <c r="A963" s="122"/>
      <c r="B963" s="112"/>
      <c r="C963" s="113"/>
      <c r="D963" s="113"/>
      <c r="E963" s="113"/>
      <c r="F963" s="419"/>
      <c r="G963" s="419"/>
      <c r="H963" s="420">
        <f t="shared" si="2"/>
        <v>0</v>
      </c>
      <c r="I963" s="420" t="str">
        <f t="shared" si="3"/>
        <v/>
      </c>
      <c r="J963" s="113"/>
      <c r="K963" s="114"/>
      <c r="L963" s="15"/>
      <c r="M963" s="13"/>
      <c r="N963" s="15"/>
      <c r="O963" s="15"/>
      <c r="P963" s="15"/>
      <c r="Q963" s="15"/>
      <c r="R963" s="15"/>
    </row>
    <row r="964" ht="15.75" customHeight="1">
      <c r="A964" s="122"/>
      <c r="B964" s="112"/>
      <c r="C964" s="113"/>
      <c r="D964" s="113"/>
      <c r="E964" s="113"/>
      <c r="F964" s="419"/>
      <c r="G964" s="419"/>
      <c r="H964" s="420">
        <f t="shared" si="2"/>
        <v>0</v>
      </c>
      <c r="I964" s="420" t="str">
        <f t="shared" si="3"/>
        <v/>
      </c>
      <c r="J964" s="113"/>
      <c r="K964" s="114"/>
      <c r="L964" s="15"/>
      <c r="M964" s="13"/>
      <c r="N964" s="15"/>
      <c r="O964" s="15"/>
      <c r="P964" s="15"/>
      <c r="Q964" s="15"/>
      <c r="R964" s="15"/>
    </row>
    <row r="965" ht="15.75" customHeight="1">
      <c r="A965" s="122"/>
      <c r="B965" s="112"/>
      <c r="C965" s="113"/>
      <c r="D965" s="113"/>
      <c r="E965" s="113"/>
      <c r="F965" s="419"/>
      <c r="G965" s="419"/>
      <c r="H965" s="420">
        <f t="shared" si="2"/>
        <v>0</v>
      </c>
      <c r="I965" s="420" t="str">
        <f t="shared" si="3"/>
        <v/>
      </c>
      <c r="J965" s="113"/>
      <c r="K965" s="114"/>
      <c r="L965" s="15"/>
      <c r="M965" s="13"/>
      <c r="N965" s="15"/>
      <c r="O965" s="15"/>
      <c r="P965" s="15"/>
      <c r="Q965" s="15"/>
      <c r="R965" s="15"/>
    </row>
    <row r="966" ht="15.75" customHeight="1">
      <c r="A966" s="122"/>
      <c r="B966" s="112"/>
      <c r="C966" s="113"/>
      <c r="D966" s="113"/>
      <c r="E966" s="113"/>
      <c r="F966" s="419"/>
      <c r="G966" s="419"/>
      <c r="H966" s="420">
        <f t="shared" si="2"/>
        <v>0</v>
      </c>
      <c r="I966" s="420" t="str">
        <f t="shared" si="3"/>
        <v/>
      </c>
      <c r="J966" s="113"/>
      <c r="K966" s="114"/>
      <c r="L966" s="15"/>
      <c r="M966" s="13"/>
      <c r="N966" s="15"/>
      <c r="O966" s="15"/>
      <c r="P966" s="15"/>
      <c r="Q966" s="15"/>
      <c r="R966" s="15"/>
    </row>
    <row r="967" ht="15.75" customHeight="1">
      <c r="A967" s="122"/>
      <c r="B967" s="112"/>
      <c r="C967" s="113"/>
      <c r="D967" s="113"/>
      <c r="E967" s="113"/>
      <c r="F967" s="419"/>
      <c r="G967" s="419"/>
      <c r="H967" s="420">
        <f t="shared" si="2"/>
        <v>0</v>
      </c>
      <c r="I967" s="420" t="str">
        <f t="shared" si="3"/>
        <v/>
      </c>
      <c r="J967" s="113"/>
      <c r="K967" s="114"/>
      <c r="L967" s="15"/>
      <c r="M967" s="13"/>
      <c r="N967" s="15"/>
      <c r="O967" s="15"/>
      <c r="P967" s="15"/>
      <c r="Q967" s="15"/>
      <c r="R967" s="15"/>
    </row>
    <row r="968" ht="15.75" customHeight="1">
      <c r="A968" s="122"/>
      <c r="B968" s="112"/>
      <c r="C968" s="113"/>
      <c r="D968" s="113"/>
      <c r="E968" s="113"/>
      <c r="F968" s="419"/>
      <c r="G968" s="419"/>
      <c r="H968" s="420">
        <f t="shared" si="2"/>
        <v>0</v>
      </c>
      <c r="I968" s="420" t="str">
        <f t="shared" si="3"/>
        <v/>
      </c>
      <c r="J968" s="113"/>
      <c r="K968" s="114"/>
      <c r="L968" s="15"/>
      <c r="M968" s="13"/>
      <c r="N968" s="15"/>
      <c r="O968" s="15"/>
      <c r="P968" s="15"/>
      <c r="Q968" s="15"/>
      <c r="R968" s="15"/>
    </row>
    <row r="969" ht="15.75" customHeight="1">
      <c r="A969" s="122"/>
      <c r="B969" s="112"/>
      <c r="C969" s="113"/>
      <c r="D969" s="113"/>
      <c r="E969" s="113"/>
      <c r="F969" s="419"/>
      <c r="G969" s="419"/>
      <c r="H969" s="420">
        <f t="shared" si="2"/>
        <v>0</v>
      </c>
      <c r="I969" s="420" t="str">
        <f t="shared" si="3"/>
        <v/>
      </c>
      <c r="J969" s="113"/>
      <c r="K969" s="114"/>
      <c r="L969" s="15"/>
      <c r="M969" s="13"/>
      <c r="N969" s="15"/>
      <c r="O969" s="15"/>
      <c r="P969" s="15"/>
      <c r="Q969" s="15"/>
      <c r="R969" s="15"/>
    </row>
    <row r="970" ht="15.75" customHeight="1">
      <c r="A970" s="122"/>
      <c r="B970" s="112"/>
      <c r="C970" s="113"/>
      <c r="D970" s="113"/>
      <c r="E970" s="113"/>
      <c r="F970" s="419"/>
      <c r="G970" s="419"/>
      <c r="H970" s="420">
        <f t="shared" si="2"/>
        <v>0</v>
      </c>
      <c r="I970" s="420" t="str">
        <f t="shared" si="3"/>
        <v/>
      </c>
      <c r="J970" s="113"/>
      <c r="K970" s="114"/>
      <c r="L970" s="15"/>
      <c r="M970" s="13"/>
      <c r="N970" s="15"/>
      <c r="O970" s="15"/>
      <c r="P970" s="15"/>
      <c r="Q970" s="15"/>
      <c r="R970" s="15"/>
    </row>
    <row r="971" ht="15.75" customHeight="1">
      <c r="A971" s="122"/>
      <c r="B971" s="112"/>
      <c r="C971" s="113"/>
      <c r="D971" s="113"/>
      <c r="E971" s="113"/>
      <c r="F971" s="419"/>
      <c r="G971" s="419"/>
      <c r="H971" s="420">
        <f t="shared" si="2"/>
        <v>0</v>
      </c>
      <c r="I971" s="420" t="str">
        <f t="shared" si="3"/>
        <v/>
      </c>
      <c r="J971" s="113"/>
      <c r="K971" s="114"/>
      <c r="L971" s="15"/>
      <c r="M971" s="13"/>
      <c r="N971" s="15"/>
      <c r="O971" s="15"/>
      <c r="P971" s="15"/>
      <c r="Q971" s="15"/>
      <c r="R971" s="15"/>
    </row>
    <row r="972" ht="15.75" customHeight="1">
      <c r="A972" s="122"/>
      <c r="B972" s="112"/>
      <c r="C972" s="113"/>
      <c r="D972" s="113"/>
      <c r="E972" s="113"/>
      <c r="F972" s="419"/>
      <c r="G972" s="419"/>
      <c r="H972" s="420">
        <f t="shared" si="2"/>
        <v>0</v>
      </c>
      <c r="I972" s="420" t="str">
        <f t="shared" si="3"/>
        <v/>
      </c>
      <c r="J972" s="113"/>
      <c r="K972" s="114"/>
      <c r="L972" s="15"/>
      <c r="M972" s="13"/>
      <c r="N972" s="15"/>
      <c r="O972" s="15"/>
      <c r="P972" s="15"/>
      <c r="Q972" s="15"/>
      <c r="R972" s="15"/>
    </row>
    <row r="973" ht="15.75" customHeight="1">
      <c r="A973" s="122"/>
      <c r="B973" s="112"/>
      <c r="C973" s="113"/>
      <c r="D973" s="113"/>
      <c r="E973" s="113"/>
      <c r="F973" s="419"/>
      <c r="G973" s="419"/>
      <c r="H973" s="420">
        <f t="shared" si="2"/>
        <v>0</v>
      </c>
      <c r="I973" s="420" t="str">
        <f t="shared" si="3"/>
        <v/>
      </c>
      <c r="J973" s="113"/>
      <c r="K973" s="114"/>
      <c r="L973" s="15"/>
      <c r="M973" s="13"/>
      <c r="N973" s="15"/>
      <c r="O973" s="15"/>
      <c r="P973" s="15"/>
      <c r="Q973" s="15"/>
      <c r="R973" s="15"/>
    </row>
    <row r="974" ht="15.75" customHeight="1">
      <c r="A974" s="122"/>
      <c r="B974" s="112"/>
      <c r="C974" s="113"/>
      <c r="D974" s="113"/>
      <c r="E974" s="113"/>
      <c r="F974" s="419"/>
      <c r="G974" s="419"/>
      <c r="H974" s="420">
        <f t="shared" si="2"/>
        <v>0</v>
      </c>
      <c r="I974" s="420" t="str">
        <f t="shared" si="3"/>
        <v/>
      </c>
      <c r="J974" s="113"/>
      <c r="K974" s="114"/>
      <c r="L974" s="15"/>
      <c r="M974" s="13"/>
      <c r="N974" s="15"/>
      <c r="O974" s="15"/>
      <c r="P974" s="15"/>
      <c r="Q974" s="15"/>
      <c r="R974" s="15"/>
    </row>
    <row r="975" ht="15.75" customHeight="1">
      <c r="A975" s="122"/>
      <c r="B975" s="112"/>
      <c r="C975" s="113"/>
      <c r="D975" s="113"/>
      <c r="E975" s="113"/>
      <c r="F975" s="419"/>
      <c r="G975" s="419"/>
      <c r="H975" s="420">
        <f t="shared" si="2"/>
        <v>0</v>
      </c>
      <c r="I975" s="420" t="str">
        <f t="shared" si="3"/>
        <v/>
      </c>
      <c r="J975" s="113"/>
      <c r="K975" s="114"/>
      <c r="L975" s="15"/>
      <c r="M975" s="13"/>
      <c r="N975" s="15"/>
      <c r="O975" s="15"/>
      <c r="P975" s="15"/>
      <c r="Q975" s="15"/>
      <c r="R975" s="15"/>
    </row>
    <row r="976" ht="15.75" customHeight="1">
      <c r="A976" s="122"/>
      <c r="B976" s="112"/>
      <c r="C976" s="113"/>
      <c r="D976" s="113"/>
      <c r="E976" s="113"/>
      <c r="F976" s="419"/>
      <c r="G976" s="419"/>
      <c r="H976" s="420">
        <f t="shared" si="2"/>
        <v>0</v>
      </c>
      <c r="I976" s="420" t="str">
        <f t="shared" si="3"/>
        <v/>
      </c>
      <c r="J976" s="113"/>
      <c r="K976" s="114"/>
      <c r="L976" s="15"/>
      <c r="M976" s="13"/>
      <c r="N976" s="15"/>
      <c r="O976" s="15"/>
      <c r="P976" s="15"/>
      <c r="Q976" s="15"/>
      <c r="R976" s="15"/>
    </row>
    <row r="977" ht="15.75" customHeight="1">
      <c r="A977" s="122"/>
      <c r="B977" s="112"/>
      <c r="C977" s="113"/>
      <c r="D977" s="113"/>
      <c r="E977" s="113"/>
      <c r="F977" s="419"/>
      <c r="G977" s="419"/>
      <c r="H977" s="420">
        <f t="shared" si="2"/>
        <v>0</v>
      </c>
      <c r="I977" s="420" t="str">
        <f t="shared" si="3"/>
        <v/>
      </c>
      <c r="J977" s="113"/>
      <c r="K977" s="114"/>
      <c r="L977" s="15"/>
      <c r="M977" s="13"/>
      <c r="N977" s="15"/>
      <c r="O977" s="15"/>
      <c r="P977" s="15"/>
      <c r="Q977" s="15"/>
      <c r="R977" s="15"/>
    </row>
    <row r="978" ht="15.75" customHeight="1">
      <c r="A978" s="122"/>
      <c r="B978" s="112"/>
      <c r="C978" s="113"/>
      <c r="D978" s="113"/>
      <c r="E978" s="113"/>
      <c r="F978" s="419"/>
      <c r="G978" s="419"/>
      <c r="H978" s="420">
        <f t="shared" si="2"/>
        <v>0</v>
      </c>
      <c r="I978" s="420" t="str">
        <f t="shared" si="3"/>
        <v/>
      </c>
      <c r="J978" s="113"/>
      <c r="K978" s="114"/>
      <c r="L978" s="15"/>
      <c r="M978" s="13"/>
      <c r="N978" s="15"/>
      <c r="O978" s="15"/>
      <c r="P978" s="15"/>
      <c r="Q978" s="15"/>
      <c r="R978" s="15"/>
    </row>
    <row r="979" ht="15.75" customHeight="1">
      <c r="A979" s="122"/>
      <c r="B979" s="112"/>
      <c r="C979" s="113"/>
      <c r="D979" s="113"/>
      <c r="E979" s="113"/>
      <c r="F979" s="419"/>
      <c r="G979" s="419"/>
      <c r="H979" s="420">
        <f t="shared" si="2"/>
        <v>0</v>
      </c>
      <c r="I979" s="420" t="str">
        <f t="shared" si="3"/>
        <v/>
      </c>
      <c r="J979" s="113"/>
      <c r="K979" s="114"/>
      <c r="L979" s="15"/>
      <c r="M979" s="13"/>
      <c r="N979" s="15"/>
      <c r="O979" s="15"/>
      <c r="P979" s="15"/>
      <c r="Q979" s="15"/>
      <c r="R979" s="15"/>
    </row>
    <row r="980" ht="15.75" customHeight="1">
      <c r="A980" s="122"/>
      <c r="B980" s="112"/>
      <c r="C980" s="113"/>
      <c r="D980" s="113"/>
      <c r="E980" s="113"/>
      <c r="F980" s="419"/>
      <c r="G980" s="419"/>
      <c r="H980" s="420">
        <f t="shared" si="2"/>
        <v>0</v>
      </c>
      <c r="I980" s="420" t="str">
        <f t="shared" si="3"/>
        <v/>
      </c>
      <c r="J980" s="113"/>
      <c r="K980" s="114"/>
      <c r="L980" s="15"/>
      <c r="M980" s="13"/>
      <c r="N980" s="15"/>
      <c r="O980" s="15"/>
      <c r="P980" s="15"/>
      <c r="Q980" s="15"/>
      <c r="R980" s="15"/>
    </row>
    <row r="981" ht="15.75" customHeight="1">
      <c r="A981" s="122"/>
      <c r="B981" s="112"/>
      <c r="C981" s="113"/>
      <c r="D981" s="113"/>
      <c r="E981" s="113"/>
      <c r="F981" s="419"/>
      <c r="G981" s="419"/>
      <c r="H981" s="420">
        <f t="shared" si="2"/>
        <v>0</v>
      </c>
      <c r="I981" s="420" t="str">
        <f t="shared" si="3"/>
        <v/>
      </c>
      <c r="J981" s="113"/>
      <c r="K981" s="114"/>
      <c r="L981" s="15"/>
      <c r="M981" s="13"/>
      <c r="N981" s="15"/>
      <c r="O981" s="15"/>
      <c r="P981" s="15"/>
      <c r="Q981" s="15"/>
      <c r="R981" s="15"/>
    </row>
    <row r="982" ht="15.75" customHeight="1">
      <c r="A982" s="122"/>
      <c r="B982" s="112"/>
      <c r="C982" s="113"/>
      <c r="D982" s="113"/>
      <c r="E982" s="113"/>
      <c r="F982" s="419"/>
      <c r="G982" s="419"/>
      <c r="H982" s="420">
        <f t="shared" si="2"/>
        <v>0</v>
      </c>
      <c r="I982" s="420" t="str">
        <f t="shared" si="3"/>
        <v/>
      </c>
      <c r="J982" s="113"/>
      <c r="K982" s="114"/>
      <c r="L982" s="15"/>
      <c r="M982" s="13"/>
      <c r="N982" s="15"/>
      <c r="O982" s="15"/>
      <c r="P982" s="15"/>
      <c r="Q982" s="15"/>
      <c r="R982" s="15"/>
    </row>
    <row r="983" ht="15.75" customHeight="1">
      <c r="A983" s="122"/>
      <c r="B983" s="112"/>
      <c r="C983" s="113"/>
      <c r="D983" s="113"/>
      <c r="E983" s="113"/>
      <c r="F983" s="419"/>
      <c r="G983" s="419"/>
      <c r="H983" s="420">
        <f t="shared" si="2"/>
        <v>0</v>
      </c>
      <c r="I983" s="420" t="str">
        <f t="shared" si="3"/>
        <v/>
      </c>
      <c r="J983" s="113"/>
      <c r="K983" s="114"/>
      <c r="L983" s="15"/>
      <c r="M983" s="13"/>
      <c r="N983" s="15"/>
      <c r="O983" s="15"/>
      <c r="P983" s="15"/>
      <c r="Q983" s="15"/>
      <c r="R983" s="15"/>
    </row>
    <row r="984" ht="15.75" customHeight="1">
      <c r="A984" s="122"/>
      <c r="B984" s="112"/>
      <c r="C984" s="113"/>
      <c r="D984" s="113"/>
      <c r="E984" s="113"/>
      <c r="F984" s="419"/>
      <c r="G984" s="419"/>
      <c r="H984" s="420">
        <f t="shared" si="2"/>
        <v>0</v>
      </c>
      <c r="I984" s="420" t="str">
        <f t="shared" si="3"/>
        <v/>
      </c>
      <c r="J984" s="113"/>
      <c r="K984" s="114"/>
      <c r="L984" s="15"/>
      <c r="M984" s="13"/>
      <c r="N984" s="15"/>
      <c r="O984" s="15"/>
      <c r="P984" s="15"/>
      <c r="Q984" s="15"/>
      <c r="R984" s="15"/>
    </row>
    <row r="985" ht="15.75" customHeight="1">
      <c r="A985" s="122"/>
      <c r="B985" s="112"/>
      <c r="C985" s="113"/>
      <c r="D985" s="113"/>
      <c r="E985" s="113"/>
      <c r="F985" s="419"/>
      <c r="G985" s="419"/>
      <c r="H985" s="420">
        <f t="shared" si="2"/>
        <v>0</v>
      </c>
      <c r="I985" s="420" t="str">
        <f t="shared" si="3"/>
        <v/>
      </c>
      <c r="J985" s="113"/>
      <c r="K985" s="114"/>
      <c r="L985" s="15"/>
      <c r="M985" s="13"/>
      <c r="N985" s="15"/>
      <c r="O985" s="15"/>
      <c r="P985" s="15"/>
      <c r="Q985" s="15"/>
      <c r="R985" s="15"/>
    </row>
    <row r="986" ht="15.75" customHeight="1">
      <c r="A986" s="122"/>
      <c r="B986" s="112"/>
      <c r="C986" s="113"/>
      <c r="D986" s="113"/>
      <c r="E986" s="113"/>
      <c r="F986" s="419"/>
      <c r="G986" s="419"/>
      <c r="H986" s="420">
        <f t="shared" si="2"/>
        <v>0</v>
      </c>
      <c r="I986" s="420" t="str">
        <f t="shared" si="3"/>
        <v/>
      </c>
      <c r="J986" s="113"/>
      <c r="K986" s="114"/>
      <c r="L986" s="15"/>
      <c r="M986" s="13"/>
      <c r="N986" s="15"/>
      <c r="O986" s="15"/>
      <c r="P986" s="15"/>
      <c r="Q986" s="15"/>
      <c r="R986" s="15"/>
    </row>
    <row r="987" ht="15.75" customHeight="1">
      <c r="A987" s="122"/>
      <c r="B987" s="112"/>
      <c r="C987" s="113"/>
      <c r="D987" s="113"/>
      <c r="E987" s="113"/>
      <c r="F987" s="419"/>
      <c r="G987" s="419"/>
      <c r="H987" s="420">
        <f t="shared" si="2"/>
        <v>0</v>
      </c>
      <c r="I987" s="420" t="str">
        <f t="shared" si="3"/>
        <v/>
      </c>
      <c r="J987" s="113"/>
      <c r="K987" s="114"/>
      <c r="L987" s="15"/>
      <c r="M987" s="13"/>
      <c r="N987" s="15"/>
      <c r="O987" s="15"/>
      <c r="P987" s="15"/>
      <c r="Q987" s="15"/>
      <c r="R987" s="15"/>
    </row>
    <row r="988" ht="15.75" customHeight="1">
      <c r="A988" s="122"/>
      <c r="B988" s="112"/>
      <c r="C988" s="113"/>
      <c r="D988" s="113"/>
      <c r="E988" s="113"/>
      <c r="F988" s="419"/>
      <c r="G988" s="419"/>
      <c r="H988" s="420">
        <f t="shared" si="2"/>
        <v>0</v>
      </c>
      <c r="I988" s="420" t="str">
        <f t="shared" si="3"/>
        <v/>
      </c>
      <c r="J988" s="113"/>
      <c r="K988" s="114"/>
      <c r="L988" s="15"/>
      <c r="M988" s="13"/>
      <c r="N988" s="15"/>
      <c r="O988" s="15"/>
      <c r="P988" s="15"/>
      <c r="Q988" s="15"/>
      <c r="R988" s="15"/>
    </row>
    <row r="989" ht="15.75" customHeight="1">
      <c r="A989" s="122"/>
      <c r="B989" s="112"/>
      <c r="C989" s="113"/>
      <c r="D989" s="113"/>
      <c r="E989" s="113"/>
      <c r="F989" s="419"/>
      <c r="G989" s="419"/>
      <c r="H989" s="420">
        <f t="shared" si="2"/>
        <v>0</v>
      </c>
      <c r="I989" s="420" t="str">
        <f t="shared" si="3"/>
        <v/>
      </c>
      <c r="J989" s="113"/>
      <c r="K989" s="114"/>
      <c r="L989" s="15"/>
      <c r="M989" s="13"/>
      <c r="N989" s="15"/>
      <c r="O989" s="15"/>
      <c r="P989" s="15"/>
      <c r="Q989" s="15"/>
      <c r="R989" s="15"/>
    </row>
    <row r="990" ht="15.75" customHeight="1">
      <c r="A990" s="122"/>
      <c r="B990" s="112"/>
      <c r="C990" s="113"/>
      <c r="D990" s="113"/>
      <c r="E990" s="113"/>
      <c r="F990" s="419"/>
      <c r="G990" s="419"/>
      <c r="H990" s="420">
        <f t="shared" si="2"/>
        <v>0</v>
      </c>
      <c r="I990" s="420" t="str">
        <f t="shared" si="3"/>
        <v/>
      </c>
      <c r="J990" s="113"/>
      <c r="K990" s="114"/>
      <c r="L990" s="15"/>
      <c r="M990" s="13"/>
      <c r="N990" s="15"/>
      <c r="O990" s="15"/>
      <c r="P990" s="15"/>
      <c r="Q990" s="15"/>
      <c r="R990" s="15"/>
    </row>
    <row r="991" ht="15.75" customHeight="1">
      <c r="A991" s="122"/>
      <c r="B991" s="112"/>
      <c r="C991" s="113"/>
      <c r="D991" s="113"/>
      <c r="E991" s="113"/>
      <c r="F991" s="419"/>
      <c r="G991" s="419"/>
      <c r="H991" s="420">
        <f t="shared" si="2"/>
        <v>0</v>
      </c>
      <c r="I991" s="420" t="str">
        <f t="shared" si="3"/>
        <v/>
      </c>
      <c r="J991" s="113"/>
      <c r="K991" s="114"/>
      <c r="L991" s="15"/>
      <c r="M991" s="13"/>
      <c r="N991" s="15"/>
      <c r="O991" s="15"/>
      <c r="P991" s="15"/>
      <c r="Q991" s="15"/>
      <c r="R991" s="15"/>
    </row>
    <row r="992" ht="15.75" customHeight="1">
      <c r="A992" s="122"/>
      <c r="B992" s="112"/>
      <c r="C992" s="113"/>
      <c r="D992" s="113"/>
      <c r="E992" s="113"/>
      <c r="F992" s="419"/>
      <c r="G992" s="419"/>
      <c r="H992" s="420">
        <f t="shared" si="2"/>
        <v>0</v>
      </c>
      <c r="I992" s="420" t="str">
        <f t="shared" si="3"/>
        <v/>
      </c>
      <c r="J992" s="113"/>
      <c r="K992" s="114"/>
      <c r="L992" s="15"/>
      <c r="M992" s="13"/>
      <c r="N992" s="15"/>
      <c r="O992" s="15"/>
      <c r="P992" s="15"/>
      <c r="Q992" s="15"/>
      <c r="R992" s="15"/>
    </row>
    <row r="993" ht="15.75" customHeight="1">
      <c r="A993" s="122"/>
      <c r="B993" s="112"/>
      <c r="C993" s="113"/>
      <c r="D993" s="113"/>
      <c r="E993" s="113"/>
      <c r="F993" s="419"/>
      <c r="G993" s="419"/>
      <c r="H993" s="420">
        <f t="shared" si="2"/>
        <v>0</v>
      </c>
      <c r="I993" s="420" t="str">
        <f t="shared" si="3"/>
        <v/>
      </c>
      <c r="J993" s="113"/>
      <c r="K993" s="114"/>
      <c r="L993" s="15"/>
      <c r="M993" s="13"/>
      <c r="N993" s="15"/>
      <c r="O993" s="15"/>
      <c r="P993" s="15"/>
      <c r="Q993" s="15"/>
      <c r="R993" s="15"/>
    </row>
    <row r="994" ht="15.75" customHeight="1">
      <c r="A994" s="122"/>
      <c r="B994" s="112"/>
      <c r="C994" s="113"/>
      <c r="D994" s="113"/>
      <c r="E994" s="113"/>
      <c r="F994" s="419"/>
      <c r="G994" s="419"/>
      <c r="H994" s="420">
        <f t="shared" si="2"/>
        <v>0</v>
      </c>
      <c r="I994" s="420" t="str">
        <f t="shared" si="3"/>
        <v/>
      </c>
      <c r="J994" s="113"/>
      <c r="K994" s="114"/>
      <c r="L994" s="15"/>
      <c r="M994" s="13"/>
      <c r="N994" s="15"/>
      <c r="O994" s="15"/>
      <c r="P994" s="15"/>
      <c r="Q994" s="15"/>
      <c r="R994" s="15"/>
    </row>
    <row r="995" ht="15.75" customHeight="1">
      <c r="A995" s="122"/>
      <c r="B995" s="112"/>
      <c r="C995" s="113"/>
      <c r="D995" s="113"/>
      <c r="E995" s="113"/>
      <c r="F995" s="419"/>
      <c r="G995" s="419"/>
      <c r="H995" s="420">
        <f t="shared" si="2"/>
        <v>0</v>
      </c>
      <c r="I995" s="420" t="str">
        <f t="shared" si="3"/>
        <v/>
      </c>
      <c r="J995" s="113"/>
      <c r="K995" s="114"/>
      <c r="L995" s="15"/>
      <c r="M995" s="13"/>
      <c r="N995" s="15"/>
      <c r="O995" s="15"/>
      <c r="P995" s="15"/>
      <c r="Q995" s="15"/>
      <c r="R995" s="15"/>
    </row>
    <row r="996" ht="15.75" customHeight="1">
      <c r="A996" s="122"/>
      <c r="B996" s="112"/>
      <c r="C996" s="113"/>
      <c r="D996" s="113"/>
      <c r="E996" s="113"/>
      <c r="F996" s="419"/>
      <c r="G996" s="419"/>
      <c r="H996" s="420">
        <f t="shared" si="2"/>
        <v>0</v>
      </c>
      <c r="I996" s="420" t="str">
        <f t="shared" si="3"/>
        <v/>
      </c>
      <c r="J996" s="113"/>
      <c r="K996" s="114"/>
      <c r="L996" s="15"/>
      <c r="M996" s="13"/>
      <c r="N996" s="15"/>
      <c r="O996" s="15"/>
      <c r="P996" s="15"/>
      <c r="Q996" s="15"/>
      <c r="R996" s="15"/>
    </row>
    <row r="997" ht="15.75" customHeight="1">
      <c r="A997" s="122"/>
      <c r="B997" s="112"/>
      <c r="C997" s="113"/>
      <c r="D997" s="113"/>
      <c r="E997" s="113"/>
      <c r="F997" s="419"/>
      <c r="G997" s="419"/>
      <c r="H997" s="420">
        <f t="shared" si="2"/>
        <v>0</v>
      </c>
      <c r="I997" s="420" t="str">
        <f t="shared" si="3"/>
        <v/>
      </c>
      <c r="J997" s="113"/>
      <c r="K997" s="114"/>
      <c r="L997" s="15"/>
      <c r="M997" s="13"/>
      <c r="N997" s="15"/>
      <c r="O997" s="15"/>
      <c r="P997" s="15"/>
      <c r="Q997" s="15"/>
      <c r="R997" s="15"/>
    </row>
    <row r="998" ht="15.75" customHeight="1">
      <c r="A998" s="122"/>
      <c r="B998" s="112"/>
      <c r="C998" s="113"/>
      <c r="D998" s="113"/>
      <c r="E998" s="113"/>
      <c r="F998" s="419"/>
      <c r="G998" s="419"/>
      <c r="H998" s="420">
        <f t="shared" si="2"/>
        <v>0</v>
      </c>
      <c r="I998" s="420" t="str">
        <f t="shared" si="3"/>
        <v/>
      </c>
      <c r="J998" s="113"/>
      <c r="K998" s="114"/>
      <c r="L998" s="15"/>
      <c r="M998" s="13"/>
      <c r="N998" s="15"/>
      <c r="O998" s="15"/>
      <c r="P998" s="15"/>
      <c r="Q998" s="15"/>
      <c r="R998" s="15"/>
    </row>
    <row r="999" ht="15.75" customHeight="1">
      <c r="A999" s="122"/>
      <c r="B999" s="112"/>
      <c r="C999" s="113"/>
      <c r="D999" s="113"/>
      <c r="E999" s="113"/>
      <c r="F999" s="419"/>
      <c r="G999" s="419"/>
      <c r="H999" s="420">
        <f t="shared" si="2"/>
        <v>0</v>
      </c>
      <c r="I999" s="420" t="str">
        <f t="shared" si="3"/>
        <v/>
      </c>
      <c r="J999" s="113"/>
      <c r="K999" s="114"/>
      <c r="L999" s="15"/>
      <c r="M999" s="13"/>
      <c r="N999" s="15"/>
      <c r="O999" s="15"/>
      <c r="P999" s="15"/>
      <c r="Q999" s="15"/>
      <c r="R999" s="15"/>
    </row>
    <row r="1000" ht="15.75" customHeight="1">
      <c r="A1000" s="122"/>
      <c r="B1000" s="112"/>
      <c r="C1000" s="113"/>
      <c r="D1000" s="113"/>
      <c r="E1000" s="113"/>
      <c r="F1000" s="419"/>
      <c r="G1000" s="419"/>
      <c r="H1000" s="420">
        <f t="shared" si="2"/>
        <v>0</v>
      </c>
      <c r="I1000" s="420" t="str">
        <f t="shared" si="3"/>
        <v/>
      </c>
      <c r="J1000" s="113"/>
      <c r="K1000" s="114"/>
      <c r="L1000" s="15"/>
      <c r="M1000" s="13"/>
      <c r="N1000" s="15"/>
      <c r="O1000" s="15"/>
      <c r="P1000" s="15"/>
      <c r="Q1000" s="15"/>
      <c r="R1000" s="15"/>
    </row>
    <row r="1001" ht="15.75" customHeight="1">
      <c r="A1001" s="122"/>
      <c r="B1001" s="112"/>
      <c r="C1001" s="113"/>
      <c r="D1001" s="113"/>
      <c r="E1001" s="113"/>
      <c r="F1001" s="419"/>
      <c r="G1001" s="419"/>
      <c r="H1001" s="420">
        <f t="shared" si="2"/>
        <v>0</v>
      </c>
      <c r="I1001" s="420" t="str">
        <f t="shared" si="3"/>
        <v/>
      </c>
      <c r="J1001" s="113"/>
      <c r="K1001" s="114"/>
      <c r="L1001" s="15"/>
      <c r="M1001" s="13"/>
      <c r="N1001" s="15"/>
      <c r="O1001" s="15"/>
      <c r="P1001" s="15"/>
      <c r="Q1001" s="15"/>
      <c r="R1001" s="15"/>
    </row>
    <row r="1002" ht="15.75" customHeight="1">
      <c r="A1002" s="122"/>
      <c r="B1002" s="112"/>
      <c r="C1002" s="113"/>
      <c r="D1002" s="113"/>
      <c r="E1002" s="113"/>
      <c r="F1002" s="419"/>
      <c r="G1002" s="419"/>
      <c r="H1002" s="420">
        <f t="shared" si="2"/>
        <v>0</v>
      </c>
      <c r="I1002" s="420" t="str">
        <f t="shared" si="3"/>
        <v/>
      </c>
      <c r="J1002" s="113"/>
      <c r="K1002" s="114"/>
      <c r="L1002" s="15"/>
      <c r="M1002" s="13"/>
      <c r="N1002" s="15"/>
      <c r="O1002" s="15"/>
      <c r="P1002" s="15"/>
      <c r="Q1002" s="15"/>
      <c r="R1002" s="15"/>
    </row>
    <row r="1003" ht="15.75" customHeight="1">
      <c r="A1003" s="122"/>
      <c r="B1003" s="112"/>
      <c r="C1003" s="113"/>
      <c r="D1003" s="113"/>
      <c r="E1003" s="113"/>
      <c r="F1003" s="419"/>
      <c r="G1003" s="419"/>
      <c r="H1003" s="420">
        <f t="shared" si="2"/>
        <v>0</v>
      </c>
      <c r="I1003" s="420" t="str">
        <f t="shared" si="3"/>
        <v/>
      </c>
      <c r="J1003" s="113"/>
      <c r="K1003" s="114"/>
      <c r="L1003" s="15"/>
      <c r="M1003" s="13"/>
      <c r="N1003" s="15"/>
      <c r="O1003" s="15"/>
      <c r="P1003" s="15"/>
      <c r="Q1003" s="15"/>
      <c r="R1003" s="15"/>
    </row>
    <row r="1004" ht="15.75" customHeight="1">
      <c r="A1004" s="122"/>
      <c r="B1004" s="112"/>
      <c r="C1004" s="113"/>
      <c r="D1004" s="113"/>
      <c r="E1004" s="113"/>
      <c r="F1004" s="419"/>
      <c r="G1004" s="419"/>
      <c r="H1004" s="420">
        <f t="shared" si="2"/>
        <v>0</v>
      </c>
      <c r="I1004" s="420" t="str">
        <f t="shared" si="3"/>
        <v/>
      </c>
      <c r="J1004" s="113"/>
      <c r="K1004" s="114"/>
      <c r="L1004" s="15"/>
      <c r="M1004" s="13"/>
      <c r="N1004" s="15"/>
      <c r="O1004" s="15"/>
      <c r="P1004" s="15"/>
      <c r="Q1004" s="15"/>
      <c r="R1004" s="15"/>
    </row>
    <row r="1005" ht="15.75" customHeight="1">
      <c r="A1005" s="122"/>
      <c r="B1005" s="112"/>
      <c r="C1005" s="113"/>
      <c r="D1005" s="113"/>
      <c r="E1005" s="113"/>
      <c r="F1005" s="419"/>
      <c r="G1005" s="419"/>
      <c r="H1005" s="420">
        <f t="shared" si="2"/>
        <v>0</v>
      </c>
      <c r="I1005" s="420" t="str">
        <f t="shared" si="3"/>
        <v/>
      </c>
      <c r="J1005" s="113"/>
      <c r="K1005" s="114"/>
      <c r="L1005" s="15"/>
      <c r="M1005" s="13"/>
      <c r="N1005" s="15"/>
      <c r="O1005" s="15"/>
      <c r="P1005" s="15"/>
      <c r="Q1005" s="15"/>
      <c r="R1005" s="15"/>
    </row>
  </sheetData>
  <autoFilter ref="$A$5:$K$1005"/>
  <mergeCells count="4">
    <mergeCell ref="A1:C2"/>
    <mergeCell ref="D1:K1"/>
    <mergeCell ref="D2:K2"/>
    <mergeCell ref="N4:R4"/>
  </mergeCells>
  <conditionalFormatting sqref="A6:K1005">
    <cfRule type="expression" dxfId="22" priority="1" stopIfTrue="1">
      <formula>ISEVEN(ROW())</formula>
    </cfRule>
  </conditionalFormatting>
  <dataValidations>
    <dataValidation type="list" allowBlank="1" sqref="A6:A105">
      <formula1>Gestao!$A$8:$A$303</formula1>
    </dataValidation>
    <dataValidation type="list" allowBlank="1" sqref="C6:C1005">
      <formula1>"Mao-de-obra,Material,Equipamento,Subcontrato,Servico,Outro"</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4.43" defaultRowHeight="15.0"/>
  <cols>
    <col customWidth="1" min="1" max="1" width="14.0"/>
    <col customWidth="1" min="2" max="2" width="26.0"/>
    <col customWidth="1" min="3" max="3" width="13.0"/>
    <col customWidth="1" min="4" max="4" width="30.0"/>
    <col customWidth="1" min="5" max="5" width="12.71"/>
    <col customWidth="1" min="6" max="6" width="12.0"/>
    <col customWidth="1" min="7" max="7" width="11.0"/>
    <col customWidth="1" min="8" max="8" width="17.0"/>
    <col customWidth="1" min="9" max="9" width="14.0"/>
    <col customWidth="1" min="10" max="10" width="13.0"/>
    <col customWidth="1" min="11" max="12" width="15.14"/>
    <col customWidth="1" min="13" max="13" width="18.29"/>
    <col customWidth="1" min="14" max="14" width="15.0"/>
    <col customWidth="1" min="15" max="15" width="12.0"/>
    <col customWidth="1" min="16" max="16" width="16.0"/>
    <col customWidth="1" min="17" max="17" width="19.43"/>
    <col customWidth="1" min="18" max="18" width="15.57"/>
    <col customWidth="1" min="19" max="19" width="16.71"/>
    <col customWidth="1" min="20" max="20" width="19.71"/>
    <col customWidth="1" min="21" max="21" width="18.0"/>
    <col customWidth="1" min="22" max="22" width="24.0"/>
    <col customWidth="1" min="23" max="27" width="8.71"/>
  </cols>
  <sheetData>
    <row r="1" ht="27.75" customHeight="1">
      <c r="A1" s="426" t="s">
        <v>211</v>
      </c>
      <c r="B1" s="90"/>
      <c r="C1" s="90"/>
      <c r="D1" s="91" t="s">
        <v>212</v>
      </c>
      <c r="E1" s="92"/>
      <c r="F1" s="92"/>
      <c r="G1" s="92"/>
      <c r="H1" s="92"/>
      <c r="I1" s="92"/>
      <c r="J1" s="92"/>
      <c r="K1" s="92"/>
      <c r="L1" s="92"/>
      <c r="M1" s="92"/>
      <c r="N1" s="92"/>
      <c r="O1" s="92"/>
      <c r="P1" s="92"/>
      <c r="Q1" s="92"/>
      <c r="R1" s="92"/>
      <c r="S1" s="92"/>
      <c r="T1" s="92"/>
      <c r="U1" s="92"/>
      <c r="V1" s="92"/>
      <c r="W1" s="395"/>
      <c r="X1" s="395"/>
      <c r="Y1" s="395"/>
      <c r="Z1" s="395"/>
      <c r="AA1" s="395"/>
    </row>
    <row r="2" ht="21.75" customHeight="1">
      <c r="A2" s="93"/>
      <c r="D2" s="94" t="s">
        <v>1815</v>
      </c>
      <c r="E2" s="92"/>
      <c r="F2" s="92"/>
      <c r="G2" s="92"/>
      <c r="H2" s="92"/>
      <c r="I2" s="92"/>
      <c r="J2" s="92"/>
      <c r="K2" s="92"/>
      <c r="L2" s="92"/>
      <c r="M2" s="92"/>
      <c r="N2" s="92"/>
      <c r="O2" s="92"/>
      <c r="P2" s="92"/>
      <c r="Q2" s="92"/>
      <c r="R2" s="92"/>
      <c r="S2" s="92"/>
      <c r="T2" s="92"/>
      <c r="U2" s="92"/>
      <c r="V2" s="92"/>
      <c r="W2" s="395"/>
      <c r="X2" s="395"/>
      <c r="Y2" s="395"/>
      <c r="Z2" s="395"/>
      <c r="AA2" s="395"/>
    </row>
    <row r="3" ht="3.75" customHeight="1">
      <c r="A3" s="394"/>
      <c r="B3" s="394"/>
      <c r="C3" s="394"/>
      <c r="D3" s="394"/>
      <c r="E3" s="394"/>
      <c r="F3" s="394"/>
      <c r="G3" s="394"/>
      <c r="H3" s="394"/>
      <c r="I3" s="394"/>
      <c r="J3" s="394"/>
      <c r="K3" s="394"/>
      <c r="L3" s="394"/>
      <c r="M3" s="394"/>
      <c r="N3" s="394"/>
      <c r="O3" s="394"/>
      <c r="P3" s="394"/>
      <c r="Q3" s="394"/>
      <c r="R3" s="394"/>
      <c r="S3" s="394"/>
      <c r="T3" s="394"/>
      <c r="U3" s="394"/>
      <c r="V3" s="394"/>
      <c r="W3" s="395"/>
      <c r="X3" s="395"/>
      <c r="Y3" s="395"/>
      <c r="Z3" s="395"/>
      <c r="AA3" s="395"/>
    </row>
    <row r="4">
      <c r="A4" s="395"/>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row>
    <row r="5" ht="21.75" customHeight="1">
      <c r="A5" s="427" t="s">
        <v>1816</v>
      </c>
      <c r="B5" s="98"/>
      <c r="C5" s="427" t="s">
        <v>207</v>
      </c>
      <c r="D5" s="98"/>
      <c r="E5" s="427" t="s">
        <v>1817</v>
      </c>
      <c r="F5" s="98"/>
      <c r="G5" s="427" t="s">
        <v>1818</v>
      </c>
      <c r="H5" s="98"/>
      <c r="I5" s="427" t="s">
        <v>215</v>
      </c>
      <c r="J5" s="97"/>
      <c r="K5" s="98"/>
      <c r="L5" s="427" t="s">
        <v>1819</v>
      </c>
      <c r="M5" s="97"/>
      <c r="N5" s="98"/>
      <c r="O5" s="395"/>
      <c r="P5" s="395"/>
      <c r="Q5" s="395"/>
      <c r="R5" s="395"/>
      <c r="S5" s="395"/>
      <c r="T5" s="395"/>
      <c r="U5" s="395"/>
      <c r="V5" s="395"/>
      <c r="W5" s="395"/>
      <c r="X5" s="395"/>
      <c r="Y5" s="395"/>
      <c r="Z5" s="395"/>
      <c r="AA5" s="395"/>
    </row>
    <row r="6" ht="27.75" customHeight="1">
      <c r="A6" s="428">
        <f>COUNTIF(A8:A500,"Medição")</f>
        <v>0</v>
      </c>
      <c r="B6" s="98"/>
      <c r="C6" s="429">
        <f>IFERROR(SUMIFS(N8:N500,R8:R500,"A pagar")+SUMIFS(N8:N500,R8:R500,"Aprovado"),0)</f>
        <v>0</v>
      </c>
      <c r="D6" s="98"/>
      <c r="E6" s="430">
        <f>IFERROR(SUMIFS(N8:N500,R8:R500,"Pago",S8:S500,"&gt;="&amp;EOMONTH(TODAY(),-1)+1),0)</f>
        <v>0</v>
      </c>
      <c r="F6" s="98"/>
      <c r="G6" s="431">
        <f>IFERROR(SUMPRODUCT((R8:R500="A pagar")*(O8:O500&gt;=TODAY())*(O8:O500&lt;=TODAY()+7)*N8:N500),0)</f>
        <v>0</v>
      </c>
      <c r="H6" s="98"/>
      <c r="I6" s="429">
        <f>IFERROR(SUMPRODUCT((R8:R500="A pagar")*(O8:O500&lt;TODAY())*(O8:O500&lt;&gt;"")*N8:N500),0)</f>
        <v>0</v>
      </c>
      <c r="J6" s="97"/>
      <c r="K6" s="98"/>
      <c r="L6" s="430">
        <f>IFERROR(SUMIFS(N8:N500,R8:R500,"Pago"),0)</f>
        <v>0</v>
      </c>
      <c r="M6" s="97"/>
      <c r="N6" s="98"/>
      <c r="O6" s="395"/>
      <c r="P6" s="395"/>
      <c r="Q6" s="395"/>
      <c r="R6" s="395"/>
      <c r="S6" s="395"/>
      <c r="T6" s="395"/>
      <c r="U6" s="395"/>
      <c r="V6" s="395"/>
      <c r="W6" s="395"/>
      <c r="X6" s="395"/>
      <c r="Y6" s="395"/>
      <c r="Z6" s="395"/>
      <c r="AA6" s="395"/>
    </row>
    <row r="7" ht="30.0" customHeight="1">
      <c r="A7" s="109" t="s">
        <v>17</v>
      </c>
      <c r="B7" s="109" t="s">
        <v>1820</v>
      </c>
      <c r="C7" s="109" t="s">
        <v>1690</v>
      </c>
      <c r="D7" s="109" t="s">
        <v>11</v>
      </c>
      <c r="E7" s="109" t="s">
        <v>1821</v>
      </c>
      <c r="F7" s="109" t="s">
        <v>1822</v>
      </c>
      <c r="G7" s="109" t="s">
        <v>1823</v>
      </c>
      <c r="H7" s="109" t="s">
        <v>1824</v>
      </c>
      <c r="I7" s="109" t="s">
        <v>1825</v>
      </c>
      <c r="J7" s="110" t="s">
        <v>1826</v>
      </c>
      <c r="K7" s="109" t="s">
        <v>1827</v>
      </c>
      <c r="L7" s="109" t="s">
        <v>1828</v>
      </c>
      <c r="M7" s="109" t="s">
        <v>1829</v>
      </c>
      <c r="N7" s="109" t="s">
        <v>1830</v>
      </c>
      <c r="O7" s="109" t="s">
        <v>1831</v>
      </c>
      <c r="P7" s="109" t="s">
        <v>1832</v>
      </c>
      <c r="Q7" s="109" t="s">
        <v>1833</v>
      </c>
      <c r="R7" s="109" t="s">
        <v>13</v>
      </c>
      <c r="S7" s="109" t="s">
        <v>1834</v>
      </c>
      <c r="T7" s="109" t="s">
        <v>1835</v>
      </c>
      <c r="U7" s="109" t="s">
        <v>1836</v>
      </c>
      <c r="V7" s="109" t="s">
        <v>227</v>
      </c>
      <c r="W7" s="369"/>
      <c r="X7" s="369"/>
      <c r="Y7" s="369"/>
      <c r="Z7" s="369"/>
      <c r="AA7" s="369"/>
    </row>
    <row r="8">
      <c r="A8" s="112"/>
      <c r="B8" s="112"/>
      <c r="C8" s="412" t="str">
        <f t="array" ref="C8">IFERROR(INDEX(#REF!,MATCH($B8,Fornecedores!$B$8:$B$200,0)),"")</f>
        <v/>
      </c>
      <c r="D8" s="112"/>
      <c r="E8" s="112"/>
      <c r="F8" s="432"/>
      <c r="G8" s="433"/>
      <c r="H8" s="434" t="str">
        <f t="array" ref="H8">IFERROR(IF($A8="Medição",IFERROR(INDEX(#REF!,MATCH($B8,Fornecedores!$B$8:$B$200,0)),""),""),"")</f>
        <v/>
      </c>
      <c r="I8" s="435" t="str">
        <f t="shared" ref="I8:I400" si="1">IFERROR(IF($A8="Medição",IFERROR($G8*$H8,0),""),"")</f>
        <v/>
      </c>
      <c r="J8" s="436"/>
      <c r="K8" s="437" t="str">
        <f t="array" ref="K8">IFERROR(IF($A8="Medição",IFERROR(INDEX(#REF!,MATCH($B8,Fornecedores!$B$8:$B$200,0)),0),""),"")</f>
        <v/>
      </c>
      <c r="L8" s="438" t="str">
        <f t="shared" ref="L8:L600" si="2">IF($I8="","",$I8*IF($J8="",1,IF($J8&gt;1,$J8/100,$J8))*IFERROR($K8,0))</f>
        <v/>
      </c>
      <c r="M8" s="439"/>
      <c r="N8" s="440" t="str">
        <f t="shared" ref="N8:N600" si="3">IF($I8="","",$I8*IF($J8="",1,IF($J8&gt;1,$J8/100,$J8))-IFERROR($L8,0)-IFERROR($M8,0))</f>
        <v/>
      </c>
      <c r="O8" s="432"/>
      <c r="P8" s="400" t="s">
        <v>1837</v>
      </c>
      <c r="Q8" s="112"/>
      <c r="R8" s="112"/>
      <c r="S8" s="432"/>
      <c r="T8" s="112"/>
      <c r="U8" s="112"/>
      <c r="V8" s="112"/>
      <c r="W8" s="395"/>
      <c r="X8" s="395"/>
      <c r="Y8" s="395"/>
      <c r="Z8" s="395"/>
      <c r="AA8" s="395"/>
    </row>
    <row r="9">
      <c r="A9" s="112"/>
      <c r="B9" s="112"/>
      <c r="C9" s="412" t="str">
        <f t="array" ref="C9">IFERROR(INDEX(#REF!,MATCH($B9,Fornecedores!$B$8:$B$200,0)),"")</f>
        <v/>
      </c>
      <c r="D9" s="112"/>
      <c r="E9" s="112"/>
      <c r="F9" s="432"/>
      <c r="G9" s="433"/>
      <c r="H9" s="434" t="str">
        <f t="array" ref="H9">IFERROR(IF($A9="Medição",IFERROR(INDEX(#REF!,MATCH($B9,Fornecedores!$B$8:$B$200,0)),""),""),"")</f>
        <v/>
      </c>
      <c r="I9" s="435" t="str">
        <f t="shared" si="1"/>
        <v/>
      </c>
      <c r="J9" s="436"/>
      <c r="K9" s="437" t="str">
        <f t="array" ref="K9">IFERROR(IF($A9="Medição",IFERROR(INDEX(#REF!,MATCH($B9,Fornecedores!$B$8:$B$200,0)),0),""),"")</f>
        <v/>
      </c>
      <c r="L9" s="438" t="str">
        <f t="shared" si="2"/>
        <v/>
      </c>
      <c r="M9" s="439"/>
      <c r="N9" s="440" t="str">
        <f t="shared" si="3"/>
        <v/>
      </c>
      <c r="O9" s="432"/>
      <c r="P9" s="112"/>
      <c r="Q9" s="112"/>
      <c r="R9" s="112"/>
      <c r="S9" s="432"/>
      <c r="T9" s="112"/>
      <c r="U9" s="112"/>
      <c r="V9" s="112"/>
      <c r="W9" s="395"/>
      <c r="X9" s="395"/>
      <c r="Y9" s="395"/>
      <c r="Z9" s="395"/>
      <c r="AA9" s="395"/>
    </row>
    <row r="10">
      <c r="A10" s="112"/>
      <c r="B10" s="112"/>
      <c r="C10" s="412" t="str">
        <f t="array" ref="C10">IFERROR(INDEX(#REF!,MATCH($B10,Fornecedores!$B$8:$B$200,0)),"")</f>
        <v/>
      </c>
      <c r="D10" s="112"/>
      <c r="E10" s="112"/>
      <c r="F10" s="432"/>
      <c r="G10" s="433"/>
      <c r="H10" s="434" t="str">
        <f t="array" ref="H10">IFERROR(IF($A10="Medição",IFERROR(INDEX(#REF!,MATCH($B10,Fornecedores!$B$8:$B$200,0)),""),""),"")</f>
        <v/>
      </c>
      <c r="I10" s="435" t="str">
        <f t="shared" si="1"/>
        <v/>
      </c>
      <c r="J10" s="436"/>
      <c r="K10" s="437" t="str">
        <f t="array" ref="K10">IFERROR(IF($A10="Medição",IFERROR(INDEX(#REF!,MATCH($B10,Fornecedores!$B$8:$B$200,0)),0),""),"")</f>
        <v/>
      </c>
      <c r="L10" s="438" t="str">
        <f t="shared" si="2"/>
        <v/>
      </c>
      <c r="M10" s="439"/>
      <c r="N10" s="440" t="str">
        <f t="shared" si="3"/>
        <v/>
      </c>
      <c r="O10" s="432"/>
      <c r="P10" s="112"/>
      <c r="Q10" s="112"/>
      <c r="R10" s="112"/>
      <c r="S10" s="432"/>
      <c r="T10" s="112"/>
      <c r="U10" s="112"/>
      <c r="V10" s="112"/>
      <c r="W10" s="395"/>
      <c r="X10" s="395"/>
      <c r="Y10" s="395"/>
      <c r="Z10" s="395"/>
      <c r="AA10" s="395"/>
    </row>
    <row r="11">
      <c r="A11" s="112"/>
      <c r="B11" s="112"/>
      <c r="C11" s="412" t="str">
        <f t="array" ref="C11">IFERROR(INDEX(#REF!,MATCH($B11,Fornecedores!$B$8:$B$200,0)),"")</f>
        <v/>
      </c>
      <c r="D11" s="112"/>
      <c r="E11" s="112"/>
      <c r="F11" s="432"/>
      <c r="G11" s="433"/>
      <c r="H11" s="434" t="str">
        <f t="array" ref="H11">IFERROR(IF($A11="Medição",IFERROR(INDEX(#REF!,MATCH($B11,Fornecedores!$B$8:$B$200,0)),""),""),"")</f>
        <v/>
      </c>
      <c r="I11" s="435" t="str">
        <f t="shared" si="1"/>
        <v/>
      </c>
      <c r="J11" s="436"/>
      <c r="K11" s="437" t="str">
        <f t="array" ref="K11">IFERROR(IF($A11="Medição",IFERROR(INDEX(#REF!,MATCH($B11,Fornecedores!$B$8:$B$200,0)),0),""),"")</f>
        <v/>
      </c>
      <c r="L11" s="438" t="str">
        <f t="shared" si="2"/>
        <v/>
      </c>
      <c r="M11" s="439"/>
      <c r="N11" s="440" t="str">
        <f t="shared" si="3"/>
        <v/>
      </c>
      <c r="O11" s="432"/>
      <c r="P11" s="112"/>
      <c r="Q11" s="112"/>
      <c r="R11" s="112"/>
      <c r="S11" s="432"/>
      <c r="T11" s="112"/>
      <c r="U11" s="112"/>
      <c r="V11" s="112"/>
      <c r="W11" s="395"/>
      <c r="X11" s="395"/>
      <c r="Y11" s="395"/>
      <c r="Z11" s="395"/>
      <c r="AA11" s="395"/>
    </row>
    <row r="12">
      <c r="A12" s="112"/>
      <c r="B12" s="112"/>
      <c r="C12" s="412" t="str">
        <f t="array" ref="C12">IFERROR(INDEX(#REF!,MATCH($B12,Fornecedores!$B$8:$B$200,0)),"")</f>
        <v/>
      </c>
      <c r="D12" s="112"/>
      <c r="E12" s="112"/>
      <c r="F12" s="432"/>
      <c r="G12" s="433"/>
      <c r="H12" s="434" t="str">
        <f t="array" ref="H12">IFERROR(IF($A12="Medição",IFERROR(INDEX(#REF!,MATCH($B12,Fornecedores!$B$8:$B$200,0)),""),""),"")</f>
        <v/>
      </c>
      <c r="I12" s="435" t="str">
        <f t="shared" si="1"/>
        <v/>
      </c>
      <c r="J12" s="436"/>
      <c r="K12" s="437" t="str">
        <f t="array" ref="K12">IFERROR(IF($A12="Medição",IFERROR(INDEX(#REF!,MATCH($B12,Fornecedores!$B$8:$B$200,0)),0),""),"")</f>
        <v/>
      </c>
      <c r="L12" s="438" t="str">
        <f t="shared" si="2"/>
        <v/>
      </c>
      <c r="M12" s="439"/>
      <c r="N12" s="440" t="str">
        <f t="shared" si="3"/>
        <v/>
      </c>
      <c r="O12" s="432"/>
      <c r="P12" s="112"/>
      <c r="Q12" s="112"/>
      <c r="R12" s="112"/>
      <c r="S12" s="432"/>
      <c r="T12" s="112"/>
      <c r="U12" s="112"/>
      <c r="V12" s="112"/>
      <c r="W12" s="395"/>
      <c r="X12" s="395"/>
      <c r="Y12" s="395"/>
      <c r="Z12" s="395"/>
      <c r="AA12" s="395"/>
    </row>
    <row r="13">
      <c r="A13" s="112"/>
      <c r="B13" s="112"/>
      <c r="C13" s="412" t="str">
        <f t="array" ref="C13">IFERROR(INDEX(#REF!,MATCH($B13,Fornecedores!$B$8:$B$200,0)),"")</f>
        <v/>
      </c>
      <c r="D13" s="112"/>
      <c r="E13" s="112"/>
      <c r="F13" s="432"/>
      <c r="G13" s="433"/>
      <c r="H13" s="434" t="str">
        <f t="array" ref="H13">IFERROR(IF($A13="Medição",IFERROR(INDEX(#REF!,MATCH($B13,Fornecedores!$B$8:$B$200,0)),""),""),"")</f>
        <v/>
      </c>
      <c r="I13" s="435" t="str">
        <f t="shared" si="1"/>
        <v/>
      </c>
      <c r="J13" s="436"/>
      <c r="K13" s="437" t="str">
        <f t="array" ref="K13">IFERROR(IF($A13="Medição",IFERROR(INDEX(#REF!,MATCH($B13,Fornecedores!$B$8:$B$200,0)),0),""),"")</f>
        <v/>
      </c>
      <c r="L13" s="438" t="str">
        <f t="shared" si="2"/>
        <v/>
      </c>
      <c r="M13" s="439"/>
      <c r="N13" s="440" t="str">
        <f t="shared" si="3"/>
        <v/>
      </c>
      <c r="O13" s="432"/>
      <c r="P13" s="112"/>
      <c r="Q13" s="112"/>
      <c r="R13" s="112"/>
      <c r="S13" s="432"/>
      <c r="T13" s="112"/>
      <c r="U13" s="112"/>
      <c r="V13" s="112"/>
      <c r="W13" s="395"/>
      <c r="X13" s="395"/>
      <c r="Y13" s="395"/>
      <c r="Z13" s="395"/>
      <c r="AA13" s="395"/>
    </row>
    <row r="14">
      <c r="A14" s="112"/>
      <c r="B14" s="112"/>
      <c r="C14" s="412" t="str">
        <f t="array" ref="C14">IFERROR(INDEX(#REF!,MATCH($B14,Fornecedores!$B$8:$B$200,0)),"")</f>
        <v/>
      </c>
      <c r="D14" s="112"/>
      <c r="E14" s="112"/>
      <c r="F14" s="432"/>
      <c r="G14" s="433"/>
      <c r="H14" s="434" t="str">
        <f t="array" ref="H14">IFERROR(IF($A14="Medição",IFERROR(INDEX(#REF!,MATCH($B14,Fornecedores!$B$8:$B$200,0)),""),""),"")</f>
        <v/>
      </c>
      <c r="I14" s="435" t="str">
        <f t="shared" si="1"/>
        <v/>
      </c>
      <c r="J14" s="436"/>
      <c r="K14" s="437" t="str">
        <f t="array" ref="K14">IFERROR(IF($A14="Medição",IFERROR(INDEX(#REF!,MATCH($B14,Fornecedores!$B$8:$B$200,0)),0),""),"")</f>
        <v/>
      </c>
      <c r="L14" s="438" t="str">
        <f t="shared" si="2"/>
        <v/>
      </c>
      <c r="M14" s="439"/>
      <c r="N14" s="440" t="str">
        <f t="shared" si="3"/>
        <v/>
      </c>
      <c r="O14" s="432"/>
      <c r="P14" s="112"/>
      <c r="Q14" s="112"/>
      <c r="R14" s="112"/>
      <c r="S14" s="432"/>
      <c r="T14" s="112"/>
      <c r="U14" s="112"/>
      <c r="V14" s="112"/>
      <c r="W14" s="395"/>
      <c r="X14" s="395"/>
      <c r="Y14" s="395"/>
      <c r="Z14" s="395"/>
      <c r="AA14" s="395"/>
    </row>
    <row r="15">
      <c r="A15" s="112"/>
      <c r="B15" s="112"/>
      <c r="C15" s="412" t="str">
        <f t="array" ref="C15">IFERROR(INDEX(#REF!,MATCH($B15,Fornecedores!$B$8:$B$200,0)),"")</f>
        <v/>
      </c>
      <c r="D15" s="112"/>
      <c r="E15" s="112"/>
      <c r="F15" s="432"/>
      <c r="G15" s="433"/>
      <c r="H15" s="434" t="str">
        <f t="array" ref="H15">IFERROR(IF($A15="Medição",IFERROR(INDEX(#REF!,MATCH($B15,Fornecedores!$B$8:$B$200,0)),""),""),"")</f>
        <v/>
      </c>
      <c r="I15" s="435" t="str">
        <f t="shared" si="1"/>
        <v/>
      </c>
      <c r="J15" s="436"/>
      <c r="K15" s="437" t="str">
        <f t="array" ref="K15">IFERROR(IF($A15="Medição",IFERROR(INDEX(#REF!,MATCH($B15,Fornecedores!$B$8:$B$200,0)),0),""),"")</f>
        <v/>
      </c>
      <c r="L15" s="438" t="str">
        <f t="shared" si="2"/>
        <v/>
      </c>
      <c r="M15" s="439"/>
      <c r="N15" s="440" t="str">
        <f t="shared" si="3"/>
        <v/>
      </c>
      <c r="O15" s="432"/>
      <c r="P15" s="112"/>
      <c r="Q15" s="112"/>
      <c r="R15" s="112"/>
      <c r="S15" s="432"/>
      <c r="T15" s="112"/>
      <c r="U15" s="112"/>
      <c r="V15" s="112"/>
      <c r="W15" s="395"/>
      <c r="X15" s="395"/>
      <c r="Y15" s="395"/>
      <c r="Z15" s="395"/>
      <c r="AA15" s="395"/>
    </row>
    <row r="16">
      <c r="A16" s="112"/>
      <c r="B16" s="112"/>
      <c r="C16" s="412" t="str">
        <f t="array" ref="C16">IFERROR(INDEX(#REF!,MATCH($B16,Fornecedores!$B$8:$B$200,0)),"")</f>
        <v/>
      </c>
      <c r="D16" s="112"/>
      <c r="E16" s="112"/>
      <c r="F16" s="432"/>
      <c r="G16" s="433"/>
      <c r="H16" s="434" t="str">
        <f t="array" ref="H16">IFERROR(IF($A16="Medição",IFERROR(INDEX(#REF!,MATCH($B16,Fornecedores!$B$8:$B$200,0)),""),""),"")</f>
        <v/>
      </c>
      <c r="I16" s="435" t="str">
        <f t="shared" si="1"/>
        <v/>
      </c>
      <c r="J16" s="436"/>
      <c r="K16" s="437" t="str">
        <f t="array" ref="K16">IFERROR(IF($A16="Medição",IFERROR(INDEX(#REF!,MATCH($B16,Fornecedores!$B$8:$B$200,0)),0),""),"")</f>
        <v/>
      </c>
      <c r="L16" s="438" t="str">
        <f t="shared" si="2"/>
        <v/>
      </c>
      <c r="M16" s="439"/>
      <c r="N16" s="440" t="str">
        <f t="shared" si="3"/>
        <v/>
      </c>
      <c r="O16" s="432"/>
      <c r="P16" s="112"/>
      <c r="Q16" s="112"/>
      <c r="R16" s="112"/>
      <c r="S16" s="432"/>
      <c r="T16" s="112"/>
      <c r="U16" s="112"/>
      <c r="V16" s="112"/>
      <c r="W16" s="395"/>
      <c r="X16" s="395"/>
      <c r="Y16" s="395"/>
      <c r="Z16" s="395"/>
      <c r="AA16" s="395"/>
    </row>
    <row r="17">
      <c r="A17" s="112"/>
      <c r="B17" s="112"/>
      <c r="C17" s="412" t="str">
        <f t="array" ref="C17">IFERROR(INDEX(#REF!,MATCH($B17,Fornecedores!$B$8:$B$200,0)),"")</f>
        <v/>
      </c>
      <c r="D17" s="112"/>
      <c r="E17" s="112"/>
      <c r="F17" s="432"/>
      <c r="G17" s="433"/>
      <c r="H17" s="434" t="str">
        <f t="array" ref="H17">IFERROR(IF($A17="Medição",IFERROR(INDEX(#REF!,MATCH($B17,Fornecedores!$B$8:$B$200,0)),""),""),"")</f>
        <v/>
      </c>
      <c r="I17" s="435" t="str">
        <f t="shared" si="1"/>
        <v/>
      </c>
      <c r="J17" s="436"/>
      <c r="K17" s="437" t="str">
        <f t="array" ref="K17">IFERROR(IF($A17="Medição",IFERROR(INDEX(#REF!,MATCH($B17,Fornecedores!$B$8:$B$200,0)),0),""),"")</f>
        <v/>
      </c>
      <c r="L17" s="438" t="str">
        <f t="shared" si="2"/>
        <v/>
      </c>
      <c r="M17" s="439"/>
      <c r="N17" s="440" t="str">
        <f t="shared" si="3"/>
        <v/>
      </c>
      <c r="O17" s="432"/>
      <c r="P17" s="112"/>
      <c r="Q17" s="112"/>
      <c r="R17" s="112"/>
      <c r="S17" s="432"/>
      <c r="T17" s="112"/>
      <c r="U17" s="112"/>
      <c r="V17" s="112"/>
      <c r="W17" s="395"/>
      <c r="X17" s="395"/>
      <c r="Y17" s="395"/>
      <c r="Z17" s="395"/>
      <c r="AA17" s="395"/>
    </row>
    <row r="18">
      <c r="A18" s="112"/>
      <c r="B18" s="112"/>
      <c r="C18" s="412" t="str">
        <f t="array" ref="C18">IFERROR(INDEX(#REF!,MATCH($B18,Fornecedores!$B$8:$B$200,0)),"")</f>
        <v/>
      </c>
      <c r="D18" s="112"/>
      <c r="E18" s="112"/>
      <c r="F18" s="432"/>
      <c r="G18" s="433"/>
      <c r="H18" s="434" t="str">
        <f t="array" ref="H18">IFERROR(IF($A18="Medição",IFERROR(INDEX(#REF!,MATCH($B18,Fornecedores!$B$8:$B$200,0)),""),""),"")</f>
        <v/>
      </c>
      <c r="I18" s="435" t="str">
        <f t="shared" si="1"/>
        <v/>
      </c>
      <c r="J18" s="436"/>
      <c r="K18" s="437" t="str">
        <f t="array" ref="K18">IFERROR(IF($A18="Medição",IFERROR(INDEX(#REF!,MATCH($B18,Fornecedores!$B$8:$B$200,0)),0),""),"")</f>
        <v/>
      </c>
      <c r="L18" s="438" t="str">
        <f t="shared" si="2"/>
        <v/>
      </c>
      <c r="M18" s="439"/>
      <c r="N18" s="440" t="str">
        <f t="shared" si="3"/>
        <v/>
      </c>
      <c r="O18" s="432"/>
      <c r="P18" s="112"/>
      <c r="Q18" s="112"/>
      <c r="R18" s="112"/>
      <c r="S18" s="432"/>
      <c r="T18" s="112"/>
      <c r="U18" s="112"/>
      <c r="V18" s="112"/>
      <c r="W18" s="395"/>
      <c r="X18" s="395"/>
      <c r="Y18" s="395"/>
      <c r="Z18" s="395"/>
      <c r="AA18" s="395"/>
    </row>
    <row r="19">
      <c r="A19" s="112"/>
      <c r="B19" s="112"/>
      <c r="C19" s="412" t="str">
        <f t="array" ref="C19">IFERROR(INDEX(#REF!,MATCH($B19,Fornecedores!$B$8:$B$200,0)),"")</f>
        <v/>
      </c>
      <c r="D19" s="112"/>
      <c r="E19" s="112"/>
      <c r="F19" s="432"/>
      <c r="G19" s="433"/>
      <c r="H19" s="434" t="str">
        <f t="array" ref="H19">IFERROR(IF($A19="Medição",IFERROR(INDEX(#REF!,MATCH($B19,Fornecedores!$B$8:$B$200,0)),""),""),"")</f>
        <v/>
      </c>
      <c r="I19" s="435" t="str">
        <f t="shared" si="1"/>
        <v/>
      </c>
      <c r="J19" s="436"/>
      <c r="K19" s="437" t="str">
        <f t="array" ref="K19">IFERROR(IF($A19="Medição",IFERROR(INDEX(#REF!,MATCH($B19,Fornecedores!$B$8:$B$200,0)),0),""),"")</f>
        <v/>
      </c>
      <c r="L19" s="438" t="str">
        <f t="shared" si="2"/>
        <v/>
      </c>
      <c r="M19" s="439"/>
      <c r="N19" s="440" t="str">
        <f t="shared" si="3"/>
        <v/>
      </c>
      <c r="O19" s="432"/>
      <c r="P19" s="112"/>
      <c r="Q19" s="112"/>
      <c r="R19" s="112"/>
      <c r="S19" s="432"/>
      <c r="T19" s="112"/>
      <c r="U19" s="112"/>
      <c r="V19" s="112"/>
      <c r="W19" s="395"/>
      <c r="X19" s="395"/>
      <c r="Y19" s="395"/>
      <c r="Z19" s="395"/>
      <c r="AA19" s="395"/>
    </row>
    <row r="20">
      <c r="A20" s="112"/>
      <c r="B20" s="112"/>
      <c r="C20" s="412" t="str">
        <f t="array" ref="C20">IFERROR(INDEX(#REF!,MATCH($B20,Fornecedores!$B$8:$B$200,0)),"")</f>
        <v/>
      </c>
      <c r="D20" s="112"/>
      <c r="E20" s="112"/>
      <c r="F20" s="432"/>
      <c r="G20" s="433"/>
      <c r="H20" s="434" t="str">
        <f t="array" ref="H20">IFERROR(IF($A20="Medição",IFERROR(INDEX(#REF!,MATCH($B20,Fornecedores!$B$8:$B$200,0)),""),""),"")</f>
        <v/>
      </c>
      <c r="I20" s="435" t="str">
        <f t="shared" si="1"/>
        <v/>
      </c>
      <c r="J20" s="436"/>
      <c r="K20" s="437" t="str">
        <f t="array" ref="K20">IFERROR(IF($A20="Medição",IFERROR(INDEX(#REF!,MATCH($B20,Fornecedores!$B$8:$B$200,0)),0),""),"")</f>
        <v/>
      </c>
      <c r="L20" s="438" t="str">
        <f t="shared" si="2"/>
        <v/>
      </c>
      <c r="M20" s="439"/>
      <c r="N20" s="440" t="str">
        <f t="shared" si="3"/>
        <v/>
      </c>
      <c r="O20" s="432"/>
      <c r="P20" s="112"/>
      <c r="Q20" s="112"/>
      <c r="R20" s="112"/>
      <c r="S20" s="432"/>
      <c r="T20" s="112"/>
      <c r="U20" s="112"/>
      <c r="V20" s="112"/>
      <c r="W20" s="395"/>
      <c r="X20" s="395"/>
      <c r="Y20" s="395"/>
      <c r="Z20" s="395"/>
      <c r="AA20" s="395"/>
    </row>
    <row r="21" ht="15.75" customHeight="1">
      <c r="A21" s="112"/>
      <c r="B21" s="112"/>
      <c r="C21" s="412" t="str">
        <f t="array" ref="C21">IFERROR(INDEX(#REF!,MATCH($B21,Fornecedores!$B$8:$B$200,0)),"")</f>
        <v/>
      </c>
      <c r="D21" s="112"/>
      <c r="E21" s="112"/>
      <c r="F21" s="432"/>
      <c r="G21" s="433"/>
      <c r="H21" s="434" t="str">
        <f t="array" ref="H21">IFERROR(IF($A21="Medição",IFERROR(INDEX(#REF!,MATCH($B21,Fornecedores!$B$8:$B$200,0)),""),""),"")</f>
        <v/>
      </c>
      <c r="I21" s="435" t="str">
        <f t="shared" si="1"/>
        <v/>
      </c>
      <c r="J21" s="436"/>
      <c r="K21" s="437" t="str">
        <f t="array" ref="K21">IFERROR(IF($A21="Medição",IFERROR(INDEX(#REF!,MATCH($B21,Fornecedores!$B$8:$B$200,0)),0),""),"")</f>
        <v/>
      </c>
      <c r="L21" s="438" t="str">
        <f t="shared" si="2"/>
        <v/>
      </c>
      <c r="M21" s="439"/>
      <c r="N21" s="440" t="str">
        <f t="shared" si="3"/>
        <v/>
      </c>
      <c r="O21" s="432"/>
      <c r="P21" s="112"/>
      <c r="Q21" s="112"/>
      <c r="R21" s="112"/>
      <c r="S21" s="432"/>
      <c r="T21" s="112"/>
      <c r="U21" s="112"/>
      <c r="V21" s="112"/>
      <c r="W21" s="395"/>
      <c r="X21" s="395"/>
      <c r="Y21" s="395"/>
      <c r="Z21" s="395"/>
      <c r="AA21" s="395"/>
    </row>
    <row r="22" ht="15.75" customHeight="1">
      <c r="A22" s="112"/>
      <c r="B22" s="112"/>
      <c r="C22" s="412" t="str">
        <f t="array" ref="C22">IFERROR(INDEX(#REF!,MATCH($B22,Fornecedores!$B$8:$B$200,0)),"")</f>
        <v/>
      </c>
      <c r="D22" s="112"/>
      <c r="E22" s="112"/>
      <c r="F22" s="432"/>
      <c r="G22" s="433"/>
      <c r="H22" s="434" t="str">
        <f t="array" ref="H22">IFERROR(IF($A22="Medição",IFERROR(INDEX(#REF!,MATCH($B22,Fornecedores!$B$8:$B$200,0)),""),""),"")</f>
        <v/>
      </c>
      <c r="I22" s="435" t="str">
        <f t="shared" si="1"/>
        <v/>
      </c>
      <c r="J22" s="436"/>
      <c r="K22" s="437" t="str">
        <f t="array" ref="K22">IFERROR(IF($A22="Medição",IFERROR(INDEX(#REF!,MATCH($B22,Fornecedores!$B$8:$B$200,0)),0),""),"")</f>
        <v/>
      </c>
      <c r="L22" s="438" t="str">
        <f t="shared" si="2"/>
        <v/>
      </c>
      <c r="M22" s="439"/>
      <c r="N22" s="440" t="str">
        <f t="shared" si="3"/>
        <v/>
      </c>
      <c r="O22" s="432"/>
      <c r="P22" s="112"/>
      <c r="Q22" s="112"/>
      <c r="R22" s="112"/>
      <c r="S22" s="432"/>
      <c r="T22" s="112"/>
      <c r="U22" s="112"/>
      <c r="V22" s="112"/>
      <c r="W22" s="395"/>
      <c r="X22" s="395"/>
      <c r="Y22" s="395"/>
      <c r="Z22" s="395"/>
      <c r="AA22" s="395"/>
    </row>
    <row r="23" ht="15.75" customHeight="1">
      <c r="A23" s="112"/>
      <c r="B23" s="112"/>
      <c r="C23" s="412" t="str">
        <f t="array" ref="C23">IFERROR(INDEX(#REF!,MATCH($B23,Fornecedores!$B$8:$B$200,0)),"")</f>
        <v/>
      </c>
      <c r="D23" s="112"/>
      <c r="E23" s="112"/>
      <c r="F23" s="432"/>
      <c r="G23" s="433"/>
      <c r="H23" s="434" t="str">
        <f t="array" ref="H23">IFERROR(IF($A23="Medição",IFERROR(INDEX(#REF!,MATCH($B23,Fornecedores!$B$8:$B$200,0)),""),""),"")</f>
        <v/>
      </c>
      <c r="I23" s="435" t="str">
        <f t="shared" si="1"/>
        <v/>
      </c>
      <c r="J23" s="436"/>
      <c r="K23" s="437" t="str">
        <f t="array" ref="K23">IFERROR(IF($A23="Medição",IFERROR(INDEX(#REF!,MATCH($B23,Fornecedores!$B$8:$B$200,0)),0),""),"")</f>
        <v/>
      </c>
      <c r="L23" s="438" t="str">
        <f t="shared" si="2"/>
        <v/>
      </c>
      <c r="M23" s="439"/>
      <c r="N23" s="440" t="str">
        <f t="shared" si="3"/>
        <v/>
      </c>
      <c r="O23" s="432"/>
      <c r="P23" s="112"/>
      <c r="Q23" s="112"/>
      <c r="R23" s="112"/>
      <c r="S23" s="432"/>
      <c r="T23" s="112"/>
      <c r="U23" s="112"/>
      <c r="V23" s="112"/>
      <c r="W23" s="395"/>
      <c r="X23" s="395"/>
      <c r="Y23" s="395"/>
      <c r="Z23" s="395"/>
      <c r="AA23" s="395"/>
    </row>
    <row r="24" ht="15.75" customHeight="1">
      <c r="A24" s="112"/>
      <c r="B24" s="112"/>
      <c r="C24" s="412" t="str">
        <f t="array" ref="C24">IFERROR(INDEX(#REF!,MATCH($B24,Fornecedores!$B$8:$B$200,0)),"")</f>
        <v/>
      </c>
      <c r="D24" s="112"/>
      <c r="E24" s="112"/>
      <c r="F24" s="432"/>
      <c r="G24" s="433"/>
      <c r="H24" s="434" t="str">
        <f t="array" ref="H24">IFERROR(IF($A24="Medição",IFERROR(INDEX(#REF!,MATCH($B24,Fornecedores!$B$8:$B$200,0)),""),""),"")</f>
        <v/>
      </c>
      <c r="I24" s="435" t="str">
        <f t="shared" si="1"/>
        <v/>
      </c>
      <c r="J24" s="436"/>
      <c r="K24" s="437" t="str">
        <f t="array" ref="K24">IFERROR(IF($A24="Medição",IFERROR(INDEX(#REF!,MATCH($B24,Fornecedores!$B$8:$B$200,0)),0),""),"")</f>
        <v/>
      </c>
      <c r="L24" s="438" t="str">
        <f t="shared" si="2"/>
        <v/>
      </c>
      <c r="M24" s="439"/>
      <c r="N24" s="440" t="str">
        <f t="shared" si="3"/>
        <v/>
      </c>
      <c r="O24" s="432"/>
      <c r="P24" s="112"/>
      <c r="Q24" s="112"/>
      <c r="R24" s="112"/>
      <c r="S24" s="432"/>
      <c r="T24" s="112"/>
      <c r="U24" s="112"/>
      <c r="V24" s="112"/>
      <c r="W24" s="395"/>
      <c r="X24" s="395"/>
      <c r="Y24" s="395"/>
      <c r="Z24" s="395"/>
      <c r="AA24" s="395"/>
    </row>
    <row r="25" ht="15.75" customHeight="1">
      <c r="A25" s="112"/>
      <c r="B25" s="112"/>
      <c r="C25" s="412" t="str">
        <f t="array" ref="C25">IFERROR(INDEX(#REF!,MATCH($B25,Fornecedores!$B$8:$B$200,0)),"")</f>
        <v/>
      </c>
      <c r="D25" s="112"/>
      <c r="E25" s="112"/>
      <c r="F25" s="432"/>
      <c r="G25" s="433"/>
      <c r="H25" s="434" t="str">
        <f t="array" ref="H25">IFERROR(IF($A25="Medição",IFERROR(INDEX(#REF!,MATCH($B25,Fornecedores!$B$8:$B$200,0)),""),""),"")</f>
        <v/>
      </c>
      <c r="I25" s="435" t="str">
        <f t="shared" si="1"/>
        <v/>
      </c>
      <c r="J25" s="436"/>
      <c r="K25" s="437" t="str">
        <f t="array" ref="K25">IFERROR(IF($A25="Medição",IFERROR(INDEX(#REF!,MATCH($B25,Fornecedores!$B$8:$B$200,0)),0),""),"")</f>
        <v/>
      </c>
      <c r="L25" s="438" t="str">
        <f t="shared" si="2"/>
        <v/>
      </c>
      <c r="M25" s="439"/>
      <c r="N25" s="440" t="str">
        <f t="shared" si="3"/>
        <v/>
      </c>
      <c r="O25" s="432"/>
      <c r="P25" s="112"/>
      <c r="Q25" s="112"/>
      <c r="R25" s="112"/>
      <c r="S25" s="432"/>
      <c r="T25" s="112"/>
      <c r="U25" s="112"/>
      <c r="V25" s="112"/>
      <c r="W25" s="395"/>
      <c r="X25" s="395"/>
      <c r="Y25" s="395"/>
      <c r="Z25" s="395"/>
      <c r="AA25" s="395"/>
    </row>
    <row r="26" ht="15.75" customHeight="1">
      <c r="A26" s="112"/>
      <c r="B26" s="112"/>
      <c r="C26" s="412" t="str">
        <f t="array" ref="C26">IFERROR(INDEX(#REF!,MATCH($B26,Fornecedores!$B$8:$B$200,0)),"")</f>
        <v/>
      </c>
      <c r="D26" s="112"/>
      <c r="E26" s="112"/>
      <c r="F26" s="432"/>
      <c r="G26" s="433"/>
      <c r="H26" s="434" t="str">
        <f t="array" ref="H26">IFERROR(IF($A26="Medição",IFERROR(INDEX(#REF!,MATCH($B26,Fornecedores!$B$8:$B$200,0)),""),""),"")</f>
        <v/>
      </c>
      <c r="I26" s="435" t="str">
        <f t="shared" si="1"/>
        <v/>
      </c>
      <c r="J26" s="436"/>
      <c r="K26" s="437" t="str">
        <f t="array" ref="K26">IFERROR(IF($A26="Medição",IFERROR(INDEX(#REF!,MATCH($B26,Fornecedores!$B$8:$B$200,0)),0),""),"")</f>
        <v/>
      </c>
      <c r="L26" s="438" t="str">
        <f t="shared" si="2"/>
        <v/>
      </c>
      <c r="M26" s="439"/>
      <c r="N26" s="440" t="str">
        <f t="shared" si="3"/>
        <v/>
      </c>
      <c r="O26" s="432"/>
      <c r="P26" s="112"/>
      <c r="Q26" s="112"/>
      <c r="R26" s="112"/>
      <c r="S26" s="432"/>
      <c r="T26" s="112"/>
      <c r="U26" s="112"/>
      <c r="V26" s="112"/>
      <c r="W26" s="395"/>
      <c r="X26" s="395"/>
      <c r="Y26" s="395"/>
      <c r="Z26" s="395"/>
      <c r="AA26" s="395"/>
    </row>
    <row r="27" ht="15.75" customHeight="1">
      <c r="A27" s="112"/>
      <c r="B27" s="112"/>
      <c r="C27" s="412" t="str">
        <f t="array" ref="C27">IFERROR(INDEX(#REF!,MATCH($B27,Fornecedores!$B$8:$B$200,0)),"")</f>
        <v/>
      </c>
      <c r="D27" s="112"/>
      <c r="E27" s="112"/>
      <c r="F27" s="432"/>
      <c r="G27" s="433"/>
      <c r="H27" s="434" t="str">
        <f t="array" ref="H27">IFERROR(IF($A27="Medição",IFERROR(INDEX(#REF!,MATCH($B27,Fornecedores!$B$8:$B$200,0)),""),""),"")</f>
        <v/>
      </c>
      <c r="I27" s="435" t="str">
        <f t="shared" si="1"/>
        <v/>
      </c>
      <c r="J27" s="436"/>
      <c r="K27" s="437" t="str">
        <f t="array" ref="K27">IFERROR(IF($A27="Medição",IFERROR(INDEX(#REF!,MATCH($B27,Fornecedores!$B$8:$B$200,0)),0),""),"")</f>
        <v/>
      </c>
      <c r="L27" s="438" t="str">
        <f t="shared" si="2"/>
        <v/>
      </c>
      <c r="M27" s="439"/>
      <c r="N27" s="440" t="str">
        <f t="shared" si="3"/>
        <v/>
      </c>
      <c r="O27" s="432"/>
      <c r="P27" s="112"/>
      <c r="Q27" s="112"/>
      <c r="R27" s="112"/>
      <c r="S27" s="432"/>
      <c r="T27" s="112"/>
      <c r="U27" s="112"/>
      <c r="V27" s="112"/>
      <c r="W27" s="395"/>
      <c r="X27" s="395"/>
      <c r="Y27" s="395"/>
      <c r="Z27" s="395"/>
      <c r="AA27" s="395"/>
    </row>
    <row r="28" ht="15.75" customHeight="1">
      <c r="A28" s="112"/>
      <c r="B28" s="112"/>
      <c r="C28" s="412" t="str">
        <f t="array" ref="C28">IFERROR(INDEX(#REF!,MATCH($B28,Fornecedores!$B$8:$B$200,0)),"")</f>
        <v/>
      </c>
      <c r="D28" s="112"/>
      <c r="E28" s="112"/>
      <c r="F28" s="432"/>
      <c r="G28" s="433"/>
      <c r="H28" s="434" t="str">
        <f t="array" ref="H28">IFERROR(IF($A28="Medição",IFERROR(INDEX(#REF!,MATCH($B28,Fornecedores!$B$8:$B$200,0)),""),""),"")</f>
        <v/>
      </c>
      <c r="I28" s="435" t="str">
        <f t="shared" si="1"/>
        <v/>
      </c>
      <c r="J28" s="436"/>
      <c r="K28" s="437" t="str">
        <f t="array" ref="K28">IFERROR(IF($A28="Medição",IFERROR(INDEX(#REF!,MATCH($B28,Fornecedores!$B$8:$B$200,0)),0),""),"")</f>
        <v/>
      </c>
      <c r="L28" s="438" t="str">
        <f t="shared" si="2"/>
        <v/>
      </c>
      <c r="M28" s="439"/>
      <c r="N28" s="440" t="str">
        <f t="shared" si="3"/>
        <v/>
      </c>
      <c r="O28" s="432"/>
      <c r="P28" s="112"/>
      <c r="Q28" s="112"/>
      <c r="R28" s="112"/>
      <c r="S28" s="432"/>
      <c r="T28" s="112"/>
      <c r="U28" s="112"/>
      <c r="V28" s="112"/>
      <c r="W28" s="395"/>
      <c r="X28" s="395"/>
      <c r="Y28" s="395"/>
      <c r="Z28" s="395"/>
      <c r="AA28" s="395"/>
    </row>
    <row r="29" ht="15.75" customHeight="1">
      <c r="A29" s="112"/>
      <c r="B29" s="112"/>
      <c r="C29" s="412" t="str">
        <f t="array" ref="C29">IFERROR(INDEX(#REF!,MATCH($B29,Fornecedores!$B$8:$B$200,0)),"")</f>
        <v/>
      </c>
      <c r="D29" s="112"/>
      <c r="E29" s="112"/>
      <c r="F29" s="432"/>
      <c r="G29" s="433"/>
      <c r="H29" s="434" t="str">
        <f t="array" ref="H29">IFERROR(IF($A29="Medição",IFERROR(INDEX(#REF!,MATCH($B29,Fornecedores!$B$8:$B$200,0)),""),""),"")</f>
        <v/>
      </c>
      <c r="I29" s="435" t="str">
        <f t="shared" si="1"/>
        <v/>
      </c>
      <c r="J29" s="436"/>
      <c r="K29" s="437" t="str">
        <f t="array" ref="K29">IFERROR(IF($A29="Medição",IFERROR(INDEX(#REF!,MATCH($B29,Fornecedores!$B$8:$B$200,0)),0),""),"")</f>
        <v/>
      </c>
      <c r="L29" s="438" t="str">
        <f t="shared" si="2"/>
        <v/>
      </c>
      <c r="M29" s="439"/>
      <c r="N29" s="440" t="str">
        <f t="shared" si="3"/>
        <v/>
      </c>
      <c r="O29" s="432"/>
      <c r="P29" s="112"/>
      <c r="Q29" s="112"/>
      <c r="R29" s="112"/>
      <c r="S29" s="432"/>
      <c r="T29" s="112"/>
      <c r="U29" s="112"/>
      <c r="V29" s="112"/>
      <c r="W29" s="395"/>
      <c r="X29" s="395"/>
      <c r="Y29" s="395"/>
      <c r="Z29" s="395"/>
      <c r="AA29" s="395"/>
    </row>
    <row r="30" ht="15.75" customHeight="1">
      <c r="A30" s="112"/>
      <c r="B30" s="112"/>
      <c r="C30" s="412" t="str">
        <f t="array" ref="C30">IFERROR(INDEX(#REF!,MATCH($B30,Fornecedores!$B$8:$B$200,0)),"")</f>
        <v/>
      </c>
      <c r="D30" s="112"/>
      <c r="E30" s="112"/>
      <c r="F30" s="432"/>
      <c r="G30" s="433"/>
      <c r="H30" s="434" t="str">
        <f t="array" ref="H30">IFERROR(IF($A30="Medição",IFERROR(INDEX(#REF!,MATCH($B30,Fornecedores!$B$8:$B$200,0)),""),""),"")</f>
        <v/>
      </c>
      <c r="I30" s="435" t="str">
        <f t="shared" si="1"/>
        <v/>
      </c>
      <c r="J30" s="436"/>
      <c r="K30" s="437" t="str">
        <f t="array" ref="K30">IFERROR(IF($A30="Medição",IFERROR(INDEX(#REF!,MATCH($B30,Fornecedores!$B$8:$B$200,0)),0),""),"")</f>
        <v/>
      </c>
      <c r="L30" s="438" t="str">
        <f t="shared" si="2"/>
        <v/>
      </c>
      <c r="M30" s="439"/>
      <c r="N30" s="440" t="str">
        <f t="shared" si="3"/>
        <v/>
      </c>
      <c r="O30" s="432"/>
      <c r="P30" s="112"/>
      <c r="Q30" s="112"/>
      <c r="R30" s="112"/>
      <c r="S30" s="432"/>
      <c r="T30" s="112"/>
      <c r="U30" s="112"/>
      <c r="V30" s="112"/>
      <c r="W30" s="395"/>
      <c r="X30" s="395"/>
      <c r="Y30" s="395"/>
      <c r="Z30" s="395"/>
      <c r="AA30" s="395"/>
    </row>
    <row r="31" ht="15.75" customHeight="1">
      <c r="A31" s="112"/>
      <c r="B31" s="112"/>
      <c r="C31" s="412" t="str">
        <f t="array" ref="C31">IFERROR(INDEX(#REF!,MATCH($B31,Fornecedores!$B$8:$B$200,0)),"")</f>
        <v/>
      </c>
      <c r="D31" s="112"/>
      <c r="E31" s="112"/>
      <c r="F31" s="432"/>
      <c r="G31" s="433"/>
      <c r="H31" s="434" t="str">
        <f t="array" ref="H31">IFERROR(IF($A31="Medição",IFERROR(INDEX(#REF!,MATCH($B31,Fornecedores!$B$8:$B$200,0)),""),""),"")</f>
        <v/>
      </c>
      <c r="I31" s="435" t="str">
        <f t="shared" si="1"/>
        <v/>
      </c>
      <c r="J31" s="436"/>
      <c r="K31" s="437" t="str">
        <f t="array" ref="K31">IFERROR(IF($A31="Medição",IFERROR(INDEX(#REF!,MATCH($B31,Fornecedores!$B$8:$B$200,0)),0),""),"")</f>
        <v/>
      </c>
      <c r="L31" s="438" t="str">
        <f t="shared" si="2"/>
        <v/>
      </c>
      <c r="M31" s="439"/>
      <c r="N31" s="440" t="str">
        <f t="shared" si="3"/>
        <v/>
      </c>
      <c r="O31" s="432"/>
      <c r="P31" s="112"/>
      <c r="Q31" s="112"/>
      <c r="R31" s="112"/>
      <c r="S31" s="432"/>
      <c r="T31" s="112"/>
      <c r="U31" s="112"/>
      <c r="V31" s="112"/>
      <c r="W31" s="395"/>
      <c r="X31" s="395"/>
      <c r="Y31" s="395"/>
      <c r="Z31" s="395"/>
      <c r="AA31" s="395"/>
    </row>
    <row r="32" ht="15.75" customHeight="1">
      <c r="A32" s="112"/>
      <c r="B32" s="112"/>
      <c r="C32" s="412" t="str">
        <f t="array" ref="C32">IFERROR(INDEX(#REF!,MATCH($B32,Fornecedores!$B$8:$B$200,0)),"")</f>
        <v/>
      </c>
      <c r="D32" s="112"/>
      <c r="E32" s="112"/>
      <c r="F32" s="432"/>
      <c r="G32" s="433"/>
      <c r="H32" s="434" t="str">
        <f t="array" ref="H32">IFERROR(IF($A32="Medição",IFERROR(INDEX(#REF!,MATCH($B32,Fornecedores!$B$8:$B$200,0)),""),""),"")</f>
        <v/>
      </c>
      <c r="I32" s="435" t="str">
        <f t="shared" si="1"/>
        <v/>
      </c>
      <c r="J32" s="436"/>
      <c r="K32" s="437" t="str">
        <f t="array" ref="K32">IFERROR(IF($A32="Medição",IFERROR(INDEX(#REF!,MATCH($B32,Fornecedores!$B$8:$B$200,0)),0),""),"")</f>
        <v/>
      </c>
      <c r="L32" s="438" t="str">
        <f t="shared" si="2"/>
        <v/>
      </c>
      <c r="M32" s="439"/>
      <c r="N32" s="440" t="str">
        <f t="shared" si="3"/>
        <v/>
      </c>
      <c r="O32" s="432"/>
      <c r="P32" s="112"/>
      <c r="Q32" s="112"/>
      <c r="R32" s="112"/>
      <c r="S32" s="432"/>
      <c r="T32" s="112"/>
      <c r="U32" s="112"/>
      <c r="V32" s="112"/>
      <c r="W32" s="395"/>
      <c r="X32" s="395"/>
      <c r="Y32" s="395"/>
      <c r="Z32" s="395"/>
      <c r="AA32" s="395"/>
    </row>
    <row r="33" ht="15.75" customHeight="1">
      <c r="A33" s="112"/>
      <c r="B33" s="112"/>
      <c r="C33" s="412" t="str">
        <f t="array" ref="C33">IFERROR(INDEX(#REF!,MATCH($B33,Fornecedores!$B$8:$B$200,0)),"")</f>
        <v/>
      </c>
      <c r="D33" s="112"/>
      <c r="E33" s="112"/>
      <c r="F33" s="432"/>
      <c r="G33" s="433"/>
      <c r="H33" s="434" t="str">
        <f t="array" ref="H33">IFERROR(IF($A33="Medição",IFERROR(INDEX(#REF!,MATCH($B33,Fornecedores!$B$8:$B$200,0)),""),""),"")</f>
        <v/>
      </c>
      <c r="I33" s="435" t="str">
        <f t="shared" si="1"/>
        <v/>
      </c>
      <c r="J33" s="436"/>
      <c r="K33" s="437" t="str">
        <f t="array" ref="K33">IFERROR(IF($A33="Medição",IFERROR(INDEX(#REF!,MATCH($B33,Fornecedores!$B$8:$B$200,0)),0),""),"")</f>
        <v/>
      </c>
      <c r="L33" s="438" t="str">
        <f t="shared" si="2"/>
        <v/>
      </c>
      <c r="M33" s="439"/>
      <c r="N33" s="440" t="str">
        <f t="shared" si="3"/>
        <v/>
      </c>
      <c r="O33" s="432"/>
      <c r="P33" s="112"/>
      <c r="Q33" s="112"/>
      <c r="R33" s="112"/>
      <c r="S33" s="432"/>
      <c r="T33" s="112"/>
      <c r="U33" s="112"/>
      <c r="V33" s="112"/>
      <c r="W33" s="395"/>
      <c r="X33" s="395"/>
      <c r="Y33" s="395"/>
      <c r="Z33" s="395"/>
      <c r="AA33" s="395"/>
    </row>
    <row r="34" ht="15.75" customHeight="1">
      <c r="A34" s="112"/>
      <c r="B34" s="112"/>
      <c r="C34" s="412" t="str">
        <f t="array" ref="C34">IFERROR(INDEX(#REF!,MATCH($B34,Fornecedores!$B$8:$B$200,0)),"")</f>
        <v/>
      </c>
      <c r="D34" s="112"/>
      <c r="E34" s="112"/>
      <c r="F34" s="432"/>
      <c r="G34" s="433"/>
      <c r="H34" s="434" t="str">
        <f t="array" ref="H34">IFERROR(IF($A34="Medição",IFERROR(INDEX(#REF!,MATCH($B34,Fornecedores!$B$8:$B$200,0)),""),""),"")</f>
        <v/>
      </c>
      <c r="I34" s="435" t="str">
        <f t="shared" si="1"/>
        <v/>
      </c>
      <c r="J34" s="436"/>
      <c r="K34" s="437" t="str">
        <f t="array" ref="K34">IFERROR(IF($A34="Medição",IFERROR(INDEX(#REF!,MATCH($B34,Fornecedores!$B$8:$B$200,0)),0),""),"")</f>
        <v/>
      </c>
      <c r="L34" s="438" t="str">
        <f t="shared" si="2"/>
        <v/>
      </c>
      <c r="M34" s="439"/>
      <c r="N34" s="440" t="str">
        <f t="shared" si="3"/>
        <v/>
      </c>
      <c r="O34" s="432"/>
      <c r="P34" s="112"/>
      <c r="Q34" s="112"/>
      <c r="R34" s="112"/>
      <c r="S34" s="432"/>
      <c r="T34" s="112"/>
      <c r="U34" s="112"/>
      <c r="V34" s="112"/>
      <c r="W34" s="395"/>
      <c r="X34" s="395"/>
      <c r="Y34" s="395"/>
      <c r="Z34" s="395"/>
      <c r="AA34" s="395"/>
    </row>
    <row r="35" ht="15.75" customHeight="1">
      <c r="A35" s="112"/>
      <c r="B35" s="112"/>
      <c r="C35" s="412" t="str">
        <f t="array" ref="C35">IFERROR(INDEX(#REF!,MATCH($B35,Fornecedores!$B$8:$B$200,0)),"")</f>
        <v/>
      </c>
      <c r="D35" s="112"/>
      <c r="E35" s="112"/>
      <c r="F35" s="432"/>
      <c r="G35" s="433"/>
      <c r="H35" s="434" t="str">
        <f t="array" ref="H35">IFERROR(IF($A35="Medição",IFERROR(INDEX(#REF!,MATCH($B35,Fornecedores!$B$8:$B$200,0)),""),""),"")</f>
        <v/>
      </c>
      <c r="I35" s="435" t="str">
        <f t="shared" si="1"/>
        <v/>
      </c>
      <c r="J35" s="436"/>
      <c r="K35" s="437" t="str">
        <f t="array" ref="K35">IFERROR(IF($A35="Medição",IFERROR(INDEX(#REF!,MATCH($B35,Fornecedores!$B$8:$B$200,0)),0),""),"")</f>
        <v/>
      </c>
      <c r="L35" s="438" t="str">
        <f t="shared" si="2"/>
        <v/>
      </c>
      <c r="M35" s="439"/>
      <c r="N35" s="440" t="str">
        <f t="shared" si="3"/>
        <v/>
      </c>
      <c r="O35" s="432"/>
      <c r="P35" s="112"/>
      <c r="Q35" s="112"/>
      <c r="R35" s="112"/>
      <c r="S35" s="432"/>
      <c r="T35" s="112"/>
      <c r="U35" s="112"/>
      <c r="V35" s="112"/>
      <c r="W35" s="395"/>
      <c r="X35" s="395"/>
      <c r="Y35" s="395"/>
      <c r="Z35" s="395"/>
      <c r="AA35" s="395"/>
    </row>
    <row r="36" ht="15.75" customHeight="1">
      <c r="A36" s="112"/>
      <c r="B36" s="112"/>
      <c r="C36" s="412" t="str">
        <f t="array" ref="C36">IFERROR(INDEX(#REF!,MATCH($B36,Fornecedores!$B$8:$B$200,0)),"")</f>
        <v/>
      </c>
      <c r="D36" s="112"/>
      <c r="E36" s="112"/>
      <c r="F36" s="432"/>
      <c r="G36" s="433"/>
      <c r="H36" s="434" t="str">
        <f t="array" ref="H36">IFERROR(IF($A36="Medição",IFERROR(INDEX(#REF!,MATCH($B36,Fornecedores!$B$8:$B$200,0)),""),""),"")</f>
        <v/>
      </c>
      <c r="I36" s="435" t="str">
        <f t="shared" si="1"/>
        <v/>
      </c>
      <c r="J36" s="436"/>
      <c r="K36" s="437" t="str">
        <f t="array" ref="K36">IFERROR(IF($A36="Medição",IFERROR(INDEX(#REF!,MATCH($B36,Fornecedores!$B$8:$B$200,0)),0),""),"")</f>
        <v/>
      </c>
      <c r="L36" s="438" t="str">
        <f t="shared" si="2"/>
        <v/>
      </c>
      <c r="M36" s="439"/>
      <c r="N36" s="440" t="str">
        <f t="shared" si="3"/>
        <v/>
      </c>
      <c r="O36" s="432"/>
      <c r="P36" s="112"/>
      <c r="Q36" s="112"/>
      <c r="R36" s="112"/>
      <c r="S36" s="432"/>
      <c r="T36" s="112"/>
      <c r="U36" s="112"/>
      <c r="V36" s="112"/>
      <c r="W36" s="395"/>
      <c r="X36" s="395"/>
      <c r="Y36" s="395"/>
      <c r="Z36" s="395"/>
      <c r="AA36" s="395"/>
    </row>
    <row r="37" ht="15.75" customHeight="1">
      <c r="A37" s="112"/>
      <c r="B37" s="112"/>
      <c r="C37" s="412" t="str">
        <f t="array" ref="C37">IFERROR(INDEX(#REF!,MATCH($B37,Fornecedores!$B$8:$B$200,0)),"")</f>
        <v/>
      </c>
      <c r="D37" s="112"/>
      <c r="E37" s="112"/>
      <c r="F37" s="432"/>
      <c r="G37" s="433"/>
      <c r="H37" s="434" t="str">
        <f t="array" ref="H37">IFERROR(IF($A37="Medição",IFERROR(INDEX(#REF!,MATCH($B37,Fornecedores!$B$8:$B$200,0)),""),""),"")</f>
        <v/>
      </c>
      <c r="I37" s="435" t="str">
        <f t="shared" si="1"/>
        <v/>
      </c>
      <c r="J37" s="436"/>
      <c r="K37" s="437" t="str">
        <f t="array" ref="K37">IFERROR(IF($A37="Medição",IFERROR(INDEX(#REF!,MATCH($B37,Fornecedores!$B$8:$B$200,0)),0),""),"")</f>
        <v/>
      </c>
      <c r="L37" s="438" t="str">
        <f t="shared" si="2"/>
        <v/>
      </c>
      <c r="M37" s="439"/>
      <c r="N37" s="440" t="str">
        <f t="shared" si="3"/>
        <v/>
      </c>
      <c r="O37" s="432"/>
      <c r="P37" s="112"/>
      <c r="Q37" s="112"/>
      <c r="R37" s="112"/>
      <c r="S37" s="432"/>
      <c r="T37" s="112"/>
      <c r="U37" s="112"/>
      <c r="V37" s="112"/>
      <c r="W37" s="395"/>
      <c r="X37" s="395"/>
      <c r="Y37" s="395"/>
      <c r="Z37" s="395"/>
      <c r="AA37" s="395"/>
    </row>
    <row r="38" ht="15.75" customHeight="1">
      <c r="A38" s="112"/>
      <c r="B38" s="112"/>
      <c r="C38" s="412" t="str">
        <f t="array" ref="C38">IFERROR(INDEX(#REF!,MATCH($B38,Fornecedores!$B$8:$B$200,0)),"")</f>
        <v/>
      </c>
      <c r="D38" s="112"/>
      <c r="E38" s="112"/>
      <c r="F38" s="432"/>
      <c r="G38" s="433"/>
      <c r="H38" s="434" t="str">
        <f t="array" ref="H38">IFERROR(IF($A38="Medição",IFERROR(INDEX(#REF!,MATCH($B38,Fornecedores!$B$8:$B$200,0)),""),""),"")</f>
        <v/>
      </c>
      <c r="I38" s="435" t="str">
        <f t="shared" si="1"/>
        <v/>
      </c>
      <c r="J38" s="436"/>
      <c r="K38" s="437" t="str">
        <f t="array" ref="K38">IFERROR(IF($A38="Medição",IFERROR(INDEX(#REF!,MATCH($B38,Fornecedores!$B$8:$B$200,0)),0),""),"")</f>
        <v/>
      </c>
      <c r="L38" s="438" t="str">
        <f t="shared" si="2"/>
        <v/>
      </c>
      <c r="M38" s="439"/>
      <c r="N38" s="440" t="str">
        <f t="shared" si="3"/>
        <v/>
      </c>
      <c r="O38" s="432"/>
      <c r="P38" s="112"/>
      <c r="Q38" s="112"/>
      <c r="R38" s="112"/>
      <c r="S38" s="432"/>
      <c r="T38" s="112"/>
      <c r="U38" s="112"/>
      <c r="V38" s="112"/>
      <c r="W38" s="395"/>
      <c r="X38" s="395"/>
      <c r="Y38" s="395"/>
      <c r="Z38" s="395"/>
      <c r="AA38" s="395"/>
    </row>
    <row r="39" ht="15.75" customHeight="1">
      <c r="A39" s="112"/>
      <c r="B39" s="112"/>
      <c r="C39" s="412" t="str">
        <f t="array" ref="C39">IFERROR(INDEX(#REF!,MATCH($B39,Fornecedores!$B$8:$B$200,0)),"")</f>
        <v/>
      </c>
      <c r="D39" s="112"/>
      <c r="E39" s="112"/>
      <c r="F39" s="432"/>
      <c r="G39" s="433"/>
      <c r="H39" s="434" t="str">
        <f t="array" ref="H39">IFERROR(IF($A39="Medição",IFERROR(INDEX(#REF!,MATCH($B39,Fornecedores!$B$8:$B$200,0)),""),""),"")</f>
        <v/>
      </c>
      <c r="I39" s="435" t="str">
        <f t="shared" si="1"/>
        <v/>
      </c>
      <c r="J39" s="436"/>
      <c r="K39" s="437" t="str">
        <f t="array" ref="K39">IFERROR(IF($A39="Medição",IFERROR(INDEX(#REF!,MATCH($B39,Fornecedores!$B$8:$B$200,0)),0),""),"")</f>
        <v/>
      </c>
      <c r="L39" s="438" t="str">
        <f t="shared" si="2"/>
        <v/>
      </c>
      <c r="M39" s="439"/>
      <c r="N39" s="440" t="str">
        <f t="shared" si="3"/>
        <v/>
      </c>
      <c r="O39" s="432"/>
      <c r="P39" s="112"/>
      <c r="Q39" s="112"/>
      <c r="R39" s="112"/>
      <c r="S39" s="432"/>
      <c r="T39" s="112"/>
      <c r="U39" s="112"/>
      <c r="V39" s="112"/>
      <c r="W39" s="395"/>
      <c r="X39" s="395"/>
      <c r="Y39" s="395"/>
      <c r="Z39" s="395"/>
      <c r="AA39" s="395"/>
    </row>
    <row r="40" ht="15.75" customHeight="1">
      <c r="A40" s="112"/>
      <c r="B40" s="112"/>
      <c r="C40" s="412" t="str">
        <f t="array" ref="C40">IFERROR(INDEX(#REF!,MATCH($B40,Fornecedores!$B$8:$B$200,0)),"")</f>
        <v/>
      </c>
      <c r="D40" s="112"/>
      <c r="E40" s="112"/>
      <c r="F40" s="432"/>
      <c r="G40" s="433"/>
      <c r="H40" s="434" t="str">
        <f t="array" ref="H40">IFERROR(IF($A40="Medição",IFERROR(INDEX(#REF!,MATCH($B40,Fornecedores!$B$8:$B$200,0)),""),""),"")</f>
        <v/>
      </c>
      <c r="I40" s="435" t="str">
        <f t="shared" si="1"/>
        <v/>
      </c>
      <c r="J40" s="436"/>
      <c r="K40" s="437" t="str">
        <f t="array" ref="K40">IFERROR(IF($A40="Medição",IFERROR(INDEX(#REF!,MATCH($B40,Fornecedores!$B$8:$B$200,0)),0),""),"")</f>
        <v/>
      </c>
      <c r="L40" s="438" t="str">
        <f t="shared" si="2"/>
        <v/>
      </c>
      <c r="M40" s="439"/>
      <c r="N40" s="440" t="str">
        <f t="shared" si="3"/>
        <v/>
      </c>
      <c r="O40" s="432"/>
      <c r="P40" s="112"/>
      <c r="Q40" s="112"/>
      <c r="R40" s="112"/>
      <c r="S40" s="432"/>
      <c r="T40" s="112"/>
      <c r="U40" s="112"/>
      <c r="V40" s="112"/>
      <c r="W40" s="395"/>
      <c r="X40" s="395"/>
      <c r="Y40" s="395"/>
      <c r="Z40" s="395"/>
      <c r="AA40" s="395"/>
    </row>
    <row r="41" ht="15.75" customHeight="1">
      <c r="A41" s="112"/>
      <c r="B41" s="112"/>
      <c r="C41" s="412" t="str">
        <f t="array" ref="C41">IFERROR(INDEX(#REF!,MATCH($B41,Fornecedores!$B$8:$B$200,0)),"")</f>
        <v/>
      </c>
      <c r="D41" s="112"/>
      <c r="E41" s="112"/>
      <c r="F41" s="432"/>
      <c r="G41" s="433"/>
      <c r="H41" s="434" t="str">
        <f t="array" ref="H41">IFERROR(IF($A41="Medição",IFERROR(INDEX(#REF!,MATCH($B41,Fornecedores!$B$8:$B$200,0)),""),""),"")</f>
        <v/>
      </c>
      <c r="I41" s="435" t="str">
        <f t="shared" si="1"/>
        <v/>
      </c>
      <c r="J41" s="436"/>
      <c r="K41" s="437" t="str">
        <f t="array" ref="K41">IFERROR(IF($A41="Medição",IFERROR(INDEX(#REF!,MATCH($B41,Fornecedores!$B$8:$B$200,0)),0),""),"")</f>
        <v/>
      </c>
      <c r="L41" s="438" t="str">
        <f t="shared" si="2"/>
        <v/>
      </c>
      <c r="M41" s="439"/>
      <c r="N41" s="440" t="str">
        <f t="shared" si="3"/>
        <v/>
      </c>
      <c r="O41" s="432"/>
      <c r="P41" s="112"/>
      <c r="Q41" s="112"/>
      <c r="R41" s="112"/>
      <c r="S41" s="432"/>
      <c r="T41" s="112"/>
      <c r="U41" s="112"/>
      <c r="V41" s="112"/>
      <c r="W41" s="395"/>
      <c r="X41" s="395"/>
      <c r="Y41" s="395"/>
      <c r="Z41" s="395"/>
      <c r="AA41" s="395"/>
    </row>
    <row r="42" ht="15.75" customHeight="1">
      <c r="A42" s="112"/>
      <c r="B42" s="112"/>
      <c r="C42" s="412" t="str">
        <f t="array" ref="C42">IFERROR(INDEX(#REF!,MATCH($B42,Fornecedores!$B$8:$B$200,0)),"")</f>
        <v/>
      </c>
      <c r="D42" s="112"/>
      <c r="E42" s="112"/>
      <c r="F42" s="432"/>
      <c r="G42" s="433"/>
      <c r="H42" s="434" t="str">
        <f t="array" ref="H42">IFERROR(IF($A42="Medição",IFERROR(INDEX(#REF!,MATCH($B42,Fornecedores!$B$8:$B$200,0)),""),""),"")</f>
        <v/>
      </c>
      <c r="I42" s="435" t="str">
        <f t="shared" si="1"/>
        <v/>
      </c>
      <c r="J42" s="436"/>
      <c r="K42" s="437" t="str">
        <f t="array" ref="K42">IFERROR(IF($A42="Medição",IFERROR(INDEX(#REF!,MATCH($B42,Fornecedores!$B$8:$B$200,0)),0),""),"")</f>
        <v/>
      </c>
      <c r="L42" s="438" t="str">
        <f t="shared" si="2"/>
        <v/>
      </c>
      <c r="M42" s="439"/>
      <c r="N42" s="440" t="str">
        <f t="shared" si="3"/>
        <v/>
      </c>
      <c r="O42" s="432"/>
      <c r="P42" s="112"/>
      <c r="Q42" s="112"/>
      <c r="R42" s="112"/>
      <c r="S42" s="432"/>
      <c r="T42" s="112"/>
      <c r="U42" s="112"/>
      <c r="V42" s="112"/>
      <c r="W42" s="395"/>
      <c r="X42" s="395"/>
      <c r="Y42" s="395"/>
      <c r="Z42" s="395"/>
      <c r="AA42" s="395"/>
    </row>
    <row r="43" ht="15.75" customHeight="1">
      <c r="A43" s="112"/>
      <c r="B43" s="112"/>
      <c r="C43" s="412" t="str">
        <f t="array" ref="C43">IFERROR(INDEX(#REF!,MATCH($B43,Fornecedores!$B$8:$B$200,0)),"")</f>
        <v/>
      </c>
      <c r="D43" s="112"/>
      <c r="E43" s="112"/>
      <c r="F43" s="432"/>
      <c r="G43" s="433"/>
      <c r="H43" s="434" t="str">
        <f t="array" ref="H43">IFERROR(IF($A43="Medição",IFERROR(INDEX(#REF!,MATCH($B43,Fornecedores!$B$8:$B$200,0)),""),""),"")</f>
        <v/>
      </c>
      <c r="I43" s="435" t="str">
        <f t="shared" si="1"/>
        <v/>
      </c>
      <c r="J43" s="436"/>
      <c r="K43" s="437" t="str">
        <f t="array" ref="K43">IFERROR(IF($A43="Medição",IFERROR(INDEX(#REF!,MATCH($B43,Fornecedores!$B$8:$B$200,0)),0),""),"")</f>
        <v/>
      </c>
      <c r="L43" s="438" t="str">
        <f t="shared" si="2"/>
        <v/>
      </c>
      <c r="M43" s="439"/>
      <c r="N43" s="440" t="str">
        <f t="shared" si="3"/>
        <v/>
      </c>
      <c r="O43" s="432"/>
      <c r="P43" s="112"/>
      <c r="Q43" s="112"/>
      <c r="R43" s="112"/>
      <c r="S43" s="432"/>
      <c r="T43" s="112"/>
      <c r="U43" s="112"/>
      <c r="V43" s="112"/>
      <c r="W43" s="395"/>
      <c r="X43" s="395"/>
      <c r="Y43" s="395"/>
      <c r="Z43" s="395"/>
      <c r="AA43" s="395"/>
    </row>
    <row r="44" ht="15.75" customHeight="1">
      <c r="A44" s="112"/>
      <c r="B44" s="112"/>
      <c r="C44" s="412" t="str">
        <f t="array" ref="C44">IFERROR(INDEX(#REF!,MATCH($B44,Fornecedores!$B$8:$B$200,0)),"")</f>
        <v/>
      </c>
      <c r="D44" s="112"/>
      <c r="E44" s="112"/>
      <c r="F44" s="432"/>
      <c r="G44" s="433"/>
      <c r="H44" s="434" t="str">
        <f t="array" ref="H44">IFERROR(IF($A44="Medição",IFERROR(INDEX(#REF!,MATCH($B44,Fornecedores!$B$8:$B$200,0)),""),""),"")</f>
        <v/>
      </c>
      <c r="I44" s="435" t="str">
        <f t="shared" si="1"/>
        <v/>
      </c>
      <c r="J44" s="436"/>
      <c r="K44" s="437" t="str">
        <f t="array" ref="K44">IFERROR(IF($A44="Medição",IFERROR(INDEX(#REF!,MATCH($B44,Fornecedores!$B$8:$B$200,0)),0),""),"")</f>
        <v/>
      </c>
      <c r="L44" s="438" t="str">
        <f t="shared" si="2"/>
        <v/>
      </c>
      <c r="M44" s="439"/>
      <c r="N44" s="440" t="str">
        <f t="shared" si="3"/>
        <v/>
      </c>
      <c r="O44" s="432"/>
      <c r="P44" s="112"/>
      <c r="Q44" s="112"/>
      <c r="R44" s="112"/>
      <c r="S44" s="432"/>
      <c r="T44" s="112"/>
      <c r="U44" s="112"/>
      <c r="V44" s="112"/>
      <c r="W44" s="395"/>
      <c r="X44" s="395"/>
      <c r="Y44" s="395"/>
      <c r="Z44" s="395"/>
      <c r="AA44" s="395"/>
    </row>
    <row r="45" ht="15.75" customHeight="1">
      <c r="A45" s="112"/>
      <c r="B45" s="112"/>
      <c r="C45" s="412" t="str">
        <f t="array" ref="C45">IFERROR(INDEX(#REF!,MATCH($B45,Fornecedores!$B$8:$B$200,0)),"")</f>
        <v/>
      </c>
      <c r="D45" s="112"/>
      <c r="E45" s="112"/>
      <c r="F45" s="432"/>
      <c r="G45" s="433"/>
      <c r="H45" s="434" t="str">
        <f t="array" ref="H45">IFERROR(IF($A45="Medição",IFERROR(INDEX(#REF!,MATCH($B45,Fornecedores!$B$8:$B$200,0)),""),""),"")</f>
        <v/>
      </c>
      <c r="I45" s="435" t="str">
        <f t="shared" si="1"/>
        <v/>
      </c>
      <c r="J45" s="436"/>
      <c r="K45" s="437" t="str">
        <f t="array" ref="K45">IFERROR(IF($A45="Medição",IFERROR(INDEX(#REF!,MATCH($B45,Fornecedores!$B$8:$B$200,0)),0),""),"")</f>
        <v/>
      </c>
      <c r="L45" s="438" t="str">
        <f t="shared" si="2"/>
        <v/>
      </c>
      <c r="M45" s="439"/>
      <c r="N45" s="440" t="str">
        <f t="shared" si="3"/>
        <v/>
      </c>
      <c r="O45" s="432"/>
      <c r="P45" s="112"/>
      <c r="Q45" s="112"/>
      <c r="R45" s="112"/>
      <c r="S45" s="432"/>
      <c r="T45" s="112"/>
      <c r="U45" s="112"/>
      <c r="V45" s="112"/>
      <c r="W45" s="395"/>
      <c r="X45" s="395"/>
      <c r="Y45" s="395"/>
      <c r="Z45" s="395"/>
      <c r="AA45" s="395"/>
    </row>
    <row r="46" ht="15.75" customHeight="1">
      <c r="A46" s="112"/>
      <c r="B46" s="112"/>
      <c r="C46" s="412" t="str">
        <f t="array" ref="C46">IFERROR(INDEX(#REF!,MATCH($B46,Fornecedores!$B$8:$B$200,0)),"")</f>
        <v/>
      </c>
      <c r="D46" s="112"/>
      <c r="E46" s="112"/>
      <c r="F46" s="432"/>
      <c r="G46" s="433"/>
      <c r="H46" s="434" t="str">
        <f t="array" ref="H46">IFERROR(IF($A46="Medição",IFERROR(INDEX(#REF!,MATCH($B46,Fornecedores!$B$8:$B$200,0)),""),""),"")</f>
        <v/>
      </c>
      <c r="I46" s="435" t="str">
        <f t="shared" si="1"/>
        <v/>
      </c>
      <c r="J46" s="436"/>
      <c r="K46" s="437" t="str">
        <f t="array" ref="K46">IFERROR(IF($A46="Medição",IFERROR(INDEX(#REF!,MATCH($B46,Fornecedores!$B$8:$B$200,0)),0),""),"")</f>
        <v/>
      </c>
      <c r="L46" s="438" t="str">
        <f t="shared" si="2"/>
        <v/>
      </c>
      <c r="M46" s="439"/>
      <c r="N46" s="440" t="str">
        <f t="shared" si="3"/>
        <v/>
      </c>
      <c r="O46" s="432"/>
      <c r="P46" s="112"/>
      <c r="Q46" s="112"/>
      <c r="R46" s="112"/>
      <c r="S46" s="432"/>
      <c r="T46" s="112"/>
      <c r="U46" s="112"/>
      <c r="V46" s="112"/>
      <c r="W46" s="395"/>
      <c r="X46" s="395"/>
      <c r="Y46" s="395"/>
      <c r="Z46" s="395"/>
      <c r="AA46" s="395"/>
    </row>
    <row r="47" ht="15.75" customHeight="1">
      <c r="A47" s="112"/>
      <c r="B47" s="112"/>
      <c r="C47" s="412" t="str">
        <f t="array" ref="C47">IFERROR(INDEX(#REF!,MATCH($B47,Fornecedores!$B$8:$B$200,0)),"")</f>
        <v/>
      </c>
      <c r="D47" s="112"/>
      <c r="E47" s="112"/>
      <c r="F47" s="432"/>
      <c r="G47" s="433"/>
      <c r="H47" s="434" t="str">
        <f t="array" ref="H47">IFERROR(IF($A47="Medição",IFERROR(INDEX(#REF!,MATCH($B47,Fornecedores!$B$8:$B$200,0)),""),""),"")</f>
        <v/>
      </c>
      <c r="I47" s="435" t="str">
        <f t="shared" si="1"/>
        <v/>
      </c>
      <c r="J47" s="436"/>
      <c r="K47" s="437" t="str">
        <f t="array" ref="K47">IFERROR(IF($A47="Medição",IFERROR(INDEX(#REF!,MATCH($B47,Fornecedores!$B$8:$B$200,0)),0),""),"")</f>
        <v/>
      </c>
      <c r="L47" s="438" t="str">
        <f t="shared" si="2"/>
        <v/>
      </c>
      <c r="M47" s="439"/>
      <c r="N47" s="440" t="str">
        <f t="shared" si="3"/>
        <v/>
      </c>
      <c r="O47" s="432"/>
      <c r="P47" s="112"/>
      <c r="Q47" s="112"/>
      <c r="R47" s="112"/>
      <c r="S47" s="432"/>
      <c r="T47" s="112"/>
      <c r="U47" s="112"/>
      <c r="V47" s="112"/>
      <c r="W47" s="395"/>
      <c r="X47" s="395"/>
      <c r="Y47" s="395"/>
      <c r="Z47" s="395"/>
      <c r="AA47" s="395"/>
    </row>
    <row r="48" ht="15.75" customHeight="1">
      <c r="A48" s="112"/>
      <c r="B48" s="112"/>
      <c r="C48" s="412" t="str">
        <f t="array" ref="C48">IFERROR(INDEX(#REF!,MATCH($B48,Fornecedores!$B$8:$B$200,0)),"")</f>
        <v/>
      </c>
      <c r="D48" s="112"/>
      <c r="E48" s="112"/>
      <c r="F48" s="432"/>
      <c r="G48" s="433"/>
      <c r="H48" s="434" t="str">
        <f t="array" ref="H48">IFERROR(IF($A48="Medição",IFERROR(INDEX(#REF!,MATCH($B48,Fornecedores!$B$8:$B$200,0)),""),""),"")</f>
        <v/>
      </c>
      <c r="I48" s="435" t="str">
        <f t="shared" si="1"/>
        <v/>
      </c>
      <c r="J48" s="436"/>
      <c r="K48" s="437" t="str">
        <f t="array" ref="K48">IFERROR(IF($A48="Medição",IFERROR(INDEX(#REF!,MATCH($B48,Fornecedores!$B$8:$B$200,0)),0),""),"")</f>
        <v/>
      </c>
      <c r="L48" s="438" t="str">
        <f t="shared" si="2"/>
        <v/>
      </c>
      <c r="M48" s="439"/>
      <c r="N48" s="440" t="str">
        <f t="shared" si="3"/>
        <v/>
      </c>
      <c r="O48" s="432"/>
      <c r="P48" s="112"/>
      <c r="Q48" s="112"/>
      <c r="R48" s="112"/>
      <c r="S48" s="432"/>
      <c r="T48" s="112"/>
      <c r="U48" s="112"/>
      <c r="V48" s="112"/>
      <c r="W48" s="395"/>
      <c r="X48" s="395"/>
      <c r="Y48" s="395"/>
      <c r="Z48" s="395"/>
      <c r="AA48" s="395"/>
    </row>
    <row r="49" ht="15.75" customHeight="1">
      <c r="A49" s="112"/>
      <c r="B49" s="112"/>
      <c r="C49" s="412" t="str">
        <f t="array" ref="C49">IFERROR(INDEX(#REF!,MATCH($B49,Fornecedores!$B$8:$B$200,0)),"")</f>
        <v/>
      </c>
      <c r="D49" s="112"/>
      <c r="E49" s="112"/>
      <c r="F49" s="432"/>
      <c r="G49" s="433"/>
      <c r="H49" s="434" t="str">
        <f t="array" ref="H49">IFERROR(IF($A49="Medição",IFERROR(INDEX(#REF!,MATCH($B49,Fornecedores!$B$8:$B$200,0)),""),""),"")</f>
        <v/>
      </c>
      <c r="I49" s="435" t="str">
        <f t="shared" si="1"/>
        <v/>
      </c>
      <c r="J49" s="436"/>
      <c r="K49" s="437" t="str">
        <f t="array" ref="K49">IFERROR(IF($A49="Medição",IFERROR(INDEX(#REF!,MATCH($B49,Fornecedores!$B$8:$B$200,0)),0),""),"")</f>
        <v/>
      </c>
      <c r="L49" s="438" t="str">
        <f t="shared" si="2"/>
        <v/>
      </c>
      <c r="M49" s="439"/>
      <c r="N49" s="440" t="str">
        <f t="shared" si="3"/>
        <v/>
      </c>
      <c r="O49" s="432"/>
      <c r="P49" s="112"/>
      <c r="Q49" s="112"/>
      <c r="R49" s="112"/>
      <c r="S49" s="432"/>
      <c r="T49" s="112"/>
      <c r="U49" s="112"/>
      <c r="V49" s="112"/>
      <c r="W49" s="395"/>
      <c r="X49" s="395"/>
      <c r="Y49" s="395"/>
      <c r="Z49" s="395"/>
      <c r="AA49" s="395"/>
    </row>
    <row r="50" ht="15.75" customHeight="1">
      <c r="A50" s="112"/>
      <c r="B50" s="112"/>
      <c r="C50" s="412" t="str">
        <f t="array" ref="C50">IFERROR(INDEX(#REF!,MATCH($B50,Fornecedores!$B$8:$B$200,0)),"")</f>
        <v/>
      </c>
      <c r="D50" s="112"/>
      <c r="E50" s="112"/>
      <c r="F50" s="432"/>
      <c r="G50" s="433"/>
      <c r="H50" s="434" t="str">
        <f t="array" ref="H50">IFERROR(IF($A50="Medição",IFERROR(INDEX(#REF!,MATCH($B50,Fornecedores!$B$8:$B$200,0)),""),""),"")</f>
        <v/>
      </c>
      <c r="I50" s="435" t="str">
        <f t="shared" si="1"/>
        <v/>
      </c>
      <c r="J50" s="436"/>
      <c r="K50" s="437" t="str">
        <f t="array" ref="K50">IFERROR(IF($A50="Medição",IFERROR(INDEX(#REF!,MATCH($B50,Fornecedores!$B$8:$B$200,0)),0),""),"")</f>
        <v/>
      </c>
      <c r="L50" s="438" t="str">
        <f t="shared" si="2"/>
        <v/>
      </c>
      <c r="M50" s="439"/>
      <c r="N50" s="440" t="str">
        <f t="shared" si="3"/>
        <v/>
      </c>
      <c r="O50" s="432"/>
      <c r="P50" s="112"/>
      <c r="Q50" s="112"/>
      <c r="R50" s="112"/>
      <c r="S50" s="432"/>
      <c r="T50" s="112"/>
      <c r="U50" s="112"/>
      <c r="V50" s="112"/>
      <c r="W50" s="395"/>
      <c r="X50" s="395"/>
      <c r="Y50" s="395"/>
      <c r="Z50" s="395"/>
      <c r="AA50" s="395"/>
    </row>
    <row r="51" ht="15.75" customHeight="1">
      <c r="A51" s="112"/>
      <c r="B51" s="112"/>
      <c r="C51" s="412" t="str">
        <f t="array" ref="C51">IFERROR(INDEX(#REF!,MATCH($B51,Fornecedores!$B$8:$B$200,0)),"")</f>
        <v/>
      </c>
      <c r="D51" s="112"/>
      <c r="E51" s="112"/>
      <c r="F51" s="432"/>
      <c r="G51" s="433"/>
      <c r="H51" s="434" t="str">
        <f t="array" ref="H51">IFERROR(IF($A51="Medição",IFERROR(INDEX(#REF!,MATCH($B51,Fornecedores!$B$8:$B$200,0)),""),""),"")</f>
        <v/>
      </c>
      <c r="I51" s="435" t="str">
        <f t="shared" si="1"/>
        <v/>
      </c>
      <c r="J51" s="436"/>
      <c r="K51" s="437" t="str">
        <f t="array" ref="K51">IFERROR(IF($A51="Medição",IFERROR(INDEX(#REF!,MATCH($B51,Fornecedores!$B$8:$B$200,0)),0),""),"")</f>
        <v/>
      </c>
      <c r="L51" s="438" t="str">
        <f t="shared" si="2"/>
        <v/>
      </c>
      <c r="M51" s="439"/>
      <c r="N51" s="440" t="str">
        <f t="shared" si="3"/>
        <v/>
      </c>
      <c r="O51" s="432"/>
      <c r="P51" s="112"/>
      <c r="Q51" s="112"/>
      <c r="R51" s="112"/>
      <c r="S51" s="432"/>
      <c r="T51" s="112"/>
      <c r="U51" s="112"/>
      <c r="V51" s="112"/>
      <c r="W51" s="395"/>
      <c r="X51" s="395"/>
      <c r="Y51" s="395"/>
      <c r="Z51" s="395"/>
      <c r="AA51" s="395"/>
    </row>
    <row r="52" ht="15.75" customHeight="1">
      <c r="A52" s="112"/>
      <c r="B52" s="112"/>
      <c r="C52" s="412" t="str">
        <f t="array" ref="C52">IFERROR(INDEX(#REF!,MATCH($B52,Fornecedores!$B$8:$B$200,0)),"")</f>
        <v/>
      </c>
      <c r="D52" s="112"/>
      <c r="E52" s="112"/>
      <c r="F52" s="432"/>
      <c r="G52" s="433"/>
      <c r="H52" s="434" t="str">
        <f t="array" ref="H52">IFERROR(IF($A52="Medição",IFERROR(INDEX(#REF!,MATCH($B52,Fornecedores!$B$8:$B$200,0)),""),""),"")</f>
        <v/>
      </c>
      <c r="I52" s="435" t="str">
        <f t="shared" si="1"/>
        <v/>
      </c>
      <c r="J52" s="436"/>
      <c r="K52" s="437" t="str">
        <f t="array" ref="K52">IFERROR(IF($A52="Medição",IFERROR(INDEX(#REF!,MATCH($B52,Fornecedores!$B$8:$B$200,0)),0),""),"")</f>
        <v/>
      </c>
      <c r="L52" s="438" t="str">
        <f t="shared" si="2"/>
        <v/>
      </c>
      <c r="M52" s="439"/>
      <c r="N52" s="440" t="str">
        <f t="shared" si="3"/>
        <v/>
      </c>
      <c r="O52" s="432"/>
      <c r="P52" s="112"/>
      <c r="Q52" s="112"/>
      <c r="R52" s="112"/>
      <c r="S52" s="432"/>
      <c r="T52" s="112"/>
      <c r="U52" s="112"/>
      <c r="V52" s="112"/>
      <c r="W52" s="395"/>
      <c r="X52" s="395"/>
      <c r="Y52" s="395"/>
      <c r="Z52" s="395"/>
      <c r="AA52" s="395"/>
    </row>
    <row r="53" ht="15.75" customHeight="1">
      <c r="A53" s="112"/>
      <c r="B53" s="112"/>
      <c r="C53" s="412" t="str">
        <f t="array" ref="C53">IFERROR(INDEX(#REF!,MATCH($B53,Fornecedores!$B$8:$B$200,0)),"")</f>
        <v/>
      </c>
      <c r="D53" s="112"/>
      <c r="E53" s="112"/>
      <c r="F53" s="432"/>
      <c r="G53" s="433"/>
      <c r="H53" s="434" t="str">
        <f t="array" ref="H53">IFERROR(IF($A53="Medição",IFERROR(INDEX(#REF!,MATCH($B53,Fornecedores!$B$8:$B$200,0)),""),""),"")</f>
        <v/>
      </c>
      <c r="I53" s="435" t="str">
        <f t="shared" si="1"/>
        <v/>
      </c>
      <c r="J53" s="436"/>
      <c r="K53" s="437" t="str">
        <f t="array" ref="K53">IFERROR(IF($A53="Medição",IFERROR(INDEX(#REF!,MATCH($B53,Fornecedores!$B$8:$B$200,0)),0),""),"")</f>
        <v/>
      </c>
      <c r="L53" s="438" t="str">
        <f t="shared" si="2"/>
        <v/>
      </c>
      <c r="M53" s="439"/>
      <c r="N53" s="440" t="str">
        <f t="shared" si="3"/>
        <v/>
      </c>
      <c r="O53" s="432"/>
      <c r="P53" s="112"/>
      <c r="Q53" s="112"/>
      <c r="R53" s="112"/>
      <c r="S53" s="432"/>
      <c r="T53" s="112"/>
      <c r="U53" s="112"/>
      <c r="V53" s="112"/>
      <c r="W53" s="395"/>
      <c r="X53" s="395"/>
      <c r="Y53" s="395"/>
      <c r="Z53" s="395"/>
      <c r="AA53" s="395"/>
    </row>
    <row r="54" ht="15.75" customHeight="1">
      <c r="A54" s="112"/>
      <c r="B54" s="112"/>
      <c r="C54" s="412" t="str">
        <f t="array" ref="C54">IFERROR(INDEX(#REF!,MATCH($B54,Fornecedores!$B$8:$B$200,0)),"")</f>
        <v/>
      </c>
      <c r="D54" s="112"/>
      <c r="E54" s="112"/>
      <c r="F54" s="432"/>
      <c r="G54" s="433"/>
      <c r="H54" s="434" t="str">
        <f t="array" ref="H54">IFERROR(IF($A54="Medição",IFERROR(INDEX(#REF!,MATCH($B54,Fornecedores!$B$8:$B$200,0)),""),""),"")</f>
        <v/>
      </c>
      <c r="I54" s="435" t="str">
        <f t="shared" si="1"/>
        <v/>
      </c>
      <c r="J54" s="436"/>
      <c r="K54" s="437" t="str">
        <f t="array" ref="K54">IFERROR(IF($A54="Medição",IFERROR(INDEX(#REF!,MATCH($B54,Fornecedores!$B$8:$B$200,0)),0),""),"")</f>
        <v/>
      </c>
      <c r="L54" s="438" t="str">
        <f t="shared" si="2"/>
        <v/>
      </c>
      <c r="M54" s="439"/>
      <c r="N54" s="440" t="str">
        <f t="shared" si="3"/>
        <v/>
      </c>
      <c r="O54" s="432"/>
      <c r="P54" s="112"/>
      <c r="Q54" s="112"/>
      <c r="R54" s="112"/>
      <c r="S54" s="432"/>
      <c r="T54" s="112"/>
      <c r="U54" s="112"/>
      <c r="V54" s="112"/>
      <c r="W54" s="395"/>
      <c r="X54" s="395"/>
      <c r="Y54" s="395"/>
      <c r="Z54" s="395"/>
      <c r="AA54" s="395"/>
    </row>
    <row r="55" ht="15.75" customHeight="1">
      <c r="A55" s="112"/>
      <c r="B55" s="112"/>
      <c r="C55" s="412" t="str">
        <f t="array" ref="C55">IFERROR(INDEX(#REF!,MATCH($B55,Fornecedores!$B$8:$B$200,0)),"")</f>
        <v/>
      </c>
      <c r="D55" s="112"/>
      <c r="E55" s="112"/>
      <c r="F55" s="432"/>
      <c r="G55" s="433"/>
      <c r="H55" s="434" t="str">
        <f t="array" ref="H55">IFERROR(IF($A55="Medição",IFERROR(INDEX(#REF!,MATCH($B55,Fornecedores!$B$8:$B$200,0)),""),""),"")</f>
        <v/>
      </c>
      <c r="I55" s="435" t="str">
        <f t="shared" si="1"/>
        <v/>
      </c>
      <c r="J55" s="436"/>
      <c r="K55" s="437" t="str">
        <f t="array" ref="K55">IFERROR(IF($A55="Medição",IFERROR(INDEX(#REF!,MATCH($B55,Fornecedores!$B$8:$B$200,0)),0),""),"")</f>
        <v/>
      </c>
      <c r="L55" s="438" t="str">
        <f t="shared" si="2"/>
        <v/>
      </c>
      <c r="M55" s="439"/>
      <c r="N55" s="440" t="str">
        <f t="shared" si="3"/>
        <v/>
      </c>
      <c r="O55" s="432"/>
      <c r="P55" s="112"/>
      <c r="Q55" s="112"/>
      <c r="R55" s="112"/>
      <c r="S55" s="432"/>
      <c r="T55" s="112"/>
      <c r="U55" s="112"/>
      <c r="V55" s="112"/>
      <c r="W55" s="395"/>
      <c r="X55" s="395"/>
      <c r="Y55" s="395"/>
      <c r="Z55" s="395"/>
      <c r="AA55" s="395"/>
    </row>
    <row r="56" ht="15.75" customHeight="1">
      <c r="A56" s="112"/>
      <c r="B56" s="112"/>
      <c r="C56" s="412" t="str">
        <f t="array" ref="C56">IFERROR(INDEX(#REF!,MATCH($B56,Fornecedores!$B$8:$B$200,0)),"")</f>
        <v/>
      </c>
      <c r="D56" s="112"/>
      <c r="E56" s="112"/>
      <c r="F56" s="432"/>
      <c r="G56" s="433"/>
      <c r="H56" s="434" t="str">
        <f t="array" ref="H56">IFERROR(IF($A56="Medição",IFERROR(INDEX(#REF!,MATCH($B56,Fornecedores!$B$8:$B$200,0)),""),""),"")</f>
        <v/>
      </c>
      <c r="I56" s="435" t="str">
        <f t="shared" si="1"/>
        <v/>
      </c>
      <c r="J56" s="436"/>
      <c r="K56" s="437" t="str">
        <f t="array" ref="K56">IFERROR(IF($A56="Medição",IFERROR(INDEX(#REF!,MATCH($B56,Fornecedores!$B$8:$B$200,0)),0),""),"")</f>
        <v/>
      </c>
      <c r="L56" s="438" t="str">
        <f t="shared" si="2"/>
        <v/>
      </c>
      <c r="M56" s="439"/>
      <c r="N56" s="440" t="str">
        <f t="shared" si="3"/>
        <v/>
      </c>
      <c r="O56" s="432"/>
      <c r="P56" s="112"/>
      <c r="Q56" s="112"/>
      <c r="R56" s="112"/>
      <c r="S56" s="432"/>
      <c r="T56" s="112"/>
      <c r="U56" s="112"/>
      <c r="V56" s="112"/>
      <c r="W56" s="395"/>
      <c r="X56" s="395"/>
      <c r="Y56" s="395"/>
      <c r="Z56" s="395"/>
      <c r="AA56" s="395"/>
    </row>
    <row r="57" ht="15.75" customHeight="1">
      <c r="A57" s="112"/>
      <c r="B57" s="112"/>
      <c r="C57" s="412" t="str">
        <f t="array" ref="C57">IFERROR(INDEX(#REF!,MATCH($B57,Fornecedores!$B$8:$B$200,0)),"")</f>
        <v/>
      </c>
      <c r="D57" s="112"/>
      <c r="E57" s="112"/>
      <c r="F57" s="432"/>
      <c r="G57" s="433"/>
      <c r="H57" s="434" t="str">
        <f t="array" ref="H57">IFERROR(IF($A57="Medição",IFERROR(INDEX(#REF!,MATCH($B57,Fornecedores!$B$8:$B$200,0)),""),""),"")</f>
        <v/>
      </c>
      <c r="I57" s="435" t="str">
        <f t="shared" si="1"/>
        <v/>
      </c>
      <c r="J57" s="436"/>
      <c r="K57" s="437" t="str">
        <f t="array" ref="K57">IFERROR(IF($A57="Medição",IFERROR(INDEX(#REF!,MATCH($B57,Fornecedores!$B$8:$B$200,0)),0),""),"")</f>
        <v/>
      </c>
      <c r="L57" s="438" t="str">
        <f t="shared" si="2"/>
        <v/>
      </c>
      <c r="M57" s="439"/>
      <c r="N57" s="440" t="str">
        <f t="shared" si="3"/>
        <v/>
      </c>
      <c r="O57" s="432"/>
      <c r="P57" s="112"/>
      <c r="Q57" s="112"/>
      <c r="R57" s="112"/>
      <c r="S57" s="432"/>
      <c r="T57" s="112"/>
      <c r="U57" s="112"/>
      <c r="V57" s="112"/>
      <c r="W57" s="395"/>
      <c r="X57" s="395"/>
      <c r="Y57" s="395"/>
      <c r="Z57" s="395"/>
      <c r="AA57" s="395"/>
    </row>
    <row r="58" ht="15.75" customHeight="1">
      <c r="A58" s="112"/>
      <c r="B58" s="112"/>
      <c r="C58" s="412" t="str">
        <f t="array" ref="C58">IFERROR(INDEX(#REF!,MATCH($B58,Fornecedores!$B$8:$B$200,0)),"")</f>
        <v/>
      </c>
      <c r="D58" s="112"/>
      <c r="E58" s="112"/>
      <c r="F58" s="432"/>
      <c r="G58" s="433"/>
      <c r="H58" s="434" t="str">
        <f t="array" ref="H58">IFERROR(IF($A58="Medição",IFERROR(INDEX(#REF!,MATCH($B58,Fornecedores!$B$8:$B$200,0)),""),""),"")</f>
        <v/>
      </c>
      <c r="I58" s="435" t="str">
        <f t="shared" si="1"/>
        <v/>
      </c>
      <c r="J58" s="436"/>
      <c r="K58" s="437" t="str">
        <f t="array" ref="K58">IFERROR(IF($A58="Medição",IFERROR(INDEX(#REF!,MATCH($B58,Fornecedores!$B$8:$B$200,0)),0),""),"")</f>
        <v/>
      </c>
      <c r="L58" s="438" t="str">
        <f t="shared" si="2"/>
        <v/>
      </c>
      <c r="M58" s="439"/>
      <c r="N58" s="440" t="str">
        <f t="shared" si="3"/>
        <v/>
      </c>
      <c r="O58" s="432"/>
      <c r="P58" s="112"/>
      <c r="Q58" s="112"/>
      <c r="R58" s="112"/>
      <c r="S58" s="432"/>
      <c r="T58" s="112"/>
      <c r="U58" s="112"/>
      <c r="V58" s="112"/>
      <c r="W58" s="395"/>
      <c r="X58" s="395"/>
      <c r="Y58" s="395"/>
      <c r="Z58" s="395"/>
      <c r="AA58" s="395"/>
    </row>
    <row r="59" ht="15.75" customHeight="1">
      <c r="A59" s="112"/>
      <c r="B59" s="112"/>
      <c r="C59" s="412" t="str">
        <f t="array" ref="C59">IFERROR(INDEX(#REF!,MATCH($B59,Fornecedores!$B$8:$B$200,0)),"")</f>
        <v/>
      </c>
      <c r="D59" s="112"/>
      <c r="E59" s="112"/>
      <c r="F59" s="432"/>
      <c r="G59" s="433"/>
      <c r="H59" s="434" t="str">
        <f t="array" ref="H59">IFERROR(IF($A59="Medição",IFERROR(INDEX(#REF!,MATCH($B59,Fornecedores!$B$8:$B$200,0)),""),""),"")</f>
        <v/>
      </c>
      <c r="I59" s="435" t="str">
        <f t="shared" si="1"/>
        <v/>
      </c>
      <c r="J59" s="436"/>
      <c r="K59" s="437" t="str">
        <f t="array" ref="K59">IFERROR(IF($A59="Medição",IFERROR(INDEX(#REF!,MATCH($B59,Fornecedores!$B$8:$B$200,0)),0),""),"")</f>
        <v/>
      </c>
      <c r="L59" s="438" t="str">
        <f t="shared" si="2"/>
        <v/>
      </c>
      <c r="M59" s="439"/>
      <c r="N59" s="440" t="str">
        <f t="shared" si="3"/>
        <v/>
      </c>
      <c r="O59" s="432"/>
      <c r="P59" s="112"/>
      <c r="Q59" s="112"/>
      <c r="R59" s="112"/>
      <c r="S59" s="432"/>
      <c r="T59" s="112"/>
      <c r="U59" s="112"/>
      <c r="V59" s="112"/>
      <c r="W59" s="395"/>
      <c r="X59" s="395"/>
      <c r="Y59" s="395"/>
      <c r="Z59" s="395"/>
      <c r="AA59" s="395"/>
    </row>
    <row r="60" ht="15.75" customHeight="1">
      <c r="A60" s="112"/>
      <c r="B60" s="112"/>
      <c r="C60" s="412" t="str">
        <f t="array" ref="C60">IFERROR(INDEX(#REF!,MATCH($B60,Fornecedores!$B$8:$B$200,0)),"")</f>
        <v/>
      </c>
      <c r="D60" s="112"/>
      <c r="E60" s="112"/>
      <c r="F60" s="432"/>
      <c r="G60" s="433"/>
      <c r="H60" s="434" t="str">
        <f t="array" ref="H60">IFERROR(IF($A60="Medição",IFERROR(INDEX(#REF!,MATCH($B60,Fornecedores!$B$8:$B$200,0)),""),""),"")</f>
        <v/>
      </c>
      <c r="I60" s="435" t="str">
        <f t="shared" si="1"/>
        <v/>
      </c>
      <c r="J60" s="436"/>
      <c r="K60" s="437" t="str">
        <f t="array" ref="K60">IFERROR(IF($A60="Medição",IFERROR(INDEX(#REF!,MATCH($B60,Fornecedores!$B$8:$B$200,0)),0),""),"")</f>
        <v/>
      </c>
      <c r="L60" s="438" t="str">
        <f t="shared" si="2"/>
        <v/>
      </c>
      <c r="M60" s="439"/>
      <c r="N60" s="440" t="str">
        <f t="shared" si="3"/>
        <v/>
      </c>
      <c r="O60" s="432"/>
      <c r="P60" s="112"/>
      <c r="Q60" s="112"/>
      <c r="R60" s="112"/>
      <c r="S60" s="432"/>
      <c r="T60" s="112"/>
      <c r="U60" s="112"/>
      <c r="V60" s="112"/>
      <c r="W60" s="395"/>
      <c r="X60" s="395"/>
      <c r="Y60" s="395"/>
      <c r="Z60" s="395"/>
      <c r="AA60" s="395"/>
    </row>
    <row r="61" ht="15.75" customHeight="1">
      <c r="A61" s="112"/>
      <c r="B61" s="112"/>
      <c r="C61" s="412" t="str">
        <f t="array" ref="C61">IFERROR(INDEX(#REF!,MATCH($B61,Fornecedores!$B$8:$B$200,0)),"")</f>
        <v/>
      </c>
      <c r="D61" s="112"/>
      <c r="E61" s="112"/>
      <c r="F61" s="432"/>
      <c r="G61" s="433"/>
      <c r="H61" s="434" t="str">
        <f t="array" ref="H61">IFERROR(IF($A61="Medição",IFERROR(INDEX(#REF!,MATCH($B61,Fornecedores!$B$8:$B$200,0)),""),""),"")</f>
        <v/>
      </c>
      <c r="I61" s="435" t="str">
        <f t="shared" si="1"/>
        <v/>
      </c>
      <c r="J61" s="436"/>
      <c r="K61" s="437" t="str">
        <f t="array" ref="K61">IFERROR(IF($A61="Medição",IFERROR(INDEX(#REF!,MATCH($B61,Fornecedores!$B$8:$B$200,0)),0),""),"")</f>
        <v/>
      </c>
      <c r="L61" s="438" t="str">
        <f t="shared" si="2"/>
        <v/>
      </c>
      <c r="M61" s="439"/>
      <c r="N61" s="440" t="str">
        <f t="shared" si="3"/>
        <v/>
      </c>
      <c r="O61" s="432"/>
      <c r="P61" s="112"/>
      <c r="Q61" s="112"/>
      <c r="R61" s="112"/>
      <c r="S61" s="432"/>
      <c r="T61" s="112"/>
      <c r="U61" s="112"/>
      <c r="V61" s="112"/>
      <c r="W61" s="395"/>
      <c r="X61" s="395"/>
      <c r="Y61" s="395"/>
      <c r="Z61" s="395"/>
      <c r="AA61" s="395"/>
    </row>
    <row r="62" ht="15.75" customHeight="1">
      <c r="A62" s="112"/>
      <c r="B62" s="112"/>
      <c r="C62" s="412" t="str">
        <f t="array" ref="C62">IFERROR(INDEX(#REF!,MATCH($B62,Fornecedores!$B$8:$B$200,0)),"")</f>
        <v/>
      </c>
      <c r="D62" s="112"/>
      <c r="E62" s="112"/>
      <c r="F62" s="432"/>
      <c r="G62" s="433"/>
      <c r="H62" s="434" t="str">
        <f t="array" ref="H62">IFERROR(IF($A62="Medição",IFERROR(INDEX(#REF!,MATCH($B62,Fornecedores!$B$8:$B$200,0)),""),""),"")</f>
        <v/>
      </c>
      <c r="I62" s="435" t="str">
        <f t="shared" si="1"/>
        <v/>
      </c>
      <c r="J62" s="436"/>
      <c r="K62" s="437" t="str">
        <f t="array" ref="K62">IFERROR(IF($A62="Medição",IFERROR(INDEX(#REF!,MATCH($B62,Fornecedores!$B$8:$B$200,0)),0),""),"")</f>
        <v/>
      </c>
      <c r="L62" s="438" t="str">
        <f t="shared" si="2"/>
        <v/>
      </c>
      <c r="M62" s="439"/>
      <c r="N62" s="440" t="str">
        <f t="shared" si="3"/>
        <v/>
      </c>
      <c r="O62" s="432"/>
      <c r="P62" s="112"/>
      <c r="Q62" s="112"/>
      <c r="R62" s="112"/>
      <c r="S62" s="432"/>
      <c r="T62" s="112"/>
      <c r="U62" s="112"/>
      <c r="V62" s="112"/>
      <c r="W62" s="395"/>
      <c r="X62" s="395"/>
      <c r="Y62" s="395"/>
      <c r="Z62" s="395"/>
      <c r="AA62" s="395"/>
    </row>
    <row r="63" ht="15.75" customHeight="1">
      <c r="A63" s="112"/>
      <c r="B63" s="112"/>
      <c r="C63" s="412" t="str">
        <f t="array" ref="C63">IFERROR(INDEX(#REF!,MATCH($B63,Fornecedores!$B$8:$B$200,0)),"")</f>
        <v/>
      </c>
      <c r="D63" s="112"/>
      <c r="E63" s="112"/>
      <c r="F63" s="432"/>
      <c r="G63" s="433"/>
      <c r="H63" s="434" t="str">
        <f t="array" ref="H63">IFERROR(IF($A63="Medição",IFERROR(INDEX(#REF!,MATCH($B63,Fornecedores!$B$8:$B$200,0)),""),""),"")</f>
        <v/>
      </c>
      <c r="I63" s="435" t="str">
        <f t="shared" si="1"/>
        <v/>
      </c>
      <c r="J63" s="436"/>
      <c r="K63" s="437" t="str">
        <f t="array" ref="K63">IFERROR(IF($A63="Medição",IFERROR(INDEX(#REF!,MATCH($B63,Fornecedores!$B$8:$B$200,0)),0),""),"")</f>
        <v/>
      </c>
      <c r="L63" s="438" t="str">
        <f t="shared" si="2"/>
        <v/>
      </c>
      <c r="M63" s="439"/>
      <c r="N63" s="440" t="str">
        <f t="shared" si="3"/>
        <v/>
      </c>
      <c r="O63" s="432"/>
      <c r="P63" s="112"/>
      <c r="Q63" s="112"/>
      <c r="R63" s="112"/>
      <c r="S63" s="432"/>
      <c r="T63" s="112"/>
      <c r="U63" s="112"/>
      <c r="V63" s="112"/>
      <c r="W63" s="395"/>
      <c r="X63" s="395"/>
      <c r="Y63" s="395"/>
      <c r="Z63" s="395"/>
      <c r="AA63" s="395"/>
    </row>
    <row r="64" ht="15.75" customHeight="1">
      <c r="A64" s="112"/>
      <c r="B64" s="112"/>
      <c r="C64" s="412" t="str">
        <f t="array" ref="C64">IFERROR(INDEX(#REF!,MATCH($B64,Fornecedores!$B$8:$B$200,0)),"")</f>
        <v/>
      </c>
      <c r="D64" s="112"/>
      <c r="E64" s="112"/>
      <c r="F64" s="432"/>
      <c r="G64" s="433"/>
      <c r="H64" s="434" t="str">
        <f t="array" ref="H64">IFERROR(IF($A64="Medição",IFERROR(INDEX(#REF!,MATCH($B64,Fornecedores!$B$8:$B$200,0)),""),""),"")</f>
        <v/>
      </c>
      <c r="I64" s="435" t="str">
        <f t="shared" si="1"/>
        <v/>
      </c>
      <c r="J64" s="436"/>
      <c r="K64" s="437" t="str">
        <f t="array" ref="K64">IFERROR(IF($A64="Medição",IFERROR(INDEX(#REF!,MATCH($B64,Fornecedores!$B$8:$B$200,0)),0),""),"")</f>
        <v/>
      </c>
      <c r="L64" s="438" t="str">
        <f t="shared" si="2"/>
        <v/>
      </c>
      <c r="M64" s="439"/>
      <c r="N64" s="440" t="str">
        <f t="shared" si="3"/>
        <v/>
      </c>
      <c r="O64" s="432"/>
      <c r="P64" s="112"/>
      <c r="Q64" s="112"/>
      <c r="R64" s="112"/>
      <c r="S64" s="432"/>
      <c r="T64" s="112"/>
      <c r="U64" s="112"/>
      <c r="V64" s="112"/>
      <c r="W64" s="395"/>
      <c r="X64" s="395"/>
      <c r="Y64" s="395"/>
      <c r="Z64" s="395"/>
      <c r="AA64" s="395"/>
    </row>
    <row r="65" ht="15.75" customHeight="1">
      <c r="A65" s="112"/>
      <c r="B65" s="112"/>
      <c r="C65" s="412" t="str">
        <f t="array" ref="C65">IFERROR(INDEX(#REF!,MATCH($B65,Fornecedores!$B$8:$B$200,0)),"")</f>
        <v/>
      </c>
      <c r="D65" s="112"/>
      <c r="E65" s="112"/>
      <c r="F65" s="432"/>
      <c r="G65" s="433"/>
      <c r="H65" s="434" t="str">
        <f t="array" ref="H65">IFERROR(IF($A65="Medição",IFERROR(INDEX(#REF!,MATCH($B65,Fornecedores!$B$8:$B$200,0)),""),""),"")</f>
        <v/>
      </c>
      <c r="I65" s="435" t="str">
        <f t="shared" si="1"/>
        <v/>
      </c>
      <c r="J65" s="436"/>
      <c r="K65" s="437" t="str">
        <f t="array" ref="K65">IFERROR(IF($A65="Medição",IFERROR(INDEX(#REF!,MATCH($B65,Fornecedores!$B$8:$B$200,0)),0),""),"")</f>
        <v/>
      </c>
      <c r="L65" s="438" t="str">
        <f t="shared" si="2"/>
        <v/>
      </c>
      <c r="M65" s="439"/>
      <c r="N65" s="440" t="str">
        <f t="shared" si="3"/>
        <v/>
      </c>
      <c r="O65" s="432"/>
      <c r="P65" s="112"/>
      <c r="Q65" s="112"/>
      <c r="R65" s="112"/>
      <c r="S65" s="432"/>
      <c r="T65" s="112"/>
      <c r="U65" s="112"/>
      <c r="V65" s="112"/>
      <c r="W65" s="395"/>
      <c r="X65" s="395"/>
      <c r="Y65" s="395"/>
      <c r="Z65" s="395"/>
      <c r="AA65" s="395"/>
    </row>
    <row r="66" ht="15.75" customHeight="1">
      <c r="A66" s="112"/>
      <c r="B66" s="112"/>
      <c r="C66" s="412" t="str">
        <f t="array" ref="C66">IFERROR(INDEX(#REF!,MATCH($B66,Fornecedores!$B$8:$B$200,0)),"")</f>
        <v/>
      </c>
      <c r="D66" s="112"/>
      <c r="E66" s="112"/>
      <c r="F66" s="432"/>
      <c r="G66" s="433"/>
      <c r="H66" s="434" t="str">
        <f t="array" ref="H66">IFERROR(IF($A66="Medição",IFERROR(INDEX(#REF!,MATCH($B66,Fornecedores!$B$8:$B$200,0)),""),""),"")</f>
        <v/>
      </c>
      <c r="I66" s="435" t="str">
        <f t="shared" si="1"/>
        <v/>
      </c>
      <c r="J66" s="436"/>
      <c r="K66" s="437" t="str">
        <f t="array" ref="K66">IFERROR(IF($A66="Medição",IFERROR(INDEX(#REF!,MATCH($B66,Fornecedores!$B$8:$B$200,0)),0),""),"")</f>
        <v/>
      </c>
      <c r="L66" s="438" t="str">
        <f t="shared" si="2"/>
        <v/>
      </c>
      <c r="M66" s="439"/>
      <c r="N66" s="440" t="str">
        <f t="shared" si="3"/>
        <v/>
      </c>
      <c r="O66" s="432"/>
      <c r="P66" s="112"/>
      <c r="Q66" s="112"/>
      <c r="R66" s="112"/>
      <c r="S66" s="432"/>
      <c r="T66" s="112"/>
      <c r="U66" s="112"/>
      <c r="V66" s="112"/>
      <c r="W66" s="395"/>
      <c r="X66" s="395"/>
      <c r="Y66" s="395"/>
      <c r="Z66" s="395"/>
      <c r="AA66" s="395"/>
    </row>
    <row r="67" ht="15.75" customHeight="1">
      <c r="A67" s="112"/>
      <c r="B67" s="112"/>
      <c r="C67" s="412" t="str">
        <f t="array" ref="C67">IFERROR(INDEX(#REF!,MATCH($B67,Fornecedores!$B$8:$B$200,0)),"")</f>
        <v/>
      </c>
      <c r="D67" s="112"/>
      <c r="E67" s="112"/>
      <c r="F67" s="432"/>
      <c r="G67" s="433"/>
      <c r="H67" s="434" t="str">
        <f t="array" ref="H67">IFERROR(IF($A67="Medição",IFERROR(INDEX(#REF!,MATCH($B67,Fornecedores!$B$8:$B$200,0)),""),""),"")</f>
        <v/>
      </c>
      <c r="I67" s="435" t="str">
        <f t="shared" si="1"/>
        <v/>
      </c>
      <c r="J67" s="436"/>
      <c r="K67" s="437" t="str">
        <f t="array" ref="K67">IFERROR(IF($A67="Medição",IFERROR(INDEX(#REF!,MATCH($B67,Fornecedores!$B$8:$B$200,0)),0),""),"")</f>
        <v/>
      </c>
      <c r="L67" s="438" t="str">
        <f t="shared" si="2"/>
        <v/>
      </c>
      <c r="M67" s="439"/>
      <c r="N67" s="440" t="str">
        <f t="shared" si="3"/>
        <v/>
      </c>
      <c r="O67" s="432"/>
      <c r="P67" s="112"/>
      <c r="Q67" s="112"/>
      <c r="R67" s="112"/>
      <c r="S67" s="432"/>
      <c r="T67" s="112"/>
      <c r="U67" s="112"/>
      <c r="V67" s="112"/>
      <c r="W67" s="395"/>
      <c r="X67" s="395"/>
      <c r="Y67" s="395"/>
      <c r="Z67" s="395"/>
      <c r="AA67" s="395"/>
    </row>
    <row r="68" ht="15.75" customHeight="1">
      <c r="A68" s="112"/>
      <c r="B68" s="112"/>
      <c r="C68" s="412" t="str">
        <f t="array" ref="C68">IFERROR(INDEX(#REF!,MATCH($B68,Fornecedores!$B$8:$B$200,0)),"")</f>
        <v/>
      </c>
      <c r="D68" s="112"/>
      <c r="E68" s="112"/>
      <c r="F68" s="432"/>
      <c r="G68" s="433"/>
      <c r="H68" s="434" t="str">
        <f t="array" ref="H68">IFERROR(IF($A68="Medição",IFERROR(INDEX(#REF!,MATCH($B68,Fornecedores!$B$8:$B$200,0)),""),""),"")</f>
        <v/>
      </c>
      <c r="I68" s="435" t="str">
        <f t="shared" si="1"/>
        <v/>
      </c>
      <c r="J68" s="436"/>
      <c r="K68" s="437" t="str">
        <f t="array" ref="K68">IFERROR(IF($A68="Medição",IFERROR(INDEX(#REF!,MATCH($B68,Fornecedores!$B$8:$B$200,0)),0),""),"")</f>
        <v/>
      </c>
      <c r="L68" s="438" t="str">
        <f t="shared" si="2"/>
        <v/>
      </c>
      <c r="M68" s="439"/>
      <c r="N68" s="440" t="str">
        <f t="shared" si="3"/>
        <v/>
      </c>
      <c r="O68" s="432"/>
      <c r="P68" s="112"/>
      <c r="Q68" s="112"/>
      <c r="R68" s="112"/>
      <c r="S68" s="432"/>
      <c r="T68" s="112"/>
      <c r="U68" s="112"/>
      <c r="V68" s="112"/>
      <c r="W68" s="395"/>
      <c r="X68" s="395"/>
      <c r="Y68" s="395"/>
      <c r="Z68" s="395"/>
      <c r="AA68" s="395"/>
    </row>
    <row r="69" ht="15.75" customHeight="1">
      <c r="A69" s="112"/>
      <c r="B69" s="112"/>
      <c r="C69" s="412" t="str">
        <f t="array" ref="C69">IFERROR(INDEX(#REF!,MATCH($B69,Fornecedores!$B$8:$B$200,0)),"")</f>
        <v/>
      </c>
      <c r="D69" s="112"/>
      <c r="E69" s="112"/>
      <c r="F69" s="432"/>
      <c r="G69" s="433"/>
      <c r="H69" s="434" t="str">
        <f t="array" ref="H69">IFERROR(IF($A69="Medição",IFERROR(INDEX(#REF!,MATCH($B69,Fornecedores!$B$8:$B$200,0)),""),""),"")</f>
        <v/>
      </c>
      <c r="I69" s="435" t="str">
        <f t="shared" si="1"/>
        <v/>
      </c>
      <c r="J69" s="436"/>
      <c r="K69" s="437" t="str">
        <f t="array" ref="K69">IFERROR(IF($A69="Medição",IFERROR(INDEX(#REF!,MATCH($B69,Fornecedores!$B$8:$B$200,0)),0),""),"")</f>
        <v/>
      </c>
      <c r="L69" s="438" t="str">
        <f t="shared" si="2"/>
        <v/>
      </c>
      <c r="M69" s="439"/>
      <c r="N69" s="440" t="str">
        <f t="shared" si="3"/>
        <v/>
      </c>
      <c r="O69" s="432"/>
      <c r="P69" s="112"/>
      <c r="Q69" s="112"/>
      <c r="R69" s="112"/>
      <c r="S69" s="432"/>
      <c r="T69" s="112"/>
      <c r="U69" s="112"/>
      <c r="V69" s="112"/>
      <c r="W69" s="395"/>
      <c r="X69" s="395"/>
      <c r="Y69" s="395"/>
      <c r="Z69" s="395"/>
      <c r="AA69" s="395"/>
    </row>
    <row r="70" ht="15.75" customHeight="1">
      <c r="A70" s="112"/>
      <c r="B70" s="112"/>
      <c r="C70" s="412" t="str">
        <f t="array" ref="C70">IFERROR(INDEX(#REF!,MATCH($B70,Fornecedores!$B$8:$B$200,0)),"")</f>
        <v/>
      </c>
      <c r="D70" s="112"/>
      <c r="E70" s="112"/>
      <c r="F70" s="432"/>
      <c r="G70" s="433"/>
      <c r="H70" s="434" t="str">
        <f t="array" ref="H70">IFERROR(IF($A70="Medição",IFERROR(INDEX(#REF!,MATCH($B70,Fornecedores!$B$8:$B$200,0)),""),""),"")</f>
        <v/>
      </c>
      <c r="I70" s="435" t="str">
        <f t="shared" si="1"/>
        <v/>
      </c>
      <c r="J70" s="436"/>
      <c r="K70" s="437" t="str">
        <f t="array" ref="K70">IFERROR(IF($A70="Medição",IFERROR(INDEX(#REF!,MATCH($B70,Fornecedores!$B$8:$B$200,0)),0),""),"")</f>
        <v/>
      </c>
      <c r="L70" s="438" t="str">
        <f t="shared" si="2"/>
        <v/>
      </c>
      <c r="M70" s="439"/>
      <c r="N70" s="440" t="str">
        <f t="shared" si="3"/>
        <v/>
      </c>
      <c r="O70" s="432"/>
      <c r="P70" s="112"/>
      <c r="Q70" s="112"/>
      <c r="R70" s="112"/>
      <c r="S70" s="432"/>
      <c r="T70" s="112"/>
      <c r="U70" s="112"/>
      <c r="V70" s="112"/>
      <c r="W70" s="395"/>
      <c r="X70" s="395"/>
      <c r="Y70" s="395"/>
      <c r="Z70" s="395"/>
      <c r="AA70" s="395"/>
    </row>
    <row r="71" ht="15.75" customHeight="1">
      <c r="A71" s="112"/>
      <c r="B71" s="112"/>
      <c r="C71" s="412" t="str">
        <f t="array" ref="C71">IFERROR(INDEX(#REF!,MATCH($B71,Fornecedores!$B$8:$B$200,0)),"")</f>
        <v/>
      </c>
      <c r="D71" s="112"/>
      <c r="E71" s="112"/>
      <c r="F71" s="432"/>
      <c r="G71" s="433"/>
      <c r="H71" s="434" t="str">
        <f t="array" ref="H71">IFERROR(IF($A71="Medição",IFERROR(INDEX(#REF!,MATCH($B71,Fornecedores!$B$8:$B$200,0)),""),""),"")</f>
        <v/>
      </c>
      <c r="I71" s="435" t="str">
        <f t="shared" si="1"/>
        <v/>
      </c>
      <c r="J71" s="436"/>
      <c r="K71" s="437" t="str">
        <f t="array" ref="K71">IFERROR(IF($A71="Medição",IFERROR(INDEX(#REF!,MATCH($B71,Fornecedores!$B$8:$B$200,0)),0),""),"")</f>
        <v/>
      </c>
      <c r="L71" s="438" t="str">
        <f t="shared" si="2"/>
        <v/>
      </c>
      <c r="M71" s="439"/>
      <c r="N71" s="440" t="str">
        <f t="shared" si="3"/>
        <v/>
      </c>
      <c r="O71" s="432"/>
      <c r="P71" s="112"/>
      <c r="Q71" s="112"/>
      <c r="R71" s="112"/>
      <c r="S71" s="432"/>
      <c r="T71" s="112"/>
      <c r="U71" s="112"/>
      <c r="V71" s="112"/>
      <c r="W71" s="395"/>
      <c r="X71" s="395"/>
      <c r="Y71" s="395"/>
      <c r="Z71" s="395"/>
      <c r="AA71" s="395"/>
    </row>
    <row r="72" ht="15.75" customHeight="1">
      <c r="A72" s="112"/>
      <c r="B72" s="112"/>
      <c r="C72" s="412" t="str">
        <f t="array" ref="C72">IFERROR(INDEX(#REF!,MATCH($B72,Fornecedores!$B$8:$B$200,0)),"")</f>
        <v/>
      </c>
      <c r="D72" s="112"/>
      <c r="E72" s="112"/>
      <c r="F72" s="432"/>
      <c r="G72" s="433"/>
      <c r="H72" s="434" t="str">
        <f t="array" ref="H72">IFERROR(IF($A72="Medição",IFERROR(INDEX(#REF!,MATCH($B72,Fornecedores!$B$8:$B$200,0)),""),""),"")</f>
        <v/>
      </c>
      <c r="I72" s="435" t="str">
        <f t="shared" si="1"/>
        <v/>
      </c>
      <c r="J72" s="436"/>
      <c r="K72" s="437" t="str">
        <f t="array" ref="K72">IFERROR(IF($A72="Medição",IFERROR(INDEX(#REF!,MATCH($B72,Fornecedores!$B$8:$B$200,0)),0),""),"")</f>
        <v/>
      </c>
      <c r="L72" s="438" t="str">
        <f t="shared" si="2"/>
        <v/>
      </c>
      <c r="M72" s="439"/>
      <c r="N72" s="440" t="str">
        <f t="shared" si="3"/>
        <v/>
      </c>
      <c r="O72" s="432"/>
      <c r="P72" s="112"/>
      <c r="Q72" s="112"/>
      <c r="R72" s="112"/>
      <c r="S72" s="432"/>
      <c r="T72" s="112"/>
      <c r="U72" s="112"/>
      <c r="V72" s="112"/>
      <c r="W72" s="395"/>
      <c r="X72" s="395"/>
      <c r="Y72" s="395"/>
      <c r="Z72" s="395"/>
      <c r="AA72" s="395"/>
    </row>
    <row r="73" ht="15.75" customHeight="1">
      <c r="A73" s="112"/>
      <c r="B73" s="112"/>
      <c r="C73" s="412" t="str">
        <f t="array" ref="C73">IFERROR(INDEX(#REF!,MATCH($B73,Fornecedores!$B$8:$B$200,0)),"")</f>
        <v/>
      </c>
      <c r="D73" s="112"/>
      <c r="E73" s="112"/>
      <c r="F73" s="432"/>
      <c r="G73" s="433"/>
      <c r="H73" s="434" t="str">
        <f t="array" ref="H73">IFERROR(IF($A73="Medição",IFERROR(INDEX(#REF!,MATCH($B73,Fornecedores!$B$8:$B$200,0)),""),""),"")</f>
        <v/>
      </c>
      <c r="I73" s="435" t="str">
        <f t="shared" si="1"/>
        <v/>
      </c>
      <c r="J73" s="436"/>
      <c r="K73" s="437" t="str">
        <f t="array" ref="K73">IFERROR(IF($A73="Medição",IFERROR(INDEX(#REF!,MATCH($B73,Fornecedores!$B$8:$B$200,0)),0),""),"")</f>
        <v/>
      </c>
      <c r="L73" s="438" t="str">
        <f t="shared" si="2"/>
        <v/>
      </c>
      <c r="M73" s="439"/>
      <c r="N73" s="440" t="str">
        <f t="shared" si="3"/>
        <v/>
      </c>
      <c r="O73" s="432"/>
      <c r="P73" s="112"/>
      <c r="Q73" s="112"/>
      <c r="R73" s="112"/>
      <c r="S73" s="432"/>
      <c r="T73" s="112"/>
      <c r="U73" s="112"/>
      <c r="V73" s="112"/>
      <c r="W73" s="395"/>
      <c r="X73" s="395"/>
      <c r="Y73" s="395"/>
      <c r="Z73" s="395"/>
      <c r="AA73" s="395"/>
    </row>
    <row r="74" ht="15.75" customHeight="1">
      <c r="A74" s="112"/>
      <c r="B74" s="112"/>
      <c r="C74" s="412" t="str">
        <f t="array" ref="C74">IFERROR(INDEX(#REF!,MATCH($B74,Fornecedores!$B$8:$B$200,0)),"")</f>
        <v/>
      </c>
      <c r="D74" s="112"/>
      <c r="E74" s="112"/>
      <c r="F74" s="432"/>
      <c r="G74" s="433"/>
      <c r="H74" s="434" t="str">
        <f t="array" ref="H74">IFERROR(IF($A74="Medição",IFERROR(INDEX(#REF!,MATCH($B74,Fornecedores!$B$8:$B$200,0)),""),""),"")</f>
        <v/>
      </c>
      <c r="I74" s="435" t="str">
        <f t="shared" si="1"/>
        <v/>
      </c>
      <c r="J74" s="436"/>
      <c r="K74" s="437" t="str">
        <f t="array" ref="K74">IFERROR(IF($A74="Medição",IFERROR(INDEX(#REF!,MATCH($B74,Fornecedores!$B$8:$B$200,0)),0),""),"")</f>
        <v/>
      </c>
      <c r="L74" s="438" t="str">
        <f t="shared" si="2"/>
        <v/>
      </c>
      <c r="M74" s="439"/>
      <c r="N74" s="440" t="str">
        <f t="shared" si="3"/>
        <v/>
      </c>
      <c r="O74" s="432"/>
      <c r="P74" s="112"/>
      <c r="Q74" s="112"/>
      <c r="R74" s="112"/>
      <c r="S74" s="432"/>
      <c r="T74" s="112"/>
      <c r="U74" s="112"/>
      <c r="V74" s="112"/>
      <c r="W74" s="395"/>
      <c r="X74" s="395"/>
      <c r="Y74" s="395"/>
      <c r="Z74" s="395"/>
      <c r="AA74" s="395"/>
    </row>
    <row r="75" ht="15.75" customHeight="1">
      <c r="A75" s="112"/>
      <c r="B75" s="112"/>
      <c r="C75" s="412" t="str">
        <f t="array" ref="C75">IFERROR(INDEX(#REF!,MATCH($B75,Fornecedores!$B$8:$B$200,0)),"")</f>
        <v/>
      </c>
      <c r="D75" s="112"/>
      <c r="E75" s="112"/>
      <c r="F75" s="432"/>
      <c r="G75" s="433"/>
      <c r="H75" s="434" t="str">
        <f t="array" ref="H75">IFERROR(IF($A75="Medição",IFERROR(INDEX(#REF!,MATCH($B75,Fornecedores!$B$8:$B$200,0)),""),""),"")</f>
        <v/>
      </c>
      <c r="I75" s="435" t="str">
        <f t="shared" si="1"/>
        <v/>
      </c>
      <c r="J75" s="436"/>
      <c r="K75" s="437" t="str">
        <f t="array" ref="K75">IFERROR(IF($A75="Medição",IFERROR(INDEX(#REF!,MATCH($B75,Fornecedores!$B$8:$B$200,0)),0),""),"")</f>
        <v/>
      </c>
      <c r="L75" s="438" t="str">
        <f t="shared" si="2"/>
        <v/>
      </c>
      <c r="M75" s="439"/>
      <c r="N75" s="440" t="str">
        <f t="shared" si="3"/>
        <v/>
      </c>
      <c r="O75" s="432"/>
      <c r="P75" s="112"/>
      <c r="Q75" s="112"/>
      <c r="R75" s="112"/>
      <c r="S75" s="432"/>
      <c r="T75" s="112"/>
      <c r="U75" s="112"/>
      <c r="V75" s="112"/>
      <c r="W75" s="395"/>
      <c r="X75" s="395"/>
      <c r="Y75" s="395"/>
      <c r="Z75" s="395"/>
      <c r="AA75" s="395"/>
    </row>
    <row r="76" ht="15.75" customHeight="1">
      <c r="A76" s="112"/>
      <c r="B76" s="112"/>
      <c r="C76" s="412" t="str">
        <f t="array" ref="C76">IFERROR(INDEX(#REF!,MATCH($B76,Fornecedores!$B$8:$B$200,0)),"")</f>
        <v/>
      </c>
      <c r="D76" s="112"/>
      <c r="E76" s="112"/>
      <c r="F76" s="432"/>
      <c r="G76" s="433"/>
      <c r="H76" s="434" t="str">
        <f t="array" ref="H76">IFERROR(IF($A76="Medição",IFERROR(INDEX(#REF!,MATCH($B76,Fornecedores!$B$8:$B$200,0)),""),""),"")</f>
        <v/>
      </c>
      <c r="I76" s="435" t="str">
        <f t="shared" si="1"/>
        <v/>
      </c>
      <c r="J76" s="436"/>
      <c r="K76" s="437" t="str">
        <f t="array" ref="K76">IFERROR(IF($A76="Medição",IFERROR(INDEX(#REF!,MATCH($B76,Fornecedores!$B$8:$B$200,0)),0),""),"")</f>
        <v/>
      </c>
      <c r="L76" s="438" t="str">
        <f t="shared" si="2"/>
        <v/>
      </c>
      <c r="M76" s="439"/>
      <c r="N76" s="440" t="str">
        <f t="shared" si="3"/>
        <v/>
      </c>
      <c r="O76" s="432"/>
      <c r="P76" s="112"/>
      <c r="Q76" s="112"/>
      <c r="R76" s="112"/>
      <c r="S76" s="432"/>
      <c r="T76" s="112"/>
      <c r="U76" s="112"/>
      <c r="V76" s="112"/>
      <c r="W76" s="395"/>
      <c r="X76" s="395"/>
      <c r="Y76" s="395"/>
      <c r="Z76" s="395"/>
      <c r="AA76" s="395"/>
    </row>
    <row r="77" ht="15.75" customHeight="1">
      <c r="A77" s="112"/>
      <c r="B77" s="112"/>
      <c r="C77" s="412" t="str">
        <f t="array" ref="C77">IFERROR(INDEX(#REF!,MATCH($B77,Fornecedores!$B$8:$B$200,0)),"")</f>
        <v/>
      </c>
      <c r="D77" s="112"/>
      <c r="E77" s="112"/>
      <c r="F77" s="432"/>
      <c r="G77" s="433"/>
      <c r="H77" s="434" t="str">
        <f t="array" ref="H77">IFERROR(IF($A77="Medição",IFERROR(INDEX(#REF!,MATCH($B77,Fornecedores!$B$8:$B$200,0)),""),""),"")</f>
        <v/>
      </c>
      <c r="I77" s="435" t="str">
        <f t="shared" si="1"/>
        <v/>
      </c>
      <c r="J77" s="436"/>
      <c r="K77" s="437" t="str">
        <f t="array" ref="K77">IFERROR(IF($A77="Medição",IFERROR(INDEX(#REF!,MATCH($B77,Fornecedores!$B$8:$B$200,0)),0),""),"")</f>
        <v/>
      </c>
      <c r="L77" s="438" t="str">
        <f t="shared" si="2"/>
        <v/>
      </c>
      <c r="M77" s="439"/>
      <c r="N77" s="440" t="str">
        <f t="shared" si="3"/>
        <v/>
      </c>
      <c r="O77" s="432"/>
      <c r="P77" s="112"/>
      <c r="Q77" s="112"/>
      <c r="R77" s="112"/>
      <c r="S77" s="432"/>
      <c r="T77" s="112"/>
      <c r="U77" s="112"/>
      <c r="V77" s="112"/>
      <c r="W77" s="395"/>
      <c r="X77" s="395"/>
      <c r="Y77" s="395"/>
      <c r="Z77" s="395"/>
      <c r="AA77" s="395"/>
    </row>
    <row r="78" ht="15.75" customHeight="1">
      <c r="A78" s="112"/>
      <c r="B78" s="112"/>
      <c r="C78" s="412" t="str">
        <f t="array" ref="C78">IFERROR(INDEX(#REF!,MATCH($B78,Fornecedores!$B$8:$B$200,0)),"")</f>
        <v/>
      </c>
      <c r="D78" s="112"/>
      <c r="E78" s="112"/>
      <c r="F78" s="432"/>
      <c r="G78" s="433"/>
      <c r="H78" s="434" t="str">
        <f t="array" ref="H78">IFERROR(IF($A78="Medição",IFERROR(INDEX(#REF!,MATCH($B78,Fornecedores!$B$8:$B$200,0)),""),""),"")</f>
        <v/>
      </c>
      <c r="I78" s="435" t="str">
        <f t="shared" si="1"/>
        <v/>
      </c>
      <c r="J78" s="436"/>
      <c r="K78" s="437" t="str">
        <f t="array" ref="K78">IFERROR(IF($A78="Medição",IFERROR(INDEX(#REF!,MATCH($B78,Fornecedores!$B$8:$B$200,0)),0),""),"")</f>
        <v/>
      </c>
      <c r="L78" s="438" t="str">
        <f t="shared" si="2"/>
        <v/>
      </c>
      <c r="M78" s="439"/>
      <c r="N78" s="440" t="str">
        <f t="shared" si="3"/>
        <v/>
      </c>
      <c r="O78" s="432"/>
      <c r="P78" s="112"/>
      <c r="Q78" s="112"/>
      <c r="R78" s="112"/>
      <c r="S78" s="432"/>
      <c r="T78" s="112"/>
      <c r="U78" s="112"/>
      <c r="V78" s="112"/>
      <c r="W78" s="395"/>
      <c r="X78" s="395"/>
      <c r="Y78" s="395"/>
      <c r="Z78" s="395"/>
      <c r="AA78" s="395"/>
    </row>
    <row r="79" ht="15.75" customHeight="1">
      <c r="A79" s="112"/>
      <c r="B79" s="112"/>
      <c r="C79" s="412" t="str">
        <f t="array" ref="C79">IFERROR(INDEX(#REF!,MATCH($B79,Fornecedores!$B$8:$B$200,0)),"")</f>
        <v/>
      </c>
      <c r="D79" s="112"/>
      <c r="E79" s="112"/>
      <c r="F79" s="432"/>
      <c r="G79" s="433"/>
      <c r="H79" s="434" t="str">
        <f t="array" ref="H79">IFERROR(IF($A79="Medição",IFERROR(INDEX(#REF!,MATCH($B79,Fornecedores!$B$8:$B$200,0)),""),""),"")</f>
        <v/>
      </c>
      <c r="I79" s="435" t="str">
        <f t="shared" si="1"/>
        <v/>
      </c>
      <c r="J79" s="436"/>
      <c r="K79" s="437" t="str">
        <f t="array" ref="K79">IFERROR(IF($A79="Medição",IFERROR(INDEX(#REF!,MATCH($B79,Fornecedores!$B$8:$B$200,0)),0),""),"")</f>
        <v/>
      </c>
      <c r="L79" s="438" t="str">
        <f t="shared" si="2"/>
        <v/>
      </c>
      <c r="M79" s="439"/>
      <c r="N79" s="440" t="str">
        <f t="shared" si="3"/>
        <v/>
      </c>
      <c r="O79" s="432"/>
      <c r="P79" s="112"/>
      <c r="Q79" s="112"/>
      <c r="R79" s="112"/>
      <c r="S79" s="432"/>
      <c r="T79" s="112"/>
      <c r="U79" s="112"/>
      <c r="V79" s="112"/>
      <c r="W79" s="395"/>
      <c r="X79" s="395"/>
      <c r="Y79" s="395"/>
      <c r="Z79" s="395"/>
      <c r="AA79" s="395"/>
    </row>
    <row r="80" ht="15.75" customHeight="1">
      <c r="A80" s="112"/>
      <c r="B80" s="112"/>
      <c r="C80" s="412" t="str">
        <f t="array" ref="C80">IFERROR(INDEX(#REF!,MATCH($B80,Fornecedores!$B$8:$B$200,0)),"")</f>
        <v/>
      </c>
      <c r="D80" s="112"/>
      <c r="E80" s="112"/>
      <c r="F80" s="432"/>
      <c r="G80" s="433"/>
      <c r="H80" s="434" t="str">
        <f t="array" ref="H80">IFERROR(IF($A80="Medição",IFERROR(INDEX(#REF!,MATCH($B80,Fornecedores!$B$8:$B$200,0)),""),""),"")</f>
        <v/>
      </c>
      <c r="I80" s="435" t="str">
        <f t="shared" si="1"/>
        <v/>
      </c>
      <c r="J80" s="436"/>
      <c r="K80" s="437" t="str">
        <f t="array" ref="K80">IFERROR(IF($A80="Medição",IFERROR(INDEX(#REF!,MATCH($B80,Fornecedores!$B$8:$B$200,0)),0),""),"")</f>
        <v/>
      </c>
      <c r="L80" s="438" t="str">
        <f t="shared" si="2"/>
        <v/>
      </c>
      <c r="M80" s="439"/>
      <c r="N80" s="440" t="str">
        <f t="shared" si="3"/>
        <v/>
      </c>
      <c r="O80" s="432"/>
      <c r="P80" s="112"/>
      <c r="Q80" s="112"/>
      <c r="R80" s="112"/>
      <c r="S80" s="432"/>
      <c r="T80" s="112"/>
      <c r="U80" s="112"/>
      <c r="V80" s="112"/>
      <c r="W80" s="395"/>
      <c r="X80" s="395"/>
      <c r="Y80" s="395"/>
      <c r="Z80" s="395"/>
      <c r="AA80" s="395"/>
    </row>
    <row r="81" ht="15.75" customHeight="1">
      <c r="A81" s="112"/>
      <c r="B81" s="112"/>
      <c r="C81" s="412" t="str">
        <f t="array" ref="C81">IFERROR(INDEX(#REF!,MATCH($B81,Fornecedores!$B$8:$B$200,0)),"")</f>
        <v/>
      </c>
      <c r="D81" s="112"/>
      <c r="E81" s="112"/>
      <c r="F81" s="432"/>
      <c r="G81" s="433"/>
      <c r="H81" s="434" t="str">
        <f t="array" ref="H81">IFERROR(IF($A81="Medição",IFERROR(INDEX(#REF!,MATCH($B81,Fornecedores!$B$8:$B$200,0)),""),""),"")</f>
        <v/>
      </c>
      <c r="I81" s="435" t="str">
        <f t="shared" si="1"/>
        <v/>
      </c>
      <c r="J81" s="436"/>
      <c r="K81" s="437" t="str">
        <f t="array" ref="K81">IFERROR(IF($A81="Medição",IFERROR(INDEX(#REF!,MATCH($B81,Fornecedores!$B$8:$B$200,0)),0),""),"")</f>
        <v/>
      </c>
      <c r="L81" s="438" t="str">
        <f t="shared" si="2"/>
        <v/>
      </c>
      <c r="M81" s="439"/>
      <c r="N81" s="440" t="str">
        <f t="shared" si="3"/>
        <v/>
      </c>
      <c r="O81" s="432"/>
      <c r="P81" s="112"/>
      <c r="Q81" s="112"/>
      <c r="R81" s="112"/>
      <c r="S81" s="432"/>
      <c r="T81" s="112"/>
      <c r="U81" s="112"/>
      <c r="V81" s="112"/>
      <c r="W81" s="395"/>
      <c r="X81" s="395"/>
      <c r="Y81" s="395"/>
      <c r="Z81" s="395"/>
      <c r="AA81" s="395"/>
    </row>
    <row r="82" ht="15.75" customHeight="1">
      <c r="A82" s="112"/>
      <c r="B82" s="112"/>
      <c r="C82" s="412" t="str">
        <f t="array" ref="C82">IFERROR(INDEX(#REF!,MATCH($B82,Fornecedores!$B$8:$B$200,0)),"")</f>
        <v/>
      </c>
      <c r="D82" s="112"/>
      <c r="E82" s="112"/>
      <c r="F82" s="432"/>
      <c r="G82" s="433"/>
      <c r="H82" s="434" t="str">
        <f t="array" ref="H82">IFERROR(IF($A82="Medição",IFERROR(INDEX(#REF!,MATCH($B82,Fornecedores!$B$8:$B$200,0)),""),""),"")</f>
        <v/>
      </c>
      <c r="I82" s="435" t="str">
        <f t="shared" si="1"/>
        <v/>
      </c>
      <c r="J82" s="436"/>
      <c r="K82" s="437" t="str">
        <f t="array" ref="K82">IFERROR(IF($A82="Medição",IFERROR(INDEX(#REF!,MATCH($B82,Fornecedores!$B$8:$B$200,0)),0),""),"")</f>
        <v/>
      </c>
      <c r="L82" s="438" t="str">
        <f t="shared" si="2"/>
        <v/>
      </c>
      <c r="M82" s="439"/>
      <c r="N82" s="440" t="str">
        <f t="shared" si="3"/>
        <v/>
      </c>
      <c r="O82" s="432"/>
      <c r="P82" s="112"/>
      <c r="Q82" s="112"/>
      <c r="R82" s="112"/>
      <c r="S82" s="432"/>
      <c r="T82" s="112"/>
      <c r="U82" s="112"/>
      <c r="V82" s="112"/>
      <c r="W82" s="395"/>
      <c r="X82" s="395"/>
      <c r="Y82" s="395"/>
      <c r="Z82" s="395"/>
      <c r="AA82" s="395"/>
    </row>
    <row r="83" ht="15.75" customHeight="1">
      <c r="A83" s="112"/>
      <c r="B83" s="112"/>
      <c r="C83" s="412" t="str">
        <f t="array" ref="C83">IFERROR(INDEX(#REF!,MATCH($B83,Fornecedores!$B$8:$B$200,0)),"")</f>
        <v/>
      </c>
      <c r="D83" s="112"/>
      <c r="E83" s="112"/>
      <c r="F83" s="432"/>
      <c r="G83" s="433"/>
      <c r="H83" s="434" t="str">
        <f t="array" ref="H83">IFERROR(IF($A83="Medição",IFERROR(INDEX(#REF!,MATCH($B83,Fornecedores!$B$8:$B$200,0)),""),""),"")</f>
        <v/>
      </c>
      <c r="I83" s="435" t="str">
        <f t="shared" si="1"/>
        <v/>
      </c>
      <c r="J83" s="436"/>
      <c r="K83" s="437" t="str">
        <f t="array" ref="K83">IFERROR(IF($A83="Medição",IFERROR(INDEX(#REF!,MATCH($B83,Fornecedores!$B$8:$B$200,0)),0),""),"")</f>
        <v/>
      </c>
      <c r="L83" s="438" t="str">
        <f t="shared" si="2"/>
        <v/>
      </c>
      <c r="M83" s="439"/>
      <c r="N83" s="440" t="str">
        <f t="shared" si="3"/>
        <v/>
      </c>
      <c r="O83" s="432"/>
      <c r="P83" s="112"/>
      <c r="Q83" s="112"/>
      <c r="R83" s="112"/>
      <c r="S83" s="432"/>
      <c r="T83" s="112"/>
      <c r="U83" s="112"/>
      <c r="V83" s="112"/>
      <c r="W83" s="395"/>
      <c r="X83" s="395"/>
      <c r="Y83" s="395"/>
      <c r="Z83" s="395"/>
      <c r="AA83" s="395"/>
    </row>
    <row r="84" ht="15.75" customHeight="1">
      <c r="A84" s="112"/>
      <c r="B84" s="112"/>
      <c r="C84" s="412" t="str">
        <f t="array" ref="C84">IFERROR(INDEX(#REF!,MATCH($B84,Fornecedores!$B$8:$B$200,0)),"")</f>
        <v/>
      </c>
      <c r="D84" s="112"/>
      <c r="E84" s="112"/>
      <c r="F84" s="432"/>
      <c r="G84" s="433"/>
      <c r="H84" s="434" t="str">
        <f t="array" ref="H84">IFERROR(IF($A84="Medição",IFERROR(INDEX(#REF!,MATCH($B84,Fornecedores!$B$8:$B$200,0)),""),""),"")</f>
        <v/>
      </c>
      <c r="I84" s="435" t="str">
        <f t="shared" si="1"/>
        <v/>
      </c>
      <c r="J84" s="436"/>
      <c r="K84" s="437" t="str">
        <f t="array" ref="K84">IFERROR(IF($A84="Medição",IFERROR(INDEX(#REF!,MATCH($B84,Fornecedores!$B$8:$B$200,0)),0),""),"")</f>
        <v/>
      </c>
      <c r="L84" s="438" t="str">
        <f t="shared" si="2"/>
        <v/>
      </c>
      <c r="M84" s="439"/>
      <c r="N84" s="440" t="str">
        <f t="shared" si="3"/>
        <v/>
      </c>
      <c r="O84" s="432"/>
      <c r="P84" s="112"/>
      <c r="Q84" s="112"/>
      <c r="R84" s="112"/>
      <c r="S84" s="432"/>
      <c r="T84" s="112"/>
      <c r="U84" s="112"/>
      <c r="V84" s="112"/>
      <c r="W84" s="395"/>
      <c r="X84" s="395"/>
      <c r="Y84" s="395"/>
      <c r="Z84" s="395"/>
      <c r="AA84" s="395"/>
    </row>
    <row r="85" ht="15.75" customHeight="1">
      <c r="A85" s="112"/>
      <c r="B85" s="112"/>
      <c r="C85" s="412" t="str">
        <f t="array" ref="C85">IFERROR(INDEX(#REF!,MATCH($B85,Fornecedores!$B$8:$B$200,0)),"")</f>
        <v/>
      </c>
      <c r="D85" s="112"/>
      <c r="E85" s="112"/>
      <c r="F85" s="432"/>
      <c r="G85" s="433"/>
      <c r="H85" s="434" t="str">
        <f t="array" ref="H85">IFERROR(IF($A85="Medição",IFERROR(INDEX(#REF!,MATCH($B85,Fornecedores!$B$8:$B$200,0)),""),""),"")</f>
        <v/>
      </c>
      <c r="I85" s="435" t="str">
        <f t="shared" si="1"/>
        <v/>
      </c>
      <c r="J85" s="436"/>
      <c r="K85" s="437" t="str">
        <f t="array" ref="K85">IFERROR(IF($A85="Medição",IFERROR(INDEX(#REF!,MATCH($B85,Fornecedores!$B$8:$B$200,0)),0),""),"")</f>
        <v/>
      </c>
      <c r="L85" s="438" t="str">
        <f t="shared" si="2"/>
        <v/>
      </c>
      <c r="M85" s="439"/>
      <c r="N85" s="440" t="str">
        <f t="shared" si="3"/>
        <v/>
      </c>
      <c r="O85" s="432"/>
      <c r="P85" s="112"/>
      <c r="Q85" s="112"/>
      <c r="R85" s="112"/>
      <c r="S85" s="432"/>
      <c r="T85" s="112"/>
      <c r="U85" s="112"/>
      <c r="V85" s="112"/>
      <c r="W85" s="395"/>
      <c r="X85" s="395"/>
      <c r="Y85" s="395"/>
      <c r="Z85" s="395"/>
      <c r="AA85" s="395"/>
    </row>
    <row r="86" ht="15.75" customHeight="1">
      <c r="A86" s="112"/>
      <c r="B86" s="112"/>
      <c r="C86" s="412" t="str">
        <f t="array" ref="C86">IFERROR(INDEX(#REF!,MATCH($B86,Fornecedores!$B$8:$B$200,0)),"")</f>
        <v/>
      </c>
      <c r="D86" s="112"/>
      <c r="E86" s="112"/>
      <c r="F86" s="432"/>
      <c r="G86" s="433"/>
      <c r="H86" s="434" t="str">
        <f t="array" ref="H86">IFERROR(IF($A86="Medição",IFERROR(INDEX(#REF!,MATCH($B86,Fornecedores!$B$8:$B$200,0)),""),""),"")</f>
        <v/>
      </c>
      <c r="I86" s="435" t="str">
        <f t="shared" si="1"/>
        <v/>
      </c>
      <c r="J86" s="436"/>
      <c r="K86" s="437" t="str">
        <f t="array" ref="K86">IFERROR(IF($A86="Medição",IFERROR(INDEX(#REF!,MATCH($B86,Fornecedores!$B$8:$B$200,0)),0),""),"")</f>
        <v/>
      </c>
      <c r="L86" s="438" t="str">
        <f t="shared" si="2"/>
        <v/>
      </c>
      <c r="M86" s="439"/>
      <c r="N86" s="440" t="str">
        <f t="shared" si="3"/>
        <v/>
      </c>
      <c r="O86" s="432"/>
      <c r="P86" s="112"/>
      <c r="Q86" s="112"/>
      <c r="R86" s="112"/>
      <c r="S86" s="432"/>
      <c r="T86" s="112"/>
      <c r="U86" s="112"/>
      <c r="V86" s="112"/>
      <c r="W86" s="395"/>
      <c r="X86" s="395"/>
      <c r="Y86" s="395"/>
      <c r="Z86" s="395"/>
      <c r="AA86" s="395"/>
    </row>
    <row r="87" ht="15.75" customHeight="1">
      <c r="A87" s="112"/>
      <c r="B87" s="112"/>
      <c r="C87" s="412" t="str">
        <f t="array" ref="C87">IFERROR(INDEX(#REF!,MATCH($B87,Fornecedores!$B$8:$B$200,0)),"")</f>
        <v/>
      </c>
      <c r="D87" s="112"/>
      <c r="E87" s="112"/>
      <c r="F87" s="432"/>
      <c r="G87" s="433"/>
      <c r="H87" s="434" t="str">
        <f t="array" ref="H87">IFERROR(IF($A87="Medição",IFERROR(INDEX(#REF!,MATCH($B87,Fornecedores!$B$8:$B$200,0)),""),""),"")</f>
        <v/>
      </c>
      <c r="I87" s="435" t="str">
        <f t="shared" si="1"/>
        <v/>
      </c>
      <c r="J87" s="436"/>
      <c r="K87" s="437" t="str">
        <f t="array" ref="K87">IFERROR(IF($A87="Medição",IFERROR(INDEX(#REF!,MATCH($B87,Fornecedores!$B$8:$B$200,0)),0),""),"")</f>
        <v/>
      </c>
      <c r="L87" s="438" t="str">
        <f t="shared" si="2"/>
        <v/>
      </c>
      <c r="M87" s="439"/>
      <c r="N87" s="440" t="str">
        <f t="shared" si="3"/>
        <v/>
      </c>
      <c r="O87" s="432"/>
      <c r="P87" s="112"/>
      <c r="Q87" s="112"/>
      <c r="R87" s="112"/>
      <c r="S87" s="432"/>
      <c r="T87" s="112"/>
      <c r="U87" s="112"/>
      <c r="V87" s="112"/>
      <c r="W87" s="395"/>
      <c r="X87" s="395"/>
      <c r="Y87" s="395"/>
      <c r="Z87" s="395"/>
      <c r="AA87" s="395"/>
    </row>
    <row r="88" ht="15.75" customHeight="1">
      <c r="A88" s="112"/>
      <c r="B88" s="112"/>
      <c r="C88" s="412" t="str">
        <f t="array" ref="C88">IFERROR(INDEX(#REF!,MATCH($B88,Fornecedores!$B$8:$B$200,0)),"")</f>
        <v/>
      </c>
      <c r="D88" s="112"/>
      <c r="E88" s="112"/>
      <c r="F88" s="432"/>
      <c r="G88" s="433"/>
      <c r="H88" s="434" t="str">
        <f t="array" ref="H88">IFERROR(IF($A88="Medição",IFERROR(INDEX(#REF!,MATCH($B88,Fornecedores!$B$8:$B$200,0)),""),""),"")</f>
        <v/>
      </c>
      <c r="I88" s="435" t="str">
        <f t="shared" si="1"/>
        <v/>
      </c>
      <c r="J88" s="436"/>
      <c r="K88" s="437" t="str">
        <f t="array" ref="K88">IFERROR(IF($A88="Medição",IFERROR(INDEX(#REF!,MATCH($B88,Fornecedores!$B$8:$B$200,0)),0),""),"")</f>
        <v/>
      </c>
      <c r="L88" s="438" t="str">
        <f t="shared" si="2"/>
        <v/>
      </c>
      <c r="M88" s="439"/>
      <c r="N88" s="440" t="str">
        <f t="shared" si="3"/>
        <v/>
      </c>
      <c r="O88" s="432"/>
      <c r="P88" s="112"/>
      <c r="Q88" s="112"/>
      <c r="R88" s="112"/>
      <c r="S88" s="432"/>
      <c r="T88" s="112"/>
      <c r="U88" s="112"/>
      <c r="V88" s="112"/>
      <c r="W88" s="395"/>
      <c r="X88" s="395"/>
      <c r="Y88" s="395"/>
      <c r="Z88" s="395"/>
      <c r="AA88" s="395"/>
    </row>
    <row r="89" ht="15.75" customHeight="1">
      <c r="A89" s="112"/>
      <c r="B89" s="112"/>
      <c r="C89" s="412" t="str">
        <f t="array" ref="C89">IFERROR(INDEX(#REF!,MATCH($B89,Fornecedores!$B$8:$B$200,0)),"")</f>
        <v/>
      </c>
      <c r="D89" s="112"/>
      <c r="E89" s="112"/>
      <c r="F89" s="432"/>
      <c r="G89" s="433"/>
      <c r="H89" s="434" t="str">
        <f t="array" ref="H89">IFERROR(IF($A89="Medição",IFERROR(INDEX(#REF!,MATCH($B89,Fornecedores!$B$8:$B$200,0)),""),""),"")</f>
        <v/>
      </c>
      <c r="I89" s="435" t="str">
        <f t="shared" si="1"/>
        <v/>
      </c>
      <c r="J89" s="436"/>
      <c r="K89" s="437" t="str">
        <f t="array" ref="K89">IFERROR(IF($A89="Medição",IFERROR(INDEX(#REF!,MATCH($B89,Fornecedores!$B$8:$B$200,0)),0),""),"")</f>
        <v/>
      </c>
      <c r="L89" s="438" t="str">
        <f t="shared" si="2"/>
        <v/>
      </c>
      <c r="M89" s="439"/>
      <c r="N89" s="440" t="str">
        <f t="shared" si="3"/>
        <v/>
      </c>
      <c r="O89" s="432"/>
      <c r="P89" s="112"/>
      <c r="Q89" s="112"/>
      <c r="R89" s="112"/>
      <c r="S89" s="432"/>
      <c r="T89" s="112"/>
      <c r="U89" s="112"/>
      <c r="V89" s="112"/>
      <c r="W89" s="395"/>
      <c r="X89" s="395"/>
      <c r="Y89" s="395"/>
      <c r="Z89" s="395"/>
      <c r="AA89" s="395"/>
    </row>
    <row r="90" ht="15.75" customHeight="1">
      <c r="A90" s="112"/>
      <c r="B90" s="112"/>
      <c r="C90" s="412" t="str">
        <f t="array" ref="C90">IFERROR(INDEX(#REF!,MATCH($B90,Fornecedores!$B$8:$B$200,0)),"")</f>
        <v/>
      </c>
      <c r="D90" s="112"/>
      <c r="E90" s="112"/>
      <c r="F90" s="432"/>
      <c r="G90" s="433"/>
      <c r="H90" s="434" t="str">
        <f t="array" ref="H90">IFERROR(IF($A90="Medição",IFERROR(INDEX(#REF!,MATCH($B90,Fornecedores!$B$8:$B$200,0)),""),""),"")</f>
        <v/>
      </c>
      <c r="I90" s="435" t="str">
        <f t="shared" si="1"/>
        <v/>
      </c>
      <c r="J90" s="436"/>
      <c r="K90" s="437" t="str">
        <f t="array" ref="K90">IFERROR(IF($A90="Medição",IFERROR(INDEX(#REF!,MATCH($B90,Fornecedores!$B$8:$B$200,0)),0),""),"")</f>
        <v/>
      </c>
      <c r="L90" s="438" t="str">
        <f t="shared" si="2"/>
        <v/>
      </c>
      <c r="M90" s="439"/>
      <c r="N90" s="440" t="str">
        <f t="shared" si="3"/>
        <v/>
      </c>
      <c r="O90" s="432"/>
      <c r="P90" s="112"/>
      <c r="Q90" s="112"/>
      <c r="R90" s="112"/>
      <c r="S90" s="432"/>
      <c r="T90" s="112"/>
      <c r="U90" s="112"/>
      <c r="V90" s="112"/>
      <c r="W90" s="395"/>
      <c r="X90" s="395"/>
      <c r="Y90" s="395"/>
      <c r="Z90" s="395"/>
      <c r="AA90" s="395"/>
    </row>
    <row r="91" ht="15.75" customHeight="1">
      <c r="A91" s="112"/>
      <c r="B91" s="112"/>
      <c r="C91" s="412" t="str">
        <f t="array" ref="C91">IFERROR(INDEX(#REF!,MATCH($B91,Fornecedores!$B$8:$B$200,0)),"")</f>
        <v/>
      </c>
      <c r="D91" s="112"/>
      <c r="E91" s="112"/>
      <c r="F91" s="432"/>
      <c r="G91" s="433"/>
      <c r="H91" s="434" t="str">
        <f t="array" ref="H91">IFERROR(IF($A91="Medição",IFERROR(INDEX(#REF!,MATCH($B91,Fornecedores!$B$8:$B$200,0)),""),""),"")</f>
        <v/>
      </c>
      <c r="I91" s="435" t="str">
        <f t="shared" si="1"/>
        <v/>
      </c>
      <c r="J91" s="436"/>
      <c r="K91" s="437" t="str">
        <f t="array" ref="K91">IFERROR(IF($A91="Medição",IFERROR(INDEX(#REF!,MATCH($B91,Fornecedores!$B$8:$B$200,0)),0),""),"")</f>
        <v/>
      </c>
      <c r="L91" s="438" t="str">
        <f t="shared" si="2"/>
        <v/>
      </c>
      <c r="M91" s="439"/>
      <c r="N91" s="440" t="str">
        <f t="shared" si="3"/>
        <v/>
      </c>
      <c r="O91" s="432"/>
      <c r="P91" s="112"/>
      <c r="Q91" s="112"/>
      <c r="R91" s="112"/>
      <c r="S91" s="432"/>
      <c r="T91" s="112"/>
      <c r="U91" s="112"/>
      <c r="V91" s="112"/>
      <c r="W91" s="395"/>
      <c r="X91" s="395"/>
      <c r="Y91" s="395"/>
      <c r="Z91" s="395"/>
      <c r="AA91" s="395"/>
    </row>
    <row r="92" ht="15.75" customHeight="1">
      <c r="A92" s="112"/>
      <c r="B92" s="112"/>
      <c r="C92" s="412" t="str">
        <f t="array" ref="C92">IFERROR(INDEX(#REF!,MATCH($B92,Fornecedores!$B$8:$B$200,0)),"")</f>
        <v/>
      </c>
      <c r="D92" s="112"/>
      <c r="E92" s="112"/>
      <c r="F92" s="432"/>
      <c r="G92" s="433"/>
      <c r="H92" s="434" t="str">
        <f t="array" ref="H92">IFERROR(IF($A92="Medição",IFERROR(INDEX(#REF!,MATCH($B92,Fornecedores!$B$8:$B$200,0)),""),""),"")</f>
        <v/>
      </c>
      <c r="I92" s="435" t="str">
        <f t="shared" si="1"/>
        <v/>
      </c>
      <c r="J92" s="436"/>
      <c r="K92" s="437" t="str">
        <f t="array" ref="K92">IFERROR(IF($A92="Medição",IFERROR(INDEX(#REF!,MATCH($B92,Fornecedores!$B$8:$B$200,0)),0),""),"")</f>
        <v/>
      </c>
      <c r="L92" s="438" t="str">
        <f t="shared" si="2"/>
        <v/>
      </c>
      <c r="M92" s="439"/>
      <c r="N92" s="440" t="str">
        <f t="shared" si="3"/>
        <v/>
      </c>
      <c r="O92" s="432"/>
      <c r="P92" s="112"/>
      <c r="Q92" s="112"/>
      <c r="R92" s="112"/>
      <c r="S92" s="432"/>
      <c r="T92" s="112"/>
      <c r="U92" s="112"/>
      <c r="V92" s="112"/>
      <c r="W92" s="395"/>
      <c r="X92" s="395"/>
      <c r="Y92" s="395"/>
      <c r="Z92" s="395"/>
      <c r="AA92" s="395"/>
    </row>
    <row r="93" ht="15.75" customHeight="1">
      <c r="A93" s="112"/>
      <c r="B93" s="112"/>
      <c r="C93" s="412" t="str">
        <f t="array" ref="C93">IFERROR(INDEX(#REF!,MATCH($B93,Fornecedores!$B$8:$B$200,0)),"")</f>
        <v/>
      </c>
      <c r="D93" s="112"/>
      <c r="E93" s="112"/>
      <c r="F93" s="432"/>
      <c r="G93" s="433"/>
      <c r="H93" s="434" t="str">
        <f t="array" ref="H93">IFERROR(IF($A93="Medição",IFERROR(INDEX(#REF!,MATCH($B93,Fornecedores!$B$8:$B$200,0)),""),""),"")</f>
        <v/>
      </c>
      <c r="I93" s="435" t="str">
        <f t="shared" si="1"/>
        <v/>
      </c>
      <c r="J93" s="436"/>
      <c r="K93" s="437" t="str">
        <f t="array" ref="K93">IFERROR(IF($A93="Medição",IFERROR(INDEX(#REF!,MATCH($B93,Fornecedores!$B$8:$B$200,0)),0),""),"")</f>
        <v/>
      </c>
      <c r="L93" s="438" t="str">
        <f t="shared" si="2"/>
        <v/>
      </c>
      <c r="M93" s="439"/>
      <c r="N93" s="440" t="str">
        <f t="shared" si="3"/>
        <v/>
      </c>
      <c r="O93" s="432"/>
      <c r="P93" s="112"/>
      <c r="Q93" s="112"/>
      <c r="R93" s="112"/>
      <c r="S93" s="432"/>
      <c r="T93" s="112"/>
      <c r="U93" s="112"/>
      <c r="V93" s="112"/>
      <c r="W93" s="395"/>
      <c r="X93" s="395"/>
      <c r="Y93" s="395"/>
      <c r="Z93" s="395"/>
      <c r="AA93" s="395"/>
    </row>
    <row r="94" ht="15.75" customHeight="1">
      <c r="A94" s="112"/>
      <c r="B94" s="112"/>
      <c r="C94" s="412" t="str">
        <f t="array" ref="C94">IFERROR(INDEX(#REF!,MATCH($B94,Fornecedores!$B$8:$B$200,0)),"")</f>
        <v/>
      </c>
      <c r="D94" s="112"/>
      <c r="E94" s="112"/>
      <c r="F94" s="432"/>
      <c r="G94" s="433"/>
      <c r="H94" s="434" t="str">
        <f t="array" ref="H94">IFERROR(IF($A94="Medição",IFERROR(INDEX(#REF!,MATCH($B94,Fornecedores!$B$8:$B$200,0)),""),""),"")</f>
        <v/>
      </c>
      <c r="I94" s="435" t="str">
        <f t="shared" si="1"/>
        <v/>
      </c>
      <c r="J94" s="436"/>
      <c r="K94" s="437" t="str">
        <f t="array" ref="K94">IFERROR(IF($A94="Medição",IFERROR(INDEX(#REF!,MATCH($B94,Fornecedores!$B$8:$B$200,0)),0),""),"")</f>
        <v/>
      </c>
      <c r="L94" s="438" t="str">
        <f t="shared" si="2"/>
        <v/>
      </c>
      <c r="M94" s="439"/>
      <c r="N94" s="440" t="str">
        <f t="shared" si="3"/>
        <v/>
      </c>
      <c r="O94" s="432"/>
      <c r="P94" s="112"/>
      <c r="Q94" s="112"/>
      <c r="R94" s="112"/>
      <c r="S94" s="432"/>
      <c r="T94" s="112"/>
      <c r="U94" s="112"/>
      <c r="V94" s="112"/>
      <c r="W94" s="395"/>
      <c r="X94" s="395"/>
      <c r="Y94" s="395"/>
      <c r="Z94" s="395"/>
      <c r="AA94" s="395"/>
    </row>
    <row r="95" ht="15.75" customHeight="1">
      <c r="A95" s="112"/>
      <c r="B95" s="112"/>
      <c r="C95" s="412" t="str">
        <f t="array" ref="C95">IFERROR(INDEX(#REF!,MATCH($B95,Fornecedores!$B$8:$B$200,0)),"")</f>
        <v/>
      </c>
      <c r="D95" s="112"/>
      <c r="E95" s="112"/>
      <c r="F95" s="432"/>
      <c r="G95" s="433"/>
      <c r="H95" s="434" t="str">
        <f t="array" ref="H95">IFERROR(IF($A95="Medição",IFERROR(INDEX(#REF!,MATCH($B95,Fornecedores!$B$8:$B$200,0)),""),""),"")</f>
        <v/>
      </c>
      <c r="I95" s="435" t="str">
        <f t="shared" si="1"/>
        <v/>
      </c>
      <c r="J95" s="436"/>
      <c r="K95" s="437" t="str">
        <f t="array" ref="K95">IFERROR(IF($A95="Medição",IFERROR(INDEX(#REF!,MATCH($B95,Fornecedores!$B$8:$B$200,0)),0),""),"")</f>
        <v/>
      </c>
      <c r="L95" s="438" t="str">
        <f t="shared" si="2"/>
        <v/>
      </c>
      <c r="M95" s="439"/>
      <c r="N95" s="440" t="str">
        <f t="shared" si="3"/>
        <v/>
      </c>
      <c r="O95" s="432"/>
      <c r="P95" s="112"/>
      <c r="Q95" s="112"/>
      <c r="R95" s="112"/>
      <c r="S95" s="432"/>
      <c r="T95" s="112"/>
      <c r="U95" s="112"/>
      <c r="V95" s="112"/>
      <c r="W95" s="395"/>
      <c r="X95" s="395"/>
      <c r="Y95" s="395"/>
      <c r="Z95" s="395"/>
      <c r="AA95" s="395"/>
    </row>
    <row r="96" ht="15.75" customHeight="1">
      <c r="A96" s="112"/>
      <c r="B96" s="112"/>
      <c r="C96" s="412" t="str">
        <f t="array" ref="C96">IFERROR(INDEX(#REF!,MATCH($B96,Fornecedores!$B$8:$B$200,0)),"")</f>
        <v/>
      </c>
      <c r="D96" s="112"/>
      <c r="E96" s="112"/>
      <c r="F96" s="432"/>
      <c r="G96" s="433"/>
      <c r="H96" s="434" t="str">
        <f t="array" ref="H96">IFERROR(IF($A96="Medição",IFERROR(INDEX(#REF!,MATCH($B96,Fornecedores!$B$8:$B$200,0)),""),""),"")</f>
        <v/>
      </c>
      <c r="I96" s="435" t="str">
        <f t="shared" si="1"/>
        <v/>
      </c>
      <c r="J96" s="436"/>
      <c r="K96" s="437" t="str">
        <f t="array" ref="K96">IFERROR(IF($A96="Medição",IFERROR(INDEX(#REF!,MATCH($B96,Fornecedores!$B$8:$B$200,0)),0),""),"")</f>
        <v/>
      </c>
      <c r="L96" s="438" t="str">
        <f t="shared" si="2"/>
        <v/>
      </c>
      <c r="M96" s="439"/>
      <c r="N96" s="440" t="str">
        <f t="shared" si="3"/>
        <v/>
      </c>
      <c r="O96" s="432"/>
      <c r="P96" s="112"/>
      <c r="Q96" s="112"/>
      <c r="R96" s="112"/>
      <c r="S96" s="432"/>
      <c r="T96" s="112"/>
      <c r="U96" s="112"/>
      <c r="V96" s="112"/>
      <c r="W96" s="395"/>
      <c r="X96" s="395"/>
      <c r="Y96" s="395"/>
      <c r="Z96" s="395"/>
      <c r="AA96" s="395"/>
    </row>
    <row r="97" ht="15.75" customHeight="1">
      <c r="A97" s="112"/>
      <c r="B97" s="112"/>
      <c r="C97" s="412" t="str">
        <f t="array" ref="C97">IFERROR(INDEX(#REF!,MATCH($B97,Fornecedores!$B$8:$B$200,0)),"")</f>
        <v/>
      </c>
      <c r="D97" s="112"/>
      <c r="E97" s="112"/>
      <c r="F97" s="432"/>
      <c r="G97" s="433"/>
      <c r="H97" s="434" t="str">
        <f t="array" ref="H97">IFERROR(IF($A97="Medição",IFERROR(INDEX(#REF!,MATCH($B97,Fornecedores!$B$8:$B$200,0)),""),""),"")</f>
        <v/>
      </c>
      <c r="I97" s="435" t="str">
        <f t="shared" si="1"/>
        <v/>
      </c>
      <c r="J97" s="436"/>
      <c r="K97" s="437" t="str">
        <f t="array" ref="K97">IFERROR(IF($A97="Medição",IFERROR(INDEX(#REF!,MATCH($B97,Fornecedores!$B$8:$B$200,0)),0),""),"")</f>
        <v/>
      </c>
      <c r="L97" s="438" t="str">
        <f t="shared" si="2"/>
        <v/>
      </c>
      <c r="M97" s="439"/>
      <c r="N97" s="440" t="str">
        <f t="shared" si="3"/>
        <v/>
      </c>
      <c r="O97" s="432"/>
      <c r="P97" s="112"/>
      <c r="Q97" s="112"/>
      <c r="R97" s="112"/>
      <c r="S97" s="432"/>
      <c r="T97" s="112"/>
      <c r="U97" s="112"/>
      <c r="V97" s="112"/>
      <c r="W97" s="395"/>
      <c r="X97" s="395"/>
      <c r="Y97" s="395"/>
      <c r="Z97" s="395"/>
      <c r="AA97" s="395"/>
    </row>
    <row r="98" ht="15.75" customHeight="1">
      <c r="A98" s="112"/>
      <c r="B98" s="112"/>
      <c r="C98" s="412" t="str">
        <f t="array" ref="C98">IFERROR(INDEX(#REF!,MATCH($B98,Fornecedores!$B$8:$B$200,0)),"")</f>
        <v/>
      </c>
      <c r="D98" s="112"/>
      <c r="E98" s="112"/>
      <c r="F98" s="432"/>
      <c r="G98" s="433"/>
      <c r="H98" s="434" t="str">
        <f t="array" ref="H98">IFERROR(IF($A98="Medição",IFERROR(INDEX(#REF!,MATCH($B98,Fornecedores!$B$8:$B$200,0)),""),""),"")</f>
        <v/>
      </c>
      <c r="I98" s="435" t="str">
        <f t="shared" si="1"/>
        <v/>
      </c>
      <c r="J98" s="436"/>
      <c r="K98" s="437" t="str">
        <f t="array" ref="K98">IFERROR(IF($A98="Medição",IFERROR(INDEX(#REF!,MATCH($B98,Fornecedores!$B$8:$B$200,0)),0),""),"")</f>
        <v/>
      </c>
      <c r="L98" s="438" t="str">
        <f t="shared" si="2"/>
        <v/>
      </c>
      <c r="M98" s="439"/>
      <c r="N98" s="440" t="str">
        <f t="shared" si="3"/>
        <v/>
      </c>
      <c r="O98" s="432"/>
      <c r="P98" s="112"/>
      <c r="Q98" s="112"/>
      <c r="R98" s="112"/>
      <c r="S98" s="432"/>
      <c r="T98" s="112"/>
      <c r="U98" s="112"/>
      <c r="V98" s="112"/>
      <c r="W98" s="395"/>
      <c r="X98" s="395"/>
      <c r="Y98" s="395"/>
      <c r="Z98" s="395"/>
      <c r="AA98" s="395"/>
    </row>
    <row r="99" ht="15.75" customHeight="1">
      <c r="A99" s="112"/>
      <c r="B99" s="112"/>
      <c r="C99" s="412" t="str">
        <f t="array" ref="C99">IFERROR(INDEX(#REF!,MATCH($B99,Fornecedores!$B$8:$B$200,0)),"")</f>
        <v/>
      </c>
      <c r="D99" s="112"/>
      <c r="E99" s="112"/>
      <c r="F99" s="432"/>
      <c r="G99" s="433"/>
      <c r="H99" s="434" t="str">
        <f t="array" ref="H99">IFERROR(IF($A99="Medição",IFERROR(INDEX(#REF!,MATCH($B99,Fornecedores!$B$8:$B$200,0)),""),""),"")</f>
        <v/>
      </c>
      <c r="I99" s="435" t="str">
        <f t="shared" si="1"/>
        <v/>
      </c>
      <c r="J99" s="436"/>
      <c r="K99" s="437" t="str">
        <f t="array" ref="K99">IFERROR(IF($A99="Medição",IFERROR(INDEX(#REF!,MATCH($B99,Fornecedores!$B$8:$B$200,0)),0),""),"")</f>
        <v/>
      </c>
      <c r="L99" s="438" t="str">
        <f t="shared" si="2"/>
        <v/>
      </c>
      <c r="M99" s="439"/>
      <c r="N99" s="440" t="str">
        <f t="shared" si="3"/>
        <v/>
      </c>
      <c r="O99" s="432"/>
      <c r="P99" s="112"/>
      <c r="Q99" s="112"/>
      <c r="R99" s="112"/>
      <c r="S99" s="432"/>
      <c r="T99" s="112"/>
      <c r="U99" s="112"/>
      <c r="V99" s="112"/>
      <c r="W99" s="395"/>
      <c r="X99" s="395"/>
      <c r="Y99" s="395"/>
      <c r="Z99" s="395"/>
      <c r="AA99" s="395"/>
    </row>
    <row r="100" ht="15.75" customHeight="1">
      <c r="A100" s="112"/>
      <c r="B100" s="112"/>
      <c r="C100" s="412" t="str">
        <f t="array" ref="C100">IFERROR(INDEX(#REF!,MATCH($B100,Fornecedores!$B$8:$B$200,0)),"")</f>
        <v/>
      </c>
      <c r="D100" s="112"/>
      <c r="E100" s="112"/>
      <c r="F100" s="432"/>
      <c r="G100" s="433"/>
      <c r="H100" s="434" t="str">
        <f t="array" ref="H100">IFERROR(IF($A100="Medição",IFERROR(INDEX(#REF!,MATCH($B100,Fornecedores!$B$8:$B$200,0)),""),""),"")</f>
        <v/>
      </c>
      <c r="I100" s="435" t="str">
        <f t="shared" si="1"/>
        <v/>
      </c>
      <c r="J100" s="436"/>
      <c r="K100" s="437" t="str">
        <f t="array" ref="K100">IFERROR(IF($A100="Medição",IFERROR(INDEX(#REF!,MATCH($B100,Fornecedores!$B$8:$B$200,0)),0),""),"")</f>
        <v/>
      </c>
      <c r="L100" s="438" t="str">
        <f t="shared" si="2"/>
        <v/>
      </c>
      <c r="M100" s="439"/>
      <c r="N100" s="440" t="str">
        <f t="shared" si="3"/>
        <v/>
      </c>
      <c r="O100" s="432"/>
      <c r="P100" s="112"/>
      <c r="Q100" s="112"/>
      <c r="R100" s="112"/>
      <c r="S100" s="432"/>
      <c r="T100" s="112"/>
      <c r="U100" s="112"/>
      <c r="V100" s="112"/>
      <c r="W100" s="395"/>
      <c r="X100" s="395"/>
      <c r="Y100" s="395"/>
      <c r="Z100" s="395"/>
      <c r="AA100" s="395"/>
    </row>
    <row r="101" ht="15.75" customHeight="1">
      <c r="A101" s="112"/>
      <c r="B101" s="112"/>
      <c r="C101" s="412" t="str">
        <f t="array" ref="C101">IFERROR(INDEX(#REF!,MATCH($B101,Fornecedores!$B$8:$B$200,0)),"")</f>
        <v/>
      </c>
      <c r="D101" s="112"/>
      <c r="E101" s="112"/>
      <c r="F101" s="432"/>
      <c r="G101" s="433"/>
      <c r="H101" s="434" t="str">
        <f t="array" ref="H101">IFERROR(IF($A101="Medição",IFERROR(INDEX(#REF!,MATCH($B101,Fornecedores!$B$8:$B$200,0)),""),""),"")</f>
        <v/>
      </c>
      <c r="I101" s="435" t="str">
        <f t="shared" si="1"/>
        <v/>
      </c>
      <c r="J101" s="436"/>
      <c r="K101" s="437" t="str">
        <f t="array" ref="K101">IFERROR(IF($A101="Medição",IFERROR(INDEX(#REF!,MATCH($B101,Fornecedores!$B$8:$B$200,0)),0),""),"")</f>
        <v/>
      </c>
      <c r="L101" s="438" t="str">
        <f t="shared" si="2"/>
        <v/>
      </c>
      <c r="M101" s="439"/>
      <c r="N101" s="440" t="str">
        <f t="shared" si="3"/>
        <v/>
      </c>
      <c r="O101" s="432"/>
      <c r="P101" s="112"/>
      <c r="Q101" s="112"/>
      <c r="R101" s="112"/>
      <c r="S101" s="432"/>
      <c r="T101" s="112"/>
      <c r="U101" s="112"/>
      <c r="V101" s="112"/>
      <c r="W101" s="395"/>
      <c r="X101" s="395"/>
      <c r="Y101" s="395"/>
      <c r="Z101" s="395"/>
      <c r="AA101" s="395"/>
    </row>
    <row r="102" ht="15.75" customHeight="1">
      <c r="A102" s="112"/>
      <c r="B102" s="112"/>
      <c r="C102" s="412" t="str">
        <f t="array" ref="C102">IFERROR(INDEX(#REF!,MATCH($B102,Fornecedores!$B$8:$B$200,0)),"")</f>
        <v/>
      </c>
      <c r="D102" s="112"/>
      <c r="E102" s="112"/>
      <c r="F102" s="432"/>
      <c r="G102" s="433"/>
      <c r="H102" s="434" t="str">
        <f t="array" ref="H102">IFERROR(IF($A102="Medição",IFERROR(INDEX(#REF!,MATCH($B102,Fornecedores!$B$8:$B$200,0)),""),""),"")</f>
        <v/>
      </c>
      <c r="I102" s="435" t="str">
        <f t="shared" si="1"/>
        <v/>
      </c>
      <c r="J102" s="436"/>
      <c r="K102" s="437" t="str">
        <f t="array" ref="K102">IFERROR(IF($A102="Medição",IFERROR(INDEX(#REF!,MATCH($B102,Fornecedores!$B$8:$B$200,0)),0),""),"")</f>
        <v/>
      </c>
      <c r="L102" s="438" t="str">
        <f t="shared" si="2"/>
        <v/>
      </c>
      <c r="M102" s="439"/>
      <c r="N102" s="440" t="str">
        <f t="shared" si="3"/>
        <v/>
      </c>
      <c r="O102" s="432"/>
      <c r="P102" s="112"/>
      <c r="Q102" s="112"/>
      <c r="R102" s="112"/>
      <c r="S102" s="432"/>
      <c r="T102" s="112"/>
      <c r="U102" s="112"/>
      <c r="V102" s="112"/>
      <c r="W102" s="395"/>
      <c r="X102" s="395"/>
      <c r="Y102" s="395"/>
      <c r="Z102" s="395"/>
      <c r="AA102" s="395"/>
    </row>
    <row r="103" ht="15.75" customHeight="1">
      <c r="A103" s="112"/>
      <c r="B103" s="112"/>
      <c r="C103" s="412" t="str">
        <f t="array" ref="C103">IFERROR(INDEX(#REF!,MATCH($B103,Fornecedores!$B$8:$B$200,0)),"")</f>
        <v/>
      </c>
      <c r="D103" s="112"/>
      <c r="E103" s="112"/>
      <c r="F103" s="432"/>
      <c r="G103" s="433"/>
      <c r="H103" s="434" t="str">
        <f t="array" ref="H103">IFERROR(IF($A103="Medição",IFERROR(INDEX(#REF!,MATCH($B103,Fornecedores!$B$8:$B$200,0)),""),""),"")</f>
        <v/>
      </c>
      <c r="I103" s="435" t="str">
        <f t="shared" si="1"/>
        <v/>
      </c>
      <c r="J103" s="436"/>
      <c r="K103" s="437" t="str">
        <f t="array" ref="K103">IFERROR(IF($A103="Medição",IFERROR(INDEX(#REF!,MATCH($B103,Fornecedores!$B$8:$B$200,0)),0),""),"")</f>
        <v/>
      </c>
      <c r="L103" s="438" t="str">
        <f t="shared" si="2"/>
        <v/>
      </c>
      <c r="M103" s="439"/>
      <c r="N103" s="440" t="str">
        <f t="shared" si="3"/>
        <v/>
      </c>
      <c r="O103" s="432"/>
      <c r="P103" s="112"/>
      <c r="Q103" s="112"/>
      <c r="R103" s="112"/>
      <c r="S103" s="432"/>
      <c r="T103" s="112"/>
      <c r="U103" s="112"/>
      <c r="V103" s="112"/>
      <c r="W103" s="395"/>
      <c r="X103" s="395"/>
      <c r="Y103" s="395"/>
      <c r="Z103" s="395"/>
      <c r="AA103" s="395"/>
    </row>
    <row r="104" ht="15.75" customHeight="1">
      <c r="A104" s="112"/>
      <c r="B104" s="112"/>
      <c r="C104" s="412" t="str">
        <f t="array" ref="C104">IFERROR(INDEX(#REF!,MATCH($B104,Fornecedores!$B$8:$B$200,0)),"")</f>
        <v/>
      </c>
      <c r="D104" s="112"/>
      <c r="E104" s="112"/>
      <c r="F104" s="432"/>
      <c r="G104" s="433"/>
      <c r="H104" s="434" t="str">
        <f t="array" ref="H104">IFERROR(IF($A104="Medição",IFERROR(INDEX(#REF!,MATCH($B104,Fornecedores!$B$8:$B$200,0)),""),""),"")</f>
        <v/>
      </c>
      <c r="I104" s="435" t="str">
        <f t="shared" si="1"/>
        <v/>
      </c>
      <c r="J104" s="436"/>
      <c r="K104" s="437" t="str">
        <f t="array" ref="K104">IFERROR(IF($A104="Medição",IFERROR(INDEX(#REF!,MATCH($B104,Fornecedores!$B$8:$B$200,0)),0),""),"")</f>
        <v/>
      </c>
      <c r="L104" s="438" t="str">
        <f t="shared" si="2"/>
        <v/>
      </c>
      <c r="M104" s="439"/>
      <c r="N104" s="440" t="str">
        <f t="shared" si="3"/>
        <v/>
      </c>
      <c r="O104" s="432"/>
      <c r="P104" s="112"/>
      <c r="Q104" s="112"/>
      <c r="R104" s="112"/>
      <c r="S104" s="432"/>
      <c r="T104" s="112"/>
      <c r="U104" s="112"/>
      <c r="V104" s="112"/>
      <c r="W104" s="395"/>
      <c r="X104" s="395"/>
      <c r="Y104" s="395"/>
      <c r="Z104" s="395"/>
      <c r="AA104" s="395"/>
    </row>
    <row r="105" ht="15.75" customHeight="1">
      <c r="A105" s="112"/>
      <c r="B105" s="112"/>
      <c r="C105" s="412" t="str">
        <f t="array" ref="C105">IFERROR(INDEX(#REF!,MATCH($B105,Fornecedores!$B$8:$B$200,0)),"")</f>
        <v/>
      </c>
      <c r="D105" s="112"/>
      <c r="E105" s="112"/>
      <c r="F105" s="432"/>
      <c r="G105" s="433"/>
      <c r="H105" s="434" t="str">
        <f t="array" ref="H105">IFERROR(IF($A105="Medição",IFERROR(INDEX(#REF!,MATCH($B105,Fornecedores!$B$8:$B$200,0)),""),""),"")</f>
        <v/>
      </c>
      <c r="I105" s="435" t="str">
        <f t="shared" si="1"/>
        <v/>
      </c>
      <c r="J105" s="436"/>
      <c r="K105" s="437" t="str">
        <f t="array" ref="K105">IFERROR(IF($A105="Medição",IFERROR(INDEX(#REF!,MATCH($B105,Fornecedores!$B$8:$B$200,0)),0),""),"")</f>
        <v/>
      </c>
      <c r="L105" s="438" t="str">
        <f t="shared" si="2"/>
        <v/>
      </c>
      <c r="M105" s="439"/>
      <c r="N105" s="440" t="str">
        <f t="shared" si="3"/>
        <v/>
      </c>
      <c r="O105" s="432"/>
      <c r="P105" s="112"/>
      <c r="Q105" s="112"/>
      <c r="R105" s="112"/>
      <c r="S105" s="432"/>
      <c r="T105" s="112"/>
      <c r="U105" s="112"/>
      <c r="V105" s="112"/>
      <c r="W105" s="395"/>
      <c r="X105" s="395"/>
      <c r="Y105" s="395"/>
      <c r="Z105" s="395"/>
      <c r="AA105" s="395"/>
    </row>
    <row r="106" ht="15.75" customHeight="1">
      <c r="A106" s="112"/>
      <c r="B106" s="112"/>
      <c r="C106" s="412" t="str">
        <f t="array" ref="C106">IFERROR(INDEX(#REF!,MATCH($B106,Fornecedores!$B$8:$B$200,0)),"")</f>
        <v/>
      </c>
      <c r="D106" s="112"/>
      <c r="E106" s="112"/>
      <c r="F106" s="432"/>
      <c r="G106" s="433"/>
      <c r="H106" s="434" t="str">
        <f t="array" ref="H106">IFERROR(IF($A106="Medição",IFERROR(INDEX(#REF!,MATCH($B106,Fornecedores!$B$8:$B$200,0)),""),""),"")</f>
        <v/>
      </c>
      <c r="I106" s="435" t="str">
        <f t="shared" si="1"/>
        <v/>
      </c>
      <c r="J106" s="436"/>
      <c r="K106" s="437" t="str">
        <f t="array" ref="K106">IFERROR(IF($A106="Medição",IFERROR(INDEX(#REF!,MATCH($B106,Fornecedores!$B$8:$B$200,0)),0),""),"")</f>
        <v/>
      </c>
      <c r="L106" s="438" t="str">
        <f t="shared" si="2"/>
        <v/>
      </c>
      <c r="M106" s="439"/>
      <c r="N106" s="440" t="str">
        <f t="shared" si="3"/>
        <v/>
      </c>
      <c r="O106" s="432"/>
      <c r="P106" s="112"/>
      <c r="Q106" s="112"/>
      <c r="R106" s="112"/>
      <c r="S106" s="432"/>
      <c r="T106" s="112"/>
      <c r="U106" s="112"/>
      <c r="V106" s="112"/>
      <c r="W106" s="395"/>
      <c r="X106" s="395"/>
      <c r="Y106" s="395"/>
      <c r="Z106" s="395"/>
      <c r="AA106" s="395"/>
    </row>
    <row r="107" ht="15.75" customHeight="1">
      <c r="A107" s="112"/>
      <c r="B107" s="112"/>
      <c r="C107" s="412" t="str">
        <f t="array" ref="C107">IFERROR(INDEX(#REF!,MATCH($B107,Fornecedores!$B$8:$B$200,0)),"")</f>
        <v/>
      </c>
      <c r="D107" s="112"/>
      <c r="E107" s="112"/>
      <c r="F107" s="432"/>
      <c r="G107" s="433"/>
      <c r="H107" s="434" t="str">
        <f t="array" ref="H107">IFERROR(IF($A107="Medição",IFERROR(INDEX(#REF!,MATCH($B107,Fornecedores!$B$8:$B$200,0)),""),""),"")</f>
        <v/>
      </c>
      <c r="I107" s="435" t="str">
        <f t="shared" si="1"/>
        <v/>
      </c>
      <c r="J107" s="436"/>
      <c r="K107" s="437" t="str">
        <f t="array" ref="K107">IFERROR(IF($A107="Medição",IFERROR(INDEX(#REF!,MATCH($B107,Fornecedores!$B$8:$B$200,0)),0),""),"")</f>
        <v/>
      </c>
      <c r="L107" s="438" t="str">
        <f t="shared" si="2"/>
        <v/>
      </c>
      <c r="M107" s="439"/>
      <c r="N107" s="440" t="str">
        <f t="shared" si="3"/>
        <v/>
      </c>
      <c r="O107" s="432"/>
      <c r="P107" s="112"/>
      <c r="Q107" s="112"/>
      <c r="R107" s="112"/>
      <c r="S107" s="432"/>
      <c r="T107" s="112"/>
      <c r="U107" s="112"/>
      <c r="V107" s="112"/>
      <c r="W107" s="395"/>
      <c r="X107" s="395"/>
      <c r="Y107" s="395"/>
      <c r="Z107" s="395"/>
      <c r="AA107" s="395"/>
    </row>
    <row r="108" ht="15.75" customHeight="1">
      <c r="A108" s="112"/>
      <c r="B108" s="112"/>
      <c r="C108" s="412" t="str">
        <f t="array" ref="C108">IFERROR(INDEX(#REF!,MATCH($B108,Fornecedores!$B$8:$B$200,0)),"")</f>
        <v/>
      </c>
      <c r="D108" s="112"/>
      <c r="E108" s="112"/>
      <c r="F108" s="432"/>
      <c r="G108" s="433"/>
      <c r="H108" s="434" t="str">
        <f t="array" ref="H108">IFERROR(IF($A108="Medição",IFERROR(INDEX(#REF!,MATCH($B108,Fornecedores!$B$8:$B$200,0)),""),""),"")</f>
        <v/>
      </c>
      <c r="I108" s="435" t="str">
        <f t="shared" si="1"/>
        <v/>
      </c>
      <c r="J108" s="436"/>
      <c r="K108" s="437" t="str">
        <f t="array" ref="K108">IFERROR(IF($A108="Medição",IFERROR(INDEX(#REF!,MATCH($B108,Fornecedores!$B$8:$B$200,0)),0),""),"")</f>
        <v/>
      </c>
      <c r="L108" s="438" t="str">
        <f t="shared" si="2"/>
        <v/>
      </c>
      <c r="M108" s="439"/>
      <c r="N108" s="440" t="str">
        <f t="shared" si="3"/>
        <v/>
      </c>
      <c r="O108" s="432"/>
      <c r="P108" s="112"/>
      <c r="Q108" s="112"/>
      <c r="R108" s="112"/>
      <c r="S108" s="432"/>
      <c r="T108" s="112"/>
      <c r="U108" s="112"/>
      <c r="V108" s="112"/>
      <c r="W108" s="395"/>
      <c r="X108" s="395"/>
      <c r="Y108" s="395"/>
      <c r="Z108" s="395"/>
      <c r="AA108" s="395"/>
    </row>
    <row r="109" ht="15.75" customHeight="1">
      <c r="A109" s="112"/>
      <c r="B109" s="112"/>
      <c r="C109" s="412" t="str">
        <f t="array" ref="C109">IFERROR(INDEX(#REF!,MATCH($B109,Fornecedores!$B$8:$B$200,0)),"")</f>
        <v/>
      </c>
      <c r="D109" s="112"/>
      <c r="E109" s="112"/>
      <c r="F109" s="432"/>
      <c r="G109" s="433"/>
      <c r="H109" s="434" t="str">
        <f t="array" ref="H109">IFERROR(IF($A109="Medição",IFERROR(INDEX(#REF!,MATCH($B109,Fornecedores!$B$8:$B$200,0)),""),""),"")</f>
        <v/>
      </c>
      <c r="I109" s="435" t="str">
        <f t="shared" si="1"/>
        <v/>
      </c>
      <c r="J109" s="436"/>
      <c r="K109" s="437" t="str">
        <f t="array" ref="K109">IFERROR(IF($A109="Medição",IFERROR(INDEX(#REF!,MATCH($B109,Fornecedores!$B$8:$B$200,0)),0),""),"")</f>
        <v/>
      </c>
      <c r="L109" s="438" t="str">
        <f t="shared" si="2"/>
        <v/>
      </c>
      <c r="M109" s="439"/>
      <c r="N109" s="440" t="str">
        <f t="shared" si="3"/>
        <v/>
      </c>
      <c r="O109" s="432"/>
      <c r="P109" s="112"/>
      <c r="Q109" s="112"/>
      <c r="R109" s="112"/>
      <c r="S109" s="432"/>
      <c r="T109" s="112"/>
      <c r="U109" s="112"/>
      <c r="V109" s="112"/>
      <c r="W109" s="395"/>
      <c r="X109" s="395"/>
      <c r="Y109" s="395"/>
      <c r="Z109" s="395"/>
      <c r="AA109" s="395"/>
    </row>
    <row r="110" ht="15.75" customHeight="1">
      <c r="A110" s="112"/>
      <c r="B110" s="112"/>
      <c r="C110" s="412" t="str">
        <f t="array" ref="C110">IFERROR(INDEX(#REF!,MATCH($B110,Fornecedores!$B$8:$B$200,0)),"")</f>
        <v/>
      </c>
      <c r="D110" s="112"/>
      <c r="E110" s="112"/>
      <c r="F110" s="432"/>
      <c r="G110" s="433"/>
      <c r="H110" s="434" t="str">
        <f t="array" ref="H110">IFERROR(IF($A110="Medição",IFERROR(INDEX(#REF!,MATCH($B110,Fornecedores!$B$8:$B$200,0)),""),""),"")</f>
        <v/>
      </c>
      <c r="I110" s="435" t="str">
        <f t="shared" si="1"/>
        <v/>
      </c>
      <c r="J110" s="436"/>
      <c r="K110" s="437" t="str">
        <f t="array" ref="K110">IFERROR(IF($A110="Medição",IFERROR(INDEX(#REF!,MATCH($B110,Fornecedores!$B$8:$B$200,0)),0),""),"")</f>
        <v/>
      </c>
      <c r="L110" s="438" t="str">
        <f t="shared" si="2"/>
        <v/>
      </c>
      <c r="M110" s="439"/>
      <c r="N110" s="440" t="str">
        <f t="shared" si="3"/>
        <v/>
      </c>
      <c r="O110" s="432"/>
      <c r="P110" s="112"/>
      <c r="Q110" s="112"/>
      <c r="R110" s="112"/>
      <c r="S110" s="432"/>
      <c r="T110" s="112"/>
      <c r="U110" s="112"/>
      <c r="V110" s="112"/>
      <c r="W110" s="395"/>
      <c r="X110" s="395"/>
      <c r="Y110" s="395"/>
      <c r="Z110" s="395"/>
      <c r="AA110" s="395"/>
    </row>
    <row r="111" ht="15.75" customHeight="1">
      <c r="A111" s="112"/>
      <c r="B111" s="112"/>
      <c r="C111" s="412" t="str">
        <f t="array" ref="C111">IFERROR(INDEX(#REF!,MATCH($B111,Fornecedores!$B$8:$B$200,0)),"")</f>
        <v/>
      </c>
      <c r="D111" s="112"/>
      <c r="E111" s="112"/>
      <c r="F111" s="432"/>
      <c r="G111" s="433"/>
      <c r="H111" s="434" t="str">
        <f t="array" ref="H111">IFERROR(IF($A111="Medição",IFERROR(INDEX(#REF!,MATCH($B111,Fornecedores!$B$8:$B$200,0)),""),""),"")</f>
        <v/>
      </c>
      <c r="I111" s="435" t="str">
        <f t="shared" si="1"/>
        <v/>
      </c>
      <c r="J111" s="436"/>
      <c r="K111" s="437" t="str">
        <f t="array" ref="K111">IFERROR(IF($A111="Medição",IFERROR(INDEX(#REF!,MATCH($B111,Fornecedores!$B$8:$B$200,0)),0),""),"")</f>
        <v/>
      </c>
      <c r="L111" s="438" t="str">
        <f t="shared" si="2"/>
        <v/>
      </c>
      <c r="M111" s="439"/>
      <c r="N111" s="440" t="str">
        <f t="shared" si="3"/>
        <v/>
      </c>
      <c r="O111" s="432"/>
      <c r="P111" s="112"/>
      <c r="Q111" s="112"/>
      <c r="R111" s="112"/>
      <c r="S111" s="432"/>
      <c r="T111" s="112"/>
      <c r="U111" s="112"/>
      <c r="V111" s="112"/>
      <c r="W111" s="395"/>
      <c r="X111" s="395"/>
      <c r="Y111" s="395"/>
      <c r="Z111" s="395"/>
      <c r="AA111" s="395"/>
    </row>
    <row r="112" ht="15.75" customHeight="1">
      <c r="A112" s="112"/>
      <c r="B112" s="112"/>
      <c r="C112" s="412" t="str">
        <f t="array" ref="C112">IFERROR(INDEX(#REF!,MATCH($B112,Fornecedores!$B$8:$B$200,0)),"")</f>
        <v/>
      </c>
      <c r="D112" s="112"/>
      <c r="E112" s="112"/>
      <c r="F112" s="432"/>
      <c r="G112" s="433"/>
      <c r="H112" s="434" t="str">
        <f t="array" ref="H112">IFERROR(IF($A112="Medição",IFERROR(INDEX(#REF!,MATCH($B112,Fornecedores!$B$8:$B$200,0)),""),""),"")</f>
        <v/>
      </c>
      <c r="I112" s="435" t="str">
        <f t="shared" si="1"/>
        <v/>
      </c>
      <c r="J112" s="436"/>
      <c r="K112" s="437" t="str">
        <f t="array" ref="K112">IFERROR(IF($A112="Medição",IFERROR(INDEX(#REF!,MATCH($B112,Fornecedores!$B$8:$B$200,0)),0),""),"")</f>
        <v/>
      </c>
      <c r="L112" s="438" t="str">
        <f t="shared" si="2"/>
        <v/>
      </c>
      <c r="M112" s="439"/>
      <c r="N112" s="440" t="str">
        <f t="shared" si="3"/>
        <v/>
      </c>
      <c r="O112" s="432"/>
      <c r="P112" s="112"/>
      <c r="Q112" s="112"/>
      <c r="R112" s="112"/>
      <c r="S112" s="432"/>
      <c r="T112" s="112"/>
      <c r="U112" s="112"/>
      <c r="V112" s="112"/>
      <c r="W112" s="395"/>
      <c r="X112" s="395"/>
      <c r="Y112" s="395"/>
      <c r="Z112" s="395"/>
      <c r="AA112" s="395"/>
    </row>
    <row r="113" ht="15.75" customHeight="1">
      <c r="A113" s="112"/>
      <c r="B113" s="112"/>
      <c r="C113" s="412" t="str">
        <f t="array" ref="C113">IFERROR(INDEX(#REF!,MATCH($B113,Fornecedores!$B$8:$B$200,0)),"")</f>
        <v/>
      </c>
      <c r="D113" s="112"/>
      <c r="E113" s="112"/>
      <c r="F113" s="432"/>
      <c r="G113" s="433"/>
      <c r="H113" s="434" t="str">
        <f t="array" ref="H113">IFERROR(IF($A113="Medição",IFERROR(INDEX(#REF!,MATCH($B113,Fornecedores!$B$8:$B$200,0)),""),""),"")</f>
        <v/>
      </c>
      <c r="I113" s="435" t="str">
        <f t="shared" si="1"/>
        <v/>
      </c>
      <c r="J113" s="436"/>
      <c r="K113" s="437" t="str">
        <f t="array" ref="K113">IFERROR(IF($A113="Medição",IFERROR(INDEX(#REF!,MATCH($B113,Fornecedores!$B$8:$B$200,0)),0),""),"")</f>
        <v/>
      </c>
      <c r="L113" s="438" t="str">
        <f t="shared" si="2"/>
        <v/>
      </c>
      <c r="M113" s="439"/>
      <c r="N113" s="440" t="str">
        <f t="shared" si="3"/>
        <v/>
      </c>
      <c r="O113" s="432"/>
      <c r="P113" s="112"/>
      <c r="Q113" s="112"/>
      <c r="R113" s="112"/>
      <c r="S113" s="432"/>
      <c r="T113" s="112"/>
      <c r="U113" s="112"/>
      <c r="V113" s="112"/>
      <c r="W113" s="395"/>
      <c r="X113" s="395"/>
      <c r="Y113" s="395"/>
      <c r="Z113" s="395"/>
      <c r="AA113" s="395"/>
    </row>
    <row r="114" ht="15.75" customHeight="1">
      <c r="A114" s="112"/>
      <c r="B114" s="112"/>
      <c r="C114" s="412" t="str">
        <f t="array" ref="C114">IFERROR(INDEX(#REF!,MATCH($B114,Fornecedores!$B$8:$B$200,0)),"")</f>
        <v/>
      </c>
      <c r="D114" s="112"/>
      <c r="E114" s="112"/>
      <c r="F114" s="432"/>
      <c r="G114" s="433"/>
      <c r="H114" s="434" t="str">
        <f t="array" ref="H114">IFERROR(IF($A114="Medição",IFERROR(INDEX(#REF!,MATCH($B114,Fornecedores!$B$8:$B$200,0)),""),""),"")</f>
        <v/>
      </c>
      <c r="I114" s="435" t="str">
        <f t="shared" si="1"/>
        <v/>
      </c>
      <c r="J114" s="436"/>
      <c r="K114" s="437" t="str">
        <f t="array" ref="K114">IFERROR(IF($A114="Medição",IFERROR(INDEX(#REF!,MATCH($B114,Fornecedores!$B$8:$B$200,0)),0),""),"")</f>
        <v/>
      </c>
      <c r="L114" s="438" t="str">
        <f t="shared" si="2"/>
        <v/>
      </c>
      <c r="M114" s="439"/>
      <c r="N114" s="440" t="str">
        <f t="shared" si="3"/>
        <v/>
      </c>
      <c r="O114" s="432"/>
      <c r="P114" s="112"/>
      <c r="Q114" s="112"/>
      <c r="R114" s="112"/>
      <c r="S114" s="432"/>
      <c r="T114" s="112"/>
      <c r="U114" s="112"/>
      <c r="V114" s="112"/>
      <c r="W114" s="395"/>
      <c r="X114" s="395"/>
      <c r="Y114" s="395"/>
      <c r="Z114" s="395"/>
      <c r="AA114" s="395"/>
    </row>
    <row r="115" ht="15.75" customHeight="1">
      <c r="A115" s="112"/>
      <c r="B115" s="112"/>
      <c r="C115" s="412" t="str">
        <f t="array" ref="C115">IFERROR(INDEX(#REF!,MATCH($B115,Fornecedores!$B$8:$B$200,0)),"")</f>
        <v/>
      </c>
      <c r="D115" s="112"/>
      <c r="E115" s="112"/>
      <c r="F115" s="432"/>
      <c r="G115" s="433"/>
      <c r="H115" s="434" t="str">
        <f t="array" ref="H115">IFERROR(IF($A115="Medição",IFERROR(INDEX(#REF!,MATCH($B115,Fornecedores!$B$8:$B$200,0)),""),""),"")</f>
        <v/>
      </c>
      <c r="I115" s="435" t="str">
        <f t="shared" si="1"/>
        <v/>
      </c>
      <c r="J115" s="436"/>
      <c r="K115" s="437" t="str">
        <f t="array" ref="K115">IFERROR(IF($A115="Medição",IFERROR(INDEX(#REF!,MATCH($B115,Fornecedores!$B$8:$B$200,0)),0),""),"")</f>
        <v/>
      </c>
      <c r="L115" s="438" t="str">
        <f t="shared" si="2"/>
        <v/>
      </c>
      <c r="M115" s="439"/>
      <c r="N115" s="440" t="str">
        <f t="shared" si="3"/>
        <v/>
      </c>
      <c r="O115" s="432"/>
      <c r="P115" s="112"/>
      <c r="Q115" s="112"/>
      <c r="R115" s="112"/>
      <c r="S115" s="432"/>
      <c r="T115" s="112"/>
      <c r="U115" s="112"/>
      <c r="V115" s="112"/>
      <c r="W115" s="395"/>
      <c r="X115" s="395"/>
      <c r="Y115" s="395"/>
      <c r="Z115" s="395"/>
      <c r="AA115" s="395"/>
    </row>
    <row r="116" ht="15.75" customHeight="1">
      <c r="A116" s="112"/>
      <c r="B116" s="112"/>
      <c r="C116" s="412" t="str">
        <f t="array" ref="C116">IFERROR(INDEX(#REF!,MATCH($B116,Fornecedores!$B$8:$B$200,0)),"")</f>
        <v/>
      </c>
      <c r="D116" s="112"/>
      <c r="E116" s="112"/>
      <c r="F116" s="432"/>
      <c r="G116" s="433"/>
      <c r="H116" s="434" t="str">
        <f t="array" ref="H116">IFERROR(IF($A116="Medição",IFERROR(INDEX(#REF!,MATCH($B116,Fornecedores!$B$8:$B$200,0)),""),""),"")</f>
        <v/>
      </c>
      <c r="I116" s="435" t="str">
        <f t="shared" si="1"/>
        <v/>
      </c>
      <c r="J116" s="436"/>
      <c r="K116" s="437" t="str">
        <f t="array" ref="K116">IFERROR(IF($A116="Medição",IFERROR(INDEX(#REF!,MATCH($B116,Fornecedores!$B$8:$B$200,0)),0),""),"")</f>
        <v/>
      </c>
      <c r="L116" s="438" t="str">
        <f t="shared" si="2"/>
        <v/>
      </c>
      <c r="M116" s="439"/>
      <c r="N116" s="440" t="str">
        <f t="shared" si="3"/>
        <v/>
      </c>
      <c r="O116" s="432"/>
      <c r="P116" s="112"/>
      <c r="Q116" s="112"/>
      <c r="R116" s="112"/>
      <c r="S116" s="432"/>
      <c r="T116" s="112"/>
      <c r="U116" s="112"/>
      <c r="V116" s="112"/>
      <c r="W116" s="395"/>
      <c r="X116" s="395"/>
      <c r="Y116" s="395"/>
      <c r="Z116" s="395"/>
      <c r="AA116" s="395"/>
    </row>
    <row r="117" ht="15.75" customHeight="1">
      <c r="A117" s="112"/>
      <c r="B117" s="112"/>
      <c r="C117" s="412" t="str">
        <f t="array" ref="C117">IFERROR(INDEX(#REF!,MATCH($B117,Fornecedores!$B$8:$B$200,0)),"")</f>
        <v/>
      </c>
      <c r="D117" s="112"/>
      <c r="E117" s="112"/>
      <c r="F117" s="432"/>
      <c r="G117" s="433"/>
      <c r="H117" s="434" t="str">
        <f t="array" ref="H117">IFERROR(IF($A117="Medição",IFERROR(INDEX(#REF!,MATCH($B117,Fornecedores!$B$8:$B$200,0)),""),""),"")</f>
        <v/>
      </c>
      <c r="I117" s="435" t="str">
        <f t="shared" si="1"/>
        <v/>
      </c>
      <c r="J117" s="436"/>
      <c r="K117" s="437" t="str">
        <f t="array" ref="K117">IFERROR(IF($A117="Medição",IFERROR(INDEX(#REF!,MATCH($B117,Fornecedores!$B$8:$B$200,0)),0),""),"")</f>
        <v/>
      </c>
      <c r="L117" s="438" t="str">
        <f t="shared" si="2"/>
        <v/>
      </c>
      <c r="M117" s="439"/>
      <c r="N117" s="440" t="str">
        <f t="shared" si="3"/>
        <v/>
      </c>
      <c r="O117" s="432"/>
      <c r="P117" s="112"/>
      <c r="Q117" s="112"/>
      <c r="R117" s="112"/>
      <c r="S117" s="432"/>
      <c r="T117" s="112"/>
      <c r="U117" s="112"/>
      <c r="V117" s="112"/>
      <c r="W117" s="395"/>
      <c r="X117" s="395"/>
      <c r="Y117" s="395"/>
      <c r="Z117" s="395"/>
      <c r="AA117" s="395"/>
    </row>
    <row r="118" ht="15.75" customHeight="1">
      <c r="A118" s="112"/>
      <c r="B118" s="112"/>
      <c r="C118" s="412" t="str">
        <f t="array" ref="C118">IFERROR(INDEX(#REF!,MATCH($B118,Fornecedores!$B$8:$B$200,0)),"")</f>
        <v/>
      </c>
      <c r="D118" s="112"/>
      <c r="E118" s="112"/>
      <c r="F118" s="432"/>
      <c r="G118" s="433"/>
      <c r="H118" s="434" t="str">
        <f t="array" ref="H118">IFERROR(IF($A118="Medição",IFERROR(INDEX(#REF!,MATCH($B118,Fornecedores!$B$8:$B$200,0)),""),""),"")</f>
        <v/>
      </c>
      <c r="I118" s="435" t="str">
        <f t="shared" si="1"/>
        <v/>
      </c>
      <c r="J118" s="436"/>
      <c r="K118" s="437" t="str">
        <f t="array" ref="K118">IFERROR(IF($A118="Medição",IFERROR(INDEX(#REF!,MATCH($B118,Fornecedores!$B$8:$B$200,0)),0),""),"")</f>
        <v/>
      </c>
      <c r="L118" s="438" t="str">
        <f t="shared" si="2"/>
        <v/>
      </c>
      <c r="M118" s="439"/>
      <c r="N118" s="440" t="str">
        <f t="shared" si="3"/>
        <v/>
      </c>
      <c r="O118" s="432"/>
      <c r="P118" s="112"/>
      <c r="Q118" s="112"/>
      <c r="R118" s="112"/>
      <c r="S118" s="432"/>
      <c r="T118" s="112"/>
      <c r="U118" s="112"/>
      <c r="V118" s="112"/>
      <c r="W118" s="395"/>
      <c r="X118" s="395"/>
      <c r="Y118" s="395"/>
      <c r="Z118" s="395"/>
      <c r="AA118" s="395"/>
    </row>
    <row r="119" ht="15.75" customHeight="1">
      <c r="A119" s="112"/>
      <c r="B119" s="112"/>
      <c r="C119" s="412" t="str">
        <f t="array" ref="C119">IFERROR(INDEX(#REF!,MATCH($B119,Fornecedores!$B$8:$B$200,0)),"")</f>
        <v/>
      </c>
      <c r="D119" s="112"/>
      <c r="E119" s="112"/>
      <c r="F119" s="432"/>
      <c r="G119" s="433"/>
      <c r="H119" s="434" t="str">
        <f t="array" ref="H119">IFERROR(IF($A119="Medição",IFERROR(INDEX(#REF!,MATCH($B119,Fornecedores!$B$8:$B$200,0)),""),""),"")</f>
        <v/>
      </c>
      <c r="I119" s="435" t="str">
        <f t="shared" si="1"/>
        <v/>
      </c>
      <c r="J119" s="436"/>
      <c r="K119" s="437" t="str">
        <f t="array" ref="K119">IFERROR(IF($A119="Medição",IFERROR(INDEX(#REF!,MATCH($B119,Fornecedores!$B$8:$B$200,0)),0),""),"")</f>
        <v/>
      </c>
      <c r="L119" s="438" t="str">
        <f t="shared" si="2"/>
        <v/>
      </c>
      <c r="M119" s="439"/>
      <c r="N119" s="440" t="str">
        <f t="shared" si="3"/>
        <v/>
      </c>
      <c r="O119" s="432"/>
      <c r="P119" s="112"/>
      <c r="Q119" s="112"/>
      <c r="R119" s="112"/>
      <c r="S119" s="432"/>
      <c r="T119" s="112"/>
      <c r="U119" s="112"/>
      <c r="V119" s="112"/>
      <c r="W119" s="395"/>
      <c r="X119" s="395"/>
      <c r="Y119" s="395"/>
      <c r="Z119" s="395"/>
      <c r="AA119" s="395"/>
    </row>
    <row r="120" ht="15.75" customHeight="1">
      <c r="A120" s="112"/>
      <c r="B120" s="112"/>
      <c r="C120" s="412" t="str">
        <f t="array" ref="C120">IFERROR(INDEX(#REF!,MATCH($B120,Fornecedores!$B$8:$B$200,0)),"")</f>
        <v/>
      </c>
      <c r="D120" s="112"/>
      <c r="E120" s="112"/>
      <c r="F120" s="432"/>
      <c r="G120" s="433"/>
      <c r="H120" s="434" t="str">
        <f t="array" ref="H120">IFERROR(IF($A120="Medição",IFERROR(INDEX(#REF!,MATCH($B120,Fornecedores!$B$8:$B$200,0)),""),""),"")</f>
        <v/>
      </c>
      <c r="I120" s="435" t="str">
        <f t="shared" si="1"/>
        <v/>
      </c>
      <c r="J120" s="436"/>
      <c r="K120" s="437" t="str">
        <f t="array" ref="K120">IFERROR(IF($A120="Medição",IFERROR(INDEX(#REF!,MATCH($B120,Fornecedores!$B$8:$B$200,0)),0),""),"")</f>
        <v/>
      </c>
      <c r="L120" s="438" t="str">
        <f t="shared" si="2"/>
        <v/>
      </c>
      <c r="M120" s="439"/>
      <c r="N120" s="440" t="str">
        <f t="shared" si="3"/>
        <v/>
      </c>
      <c r="O120" s="432"/>
      <c r="P120" s="112"/>
      <c r="Q120" s="112"/>
      <c r="R120" s="112"/>
      <c r="S120" s="432"/>
      <c r="T120" s="112"/>
      <c r="U120" s="112"/>
      <c r="V120" s="112"/>
      <c r="W120" s="395"/>
      <c r="X120" s="395"/>
      <c r="Y120" s="395"/>
      <c r="Z120" s="395"/>
      <c r="AA120" s="395"/>
    </row>
    <row r="121" ht="15.75" customHeight="1">
      <c r="A121" s="112"/>
      <c r="B121" s="112"/>
      <c r="C121" s="412" t="str">
        <f t="array" ref="C121">IFERROR(INDEX(#REF!,MATCH($B121,Fornecedores!$B$8:$B$200,0)),"")</f>
        <v/>
      </c>
      <c r="D121" s="112"/>
      <c r="E121" s="112"/>
      <c r="F121" s="432"/>
      <c r="G121" s="433"/>
      <c r="H121" s="434" t="str">
        <f t="array" ref="H121">IFERROR(IF($A121="Medição",IFERROR(INDEX(#REF!,MATCH($B121,Fornecedores!$B$8:$B$200,0)),""),""),"")</f>
        <v/>
      </c>
      <c r="I121" s="435" t="str">
        <f t="shared" si="1"/>
        <v/>
      </c>
      <c r="J121" s="436"/>
      <c r="K121" s="437" t="str">
        <f t="array" ref="K121">IFERROR(IF($A121="Medição",IFERROR(INDEX(#REF!,MATCH($B121,Fornecedores!$B$8:$B$200,0)),0),""),"")</f>
        <v/>
      </c>
      <c r="L121" s="438" t="str">
        <f t="shared" si="2"/>
        <v/>
      </c>
      <c r="M121" s="439"/>
      <c r="N121" s="440" t="str">
        <f t="shared" si="3"/>
        <v/>
      </c>
      <c r="O121" s="432"/>
      <c r="P121" s="112"/>
      <c r="Q121" s="112"/>
      <c r="R121" s="112"/>
      <c r="S121" s="432"/>
      <c r="T121" s="112"/>
      <c r="U121" s="112"/>
      <c r="V121" s="112"/>
      <c r="W121" s="395"/>
      <c r="X121" s="395"/>
      <c r="Y121" s="395"/>
      <c r="Z121" s="395"/>
      <c r="AA121" s="395"/>
    </row>
    <row r="122" ht="15.75" customHeight="1">
      <c r="A122" s="112"/>
      <c r="B122" s="112"/>
      <c r="C122" s="412" t="str">
        <f t="array" ref="C122">IFERROR(INDEX(#REF!,MATCH($B122,Fornecedores!$B$8:$B$200,0)),"")</f>
        <v/>
      </c>
      <c r="D122" s="112"/>
      <c r="E122" s="112"/>
      <c r="F122" s="432"/>
      <c r="G122" s="433"/>
      <c r="H122" s="434" t="str">
        <f t="array" ref="H122">IFERROR(IF($A122="Medição",IFERROR(INDEX(#REF!,MATCH($B122,Fornecedores!$B$8:$B$200,0)),""),""),"")</f>
        <v/>
      </c>
      <c r="I122" s="435" t="str">
        <f t="shared" si="1"/>
        <v/>
      </c>
      <c r="J122" s="436"/>
      <c r="K122" s="437" t="str">
        <f t="array" ref="K122">IFERROR(IF($A122="Medição",IFERROR(INDEX(#REF!,MATCH($B122,Fornecedores!$B$8:$B$200,0)),0),""),"")</f>
        <v/>
      </c>
      <c r="L122" s="438" t="str">
        <f t="shared" si="2"/>
        <v/>
      </c>
      <c r="M122" s="439"/>
      <c r="N122" s="440" t="str">
        <f t="shared" si="3"/>
        <v/>
      </c>
      <c r="O122" s="432"/>
      <c r="P122" s="112"/>
      <c r="Q122" s="112"/>
      <c r="R122" s="112"/>
      <c r="S122" s="432"/>
      <c r="T122" s="112"/>
      <c r="U122" s="112"/>
      <c r="V122" s="112"/>
      <c r="W122" s="395"/>
      <c r="X122" s="395"/>
      <c r="Y122" s="395"/>
      <c r="Z122" s="395"/>
      <c r="AA122" s="395"/>
    </row>
    <row r="123" ht="15.75" customHeight="1">
      <c r="A123" s="112"/>
      <c r="B123" s="112"/>
      <c r="C123" s="412" t="str">
        <f t="array" ref="C123">IFERROR(INDEX(#REF!,MATCH($B123,Fornecedores!$B$8:$B$200,0)),"")</f>
        <v/>
      </c>
      <c r="D123" s="112"/>
      <c r="E123" s="112"/>
      <c r="F123" s="432"/>
      <c r="G123" s="433"/>
      <c r="H123" s="434" t="str">
        <f t="array" ref="H123">IFERROR(IF($A123="Medição",IFERROR(INDEX(#REF!,MATCH($B123,Fornecedores!$B$8:$B$200,0)),""),""),"")</f>
        <v/>
      </c>
      <c r="I123" s="435" t="str">
        <f t="shared" si="1"/>
        <v/>
      </c>
      <c r="J123" s="436"/>
      <c r="K123" s="437" t="str">
        <f t="array" ref="K123">IFERROR(IF($A123="Medição",IFERROR(INDEX(#REF!,MATCH($B123,Fornecedores!$B$8:$B$200,0)),0),""),"")</f>
        <v/>
      </c>
      <c r="L123" s="438" t="str">
        <f t="shared" si="2"/>
        <v/>
      </c>
      <c r="M123" s="439"/>
      <c r="N123" s="440" t="str">
        <f t="shared" si="3"/>
        <v/>
      </c>
      <c r="O123" s="432"/>
      <c r="P123" s="112"/>
      <c r="Q123" s="112"/>
      <c r="R123" s="112"/>
      <c r="S123" s="432"/>
      <c r="T123" s="112"/>
      <c r="U123" s="112"/>
      <c r="V123" s="112"/>
      <c r="W123" s="395"/>
      <c r="X123" s="395"/>
      <c r="Y123" s="395"/>
      <c r="Z123" s="395"/>
      <c r="AA123" s="395"/>
    </row>
    <row r="124" ht="15.75" customHeight="1">
      <c r="A124" s="112"/>
      <c r="B124" s="112"/>
      <c r="C124" s="412" t="str">
        <f t="array" ref="C124">IFERROR(INDEX(#REF!,MATCH($B124,Fornecedores!$B$8:$B$200,0)),"")</f>
        <v/>
      </c>
      <c r="D124" s="112"/>
      <c r="E124" s="112"/>
      <c r="F124" s="432"/>
      <c r="G124" s="433"/>
      <c r="H124" s="434" t="str">
        <f t="array" ref="H124">IFERROR(IF($A124="Medição",IFERROR(INDEX(#REF!,MATCH($B124,Fornecedores!$B$8:$B$200,0)),""),""),"")</f>
        <v/>
      </c>
      <c r="I124" s="435" t="str">
        <f t="shared" si="1"/>
        <v/>
      </c>
      <c r="J124" s="436"/>
      <c r="K124" s="437" t="str">
        <f t="array" ref="K124">IFERROR(IF($A124="Medição",IFERROR(INDEX(#REF!,MATCH($B124,Fornecedores!$B$8:$B$200,0)),0),""),"")</f>
        <v/>
      </c>
      <c r="L124" s="438" t="str">
        <f t="shared" si="2"/>
        <v/>
      </c>
      <c r="M124" s="439"/>
      <c r="N124" s="440" t="str">
        <f t="shared" si="3"/>
        <v/>
      </c>
      <c r="O124" s="432"/>
      <c r="P124" s="112"/>
      <c r="Q124" s="112"/>
      <c r="R124" s="112"/>
      <c r="S124" s="432"/>
      <c r="T124" s="112"/>
      <c r="U124" s="112"/>
      <c r="V124" s="112"/>
      <c r="W124" s="395"/>
      <c r="X124" s="395"/>
      <c r="Y124" s="395"/>
      <c r="Z124" s="395"/>
      <c r="AA124" s="395"/>
    </row>
    <row r="125" ht="15.75" customHeight="1">
      <c r="A125" s="112"/>
      <c r="B125" s="112"/>
      <c r="C125" s="412" t="str">
        <f t="array" ref="C125">IFERROR(INDEX(#REF!,MATCH($B125,Fornecedores!$B$8:$B$200,0)),"")</f>
        <v/>
      </c>
      <c r="D125" s="112"/>
      <c r="E125" s="112"/>
      <c r="F125" s="432"/>
      <c r="G125" s="433"/>
      <c r="H125" s="434" t="str">
        <f t="array" ref="H125">IFERROR(IF($A125="Medição",IFERROR(INDEX(#REF!,MATCH($B125,Fornecedores!$B$8:$B$200,0)),""),""),"")</f>
        <v/>
      </c>
      <c r="I125" s="435" t="str">
        <f t="shared" si="1"/>
        <v/>
      </c>
      <c r="J125" s="436"/>
      <c r="K125" s="437" t="str">
        <f t="array" ref="K125">IFERROR(IF($A125="Medição",IFERROR(INDEX(#REF!,MATCH($B125,Fornecedores!$B$8:$B$200,0)),0),""),"")</f>
        <v/>
      </c>
      <c r="L125" s="438" t="str">
        <f t="shared" si="2"/>
        <v/>
      </c>
      <c r="M125" s="439"/>
      <c r="N125" s="440" t="str">
        <f t="shared" si="3"/>
        <v/>
      </c>
      <c r="O125" s="432"/>
      <c r="P125" s="112"/>
      <c r="Q125" s="112"/>
      <c r="R125" s="112"/>
      <c r="S125" s="432"/>
      <c r="T125" s="112"/>
      <c r="U125" s="112"/>
      <c r="V125" s="112"/>
      <c r="W125" s="395"/>
      <c r="X125" s="395"/>
      <c r="Y125" s="395"/>
      <c r="Z125" s="395"/>
      <c r="AA125" s="395"/>
    </row>
    <row r="126" ht="15.75" customHeight="1">
      <c r="A126" s="112"/>
      <c r="B126" s="112"/>
      <c r="C126" s="412" t="str">
        <f t="array" ref="C126">IFERROR(INDEX(#REF!,MATCH($B126,Fornecedores!$B$8:$B$200,0)),"")</f>
        <v/>
      </c>
      <c r="D126" s="112"/>
      <c r="E126" s="112"/>
      <c r="F126" s="432"/>
      <c r="G126" s="433"/>
      <c r="H126" s="434" t="str">
        <f t="array" ref="H126">IFERROR(IF($A126="Medição",IFERROR(INDEX(#REF!,MATCH($B126,Fornecedores!$B$8:$B$200,0)),""),""),"")</f>
        <v/>
      </c>
      <c r="I126" s="435" t="str">
        <f t="shared" si="1"/>
        <v/>
      </c>
      <c r="J126" s="436"/>
      <c r="K126" s="437" t="str">
        <f t="array" ref="K126">IFERROR(IF($A126="Medição",IFERROR(INDEX(#REF!,MATCH($B126,Fornecedores!$B$8:$B$200,0)),0),""),"")</f>
        <v/>
      </c>
      <c r="L126" s="438" t="str">
        <f t="shared" si="2"/>
        <v/>
      </c>
      <c r="M126" s="439"/>
      <c r="N126" s="440" t="str">
        <f t="shared" si="3"/>
        <v/>
      </c>
      <c r="O126" s="432"/>
      <c r="P126" s="112"/>
      <c r="Q126" s="112"/>
      <c r="R126" s="112"/>
      <c r="S126" s="432"/>
      <c r="T126" s="112"/>
      <c r="U126" s="112"/>
      <c r="V126" s="112"/>
      <c r="W126" s="395"/>
      <c r="X126" s="395"/>
      <c r="Y126" s="395"/>
      <c r="Z126" s="395"/>
      <c r="AA126" s="395"/>
    </row>
    <row r="127" ht="15.75" customHeight="1">
      <c r="A127" s="112"/>
      <c r="B127" s="112"/>
      <c r="C127" s="412" t="str">
        <f t="array" ref="C127">IFERROR(INDEX(#REF!,MATCH($B127,Fornecedores!$B$8:$B$200,0)),"")</f>
        <v/>
      </c>
      <c r="D127" s="112"/>
      <c r="E127" s="112"/>
      <c r="F127" s="432"/>
      <c r="G127" s="433"/>
      <c r="H127" s="434" t="str">
        <f t="array" ref="H127">IFERROR(IF($A127="Medição",IFERROR(INDEX(#REF!,MATCH($B127,Fornecedores!$B$8:$B$200,0)),""),""),"")</f>
        <v/>
      </c>
      <c r="I127" s="435" t="str">
        <f t="shared" si="1"/>
        <v/>
      </c>
      <c r="J127" s="436"/>
      <c r="K127" s="437" t="str">
        <f t="array" ref="K127">IFERROR(IF($A127="Medição",IFERROR(INDEX(#REF!,MATCH($B127,Fornecedores!$B$8:$B$200,0)),0),""),"")</f>
        <v/>
      </c>
      <c r="L127" s="438" t="str">
        <f t="shared" si="2"/>
        <v/>
      </c>
      <c r="M127" s="439"/>
      <c r="N127" s="440" t="str">
        <f t="shared" si="3"/>
        <v/>
      </c>
      <c r="O127" s="432"/>
      <c r="P127" s="112"/>
      <c r="Q127" s="112"/>
      <c r="R127" s="112"/>
      <c r="S127" s="432"/>
      <c r="T127" s="112"/>
      <c r="U127" s="112"/>
      <c r="V127" s="112"/>
      <c r="W127" s="395"/>
      <c r="X127" s="395"/>
      <c r="Y127" s="395"/>
      <c r="Z127" s="395"/>
      <c r="AA127" s="395"/>
    </row>
    <row r="128" ht="15.75" customHeight="1">
      <c r="A128" s="112"/>
      <c r="B128" s="112"/>
      <c r="C128" s="412" t="str">
        <f t="array" ref="C128">IFERROR(INDEX(#REF!,MATCH($B128,Fornecedores!$B$8:$B$200,0)),"")</f>
        <v/>
      </c>
      <c r="D128" s="112"/>
      <c r="E128" s="112"/>
      <c r="F128" s="432"/>
      <c r="G128" s="433"/>
      <c r="H128" s="434" t="str">
        <f t="array" ref="H128">IFERROR(IF($A128="Medição",IFERROR(INDEX(#REF!,MATCH($B128,Fornecedores!$B$8:$B$200,0)),""),""),"")</f>
        <v/>
      </c>
      <c r="I128" s="435" t="str">
        <f t="shared" si="1"/>
        <v/>
      </c>
      <c r="J128" s="436"/>
      <c r="K128" s="437" t="str">
        <f t="array" ref="K128">IFERROR(IF($A128="Medição",IFERROR(INDEX(#REF!,MATCH($B128,Fornecedores!$B$8:$B$200,0)),0),""),"")</f>
        <v/>
      </c>
      <c r="L128" s="438" t="str">
        <f t="shared" si="2"/>
        <v/>
      </c>
      <c r="M128" s="439"/>
      <c r="N128" s="440" t="str">
        <f t="shared" si="3"/>
        <v/>
      </c>
      <c r="O128" s="432"/>
      <c r="P128" s="112"/>
      <c r="Q128" s="112"/>
      <c r="R128" s="112"/>
      <c r="S128" s="432"/>
      <c r="T128" s="112"/>
      <c r="U128" s="112"/>
      <c r="V128" s="112"/>
      <c r="W128" s="395"/>
      <c r="X128" s="395"/>
      <c r="Y128" s="395"/>
      <c r="Z128" s="395"/>
      <c r="AA128" s="395"/>
    </row>
    <row r="129" ht="15.75" customHeight="1">
      <c r="A129" s="112"/>
      <c r="B129" s="112"/>
      <c r="C129" s="412" t="str">
        <f t="array" ref="C129">IFERROR(INDEX(#REF!,MATCH($B129,Fornecedores!$B$8:$B$200,0)),"")</f>
        <v/>
      </c>
      <c r="D129" s="112"/>
      <c r="E129" s="112"/>
      <c r="F129" s="432"/>
      <c r="G129" s="433"/>
      <c r="H129" s="434" t="str">
        <f t="array" ref="H129">IFERROR(IF($A129="Medição",IFERROR(INDEX(#REF!,MATCH($B129,Fornecedores!$B$8:$B$200,0)),""),""),"")</f>
        <v/>
      </c>
      <c r="I129" s="435" t="str">
        <f t="shared" si="1"/>
        <v/>
      </c>
      <c r="J129" s="436"/>
      <c r="K129" s="437" t="str">
        <f t="array" ref="K129">IFERROR(IF($A129="Medição",IFERROR(INDEX(#REF!,MATCH($B129,Fornecedores!$B$8:$B$200,0)),0),""),"")</f>
        <v/>
      </c>
      <c r="L129" s="438" t="str">
        <f t="shared" si="2"/>
        <v/>
      </c>
      <c r="M129" s="439"/>
      <c r="N129" s="440" t="str">
        <f t="shared" si="3"/>
        <v/>
      </c>
      <c r="O129" s="432"/>
      <c r="P129" s="112"/>
      <c r="Q129" s="112"/>
      <c r="R129" s="112"/>
      <c r="S129" s="432"/>
      <c r="T129" s="112"/>
      <c r="U129" s="112"/>
      <c r="V129" s="112"/>
      <c r="W129" s="395"/>
      <c r="X129" s="395"/>
      <c r="Y129" s="395"/>
      <c r="Z129" s="395"/>
      <c r="AA129" s="395"/>
    </row>
    <row r="130" ht="15.75" customHeight="1">
      <c r="A130" s="112"/>
      <c r="B130" s="112"/>
      <c r="C130" s="412" t="str">
        <f t="array" ref="C130">IFERROR(INDEX(#REF!,MATCH($B130,Fornecedores!$B$8:$B$200,0)),"")</f>
        <v/>
      </c>
      <c r="D130" s="112"/>
      <c r="E130" s="112"/>
      <c r="F130" s="432"/>
      <c r="G130" s="433"/>
      <c r="H130" s="434" t="str">
        <f t="array" ref="H130">IFERROR(IF($A130="Medição",IFERROR(INDEX(#REF!,MATCH($B130,Fornecedores!$B$8:$B$200,0)),""),""),"")</f>
        <v/>
      </c>
      <c r="I130" s="435" t="str">
        <f t="shared" si="1"/>
        <v/>
      </c>
      <c r="J130" s="436"/>
      <c r="K130" s="437" t="str">
        <f t="array" ref="K130">IFERROR(IF($A130="Medição",IFERROR(INDEX(#REF!,MATCH($B130,Fornecedores!$B$8:$B$200,0)),0),""),"")</f>
        <v/>
      </c>
      <c r="L130" s="438" t="str">
        <f t="shared" si="2"/>
        <v/>
      </c>
      <c r="M130" s="439"/>
      <c r="N130" s="440" t="str">
        <f t="shared" si="3"/>
        <v/>
      </c>
      <c r="O130" s="432"/>
      <c r="P130" s="112"/>
      <c r="Q130" s="112"/>
      <c r="R130" s="112"/>
      <c r="S130" s="432"/>
      <c r="T130" s="112"/>
      <c r="U130" s="112"/>
      <c r="V130" s="112"/>
      <c r="W130" s="395"/>
      <c r="X130" s="395"/>
      <c r="Y130" s="395"/>
      <c r="Z130" s="395"/>
      <c r="AA130" s="395"/>
    </row>
    <row r="131" ht="15.75" customHeight="1">
      <c r="A131" s="112"/>
      <c r="B131" s="112"/>
      <c r="C131" s="412" t="str">
        <f t="array" ref="C131">IFERROR(INDEX(#REF!,MATCH($B131,Fornecedores!$B$8:$B$200,0)),"")</f>
        <v/>
      </c>
      <c r="D131" s="112"/>
      <c r="E131" s="112"/>
      <c r="F131" s="432"/>
      <c r="G131" s="433"/>
      <c r="H131" s="434" t="str">
        <f t="array" ref="H131">IFERROR(IF($A131="Medição",IFERROR(INDEX(#REF!,MATCH($B131,Fornecedores!$B$8:$B$200,0)),""),""),"")</f>
        <v/>
      </c>
      <c r="I131" s="435" t="str">
        <f t="shared" si="1"/>
        <v/>
      </c>
      <c r="J131" s="436"/>
      <c r="K131" s="437" t="str">
        <f t="array" ref="K131">IFERROR(IF($A131="Medição",IFERROR(INDEX(#REF!,MATCH($B131,Fornecedores!$B$8:$B$200,0)),0),""),"")</f>
        <v/>
      </c>
      <c r="L131" s="438" t="str">
        <f t="shared" si="2"/>
        <v/>
      </c>
      <c r="M131" s="439"/>
      <c r="N131" s="440" t="str">
        <f t="shared" si="3"/>
        <v/>
      </c>
      <c r="O131" s="432"/>
      <c r="P131" s="112"/>
      <c r="Q131" s="112"/>
      <c r="R131" s="112"/>
      <c r="S131" s="432"/>
      <c r="T131" s="112"/>
      <c r="U131" s="112"/>
      <c r="V131" s="112"/>
      <c r="W131" s="395"/>
      <c r="X131" s="395"/>
      <c r="Y131" s="395"/>
      <c r="Z131" s="395"/>
      <c r="AA131" s="395"/>
    </row>
    <row r="132" ht="15.75" customHeight="1">
      <c r="A132" s="112"/>
      <c r="B132" s="112"/>
      <c r="C132" s="412" t="str">
        <f t="array" ref="C132">IFERROR(INDEX(#REF!,MATCH($B132,Fornecedores!$B$8:$B$200,0)),"")</f>
        <v/>
      </c>
      <c r="D132" s="112"/>
      <c r="E132" s="112"/>
      <c r="F132" s="432"/>
      <c r="G132" s="433"/>
      <c r="H132" s="434" t="str">
        <f t="array" ref="H132">IFERROR(IF($A132="Medição",IFERROR(INDEX(#REF!,MATCH($B132,Fornecedores!$B$8:$B$200,0)),""),""),"")</f>
        <v/>
      </c>
      <c r="I132" s="435" t="str">
        <f t="shared" si="1"/>
        <v/>
      </c>
      <c r="J132" s="436"/>
      <c r="K132" s="437" t="str">
        <f t="array" ref="K132">IFERROR(IF($A132="Medição",IFERROR(INDEX(#REF!,MATCH($B132,Fornecedores!$B$8:$B$200,0)),0),""),"")</f>
        <v/>
      </c>
      <c r="L132" s="438" t="str">
        <f t="shared" si="2"/>
        <v/>
      </c>
      <c r="M132" s="439"/>
      <c r="N132" s="440" t="str">
        <f t="shared" si="3"/>
        <v/>
      </c>
      <c r="O132" s="432"/>
      <c r="P132" s="112"/>
      <c r="Q132" s="112"/>
      <c r="R132" s="112"/>
      <c r="S132" s="432"/>
      <c r="T132" s="112"/>
      <c r="U132" s="112"/>
      <c r="V132" s="112"/>
      <c r="W132" s="395"/>
      <c r="X132" s="395"/>
      <c r="Y132" s="395"/>
      <c r="Z132" s="395"/>
      <c r="AA132" s="395"/>
    </row>
    <row r="133" ht="15.75" customHeight="1">
      <c r="A133" s="112"/>
      <c r="B133" s="112"/>
      <c r="C133" s="412" t="str">
        <f t="array" ref="C133">IFERROR(INDEX(#REF!,MATCH($B133,Fornecedores!$B$8:$B$200,0)),"")</f>
        <v/>
      </c>
      <c r="D133" s="112"/>
      <c r="E133" s="112"/>
      <c r="F133" s="432"/>
      <c r="G133" s="433"/>
      <c r="H133" s="434" t="str">
        <f t="array" ref="H133">IFERROR(IF($A133="Medição",IFERROR(INDEX(#REF!,MATCH($B133,Fornecedores!$B$8:$B$200,0)),""),""),"")</f>
        <v/>
      </c>
      <c r="I133" s="435" t="str">
        <f t="shared" si="1"/>
        <v/>
      </c>
      <c r="J133" s="436"/>
      <c r="K133" s="437" t="str">
        <f t="array" ref="K133">IFERROR(IF($A133="Medição",IFERROR(INDEX(#REF!,MATCH($B133,Fornecedores!$B$8:$B$200,0)),0),""),"")</f>
        <v/>
      </c>
      <c r="L133" s="438" t="str">
        <f t="shared" si="2"/>
        <v/>
      </c>
      <c r="M133" s="439"/>
      <c r="N133" s="440" t="str">
        <f t="shared" si="3"/>
        <v/>
      </c>
      <c r="O133" s="432"/>
      <c r="P133" s="112"/>
      <c r="Q133" s="112"/>
      <c r="R133" s="112"/>
      <c r="S133" s="432"/>
      <c r="T133" s="112"/>
      <c r="U133" s="112"/>
      <c r="V133" s="112"/>
      <c r="W133" s="395"/>
      <c r="X133" s="395"/>
      <c r="Y133" s="395"/>
      <c r="Z133" s="395"/>
      <c r="AA133" s="395"/>
    </row>
    <row r="134" ht="15.75" customHeight="1">
      <c r="A134" s="112"/>
      <c r="B134" s="112"/>
      <c r="C134" s="412" t="str">
        <f t="array" ref="C134">IFERROR(INDEX(#REF!,MATCH($B134,Fornecedores!$B$8:$B$200,0)),"")</f>
        <v/>
      </c>
      <c r="D134" s="112"/>
      <c r="E134" s="112"/>
      <c r="F134" s="432"/>
      <c r="G134" s="433"/>
      <c r="H134" s="434" t="str">
        <f t="array" ref="H134">IFERROR(IF($A134="Medição",IFERROR(INDEX(#REF!,MATCH($B134,Fornecedores!$B$8:$B$200,0)),""),""),"")</f>
        <v/>
      </c>
      <c r="I134" s="435" t="str">
        <f t="shared" si="1"/>
        <v/>
      </c>
      <c r="J134" s="436"/>
      <c r="K134" s="437" t="str">
        <f t="array" ref="K134">IFERROR(IF($A134="Medição",IFERROR(INDEX(#REF!,MATCH($B134,Fornecedores!$B$8:$B$200,0)),0),""),"")</f>
        <v/>
      </c>
      <c r="L134" s="438" t="str">
        <f t="shared" si="2"/>
        <v/>
      </c>
      <c r="M134" s="439"/>
      <c r="N134" s="440" t="str">
        <f t="shared" si="3"/>
        <v/>
      </c>
      <c r="O134" s="432"/>
      <c r="P134" s="112"/>
      <c r="Q134" s="112"/>
      <c r="R134" s="112"/>
      <c r="S134" s="432"/>
      <c r="T134" s="112"/>
      <c r="U134" s="112"/>
      <c r="V134" s="112"/>
      <c r="W134" s="395"/>
      <c r="X134" s="395"/>
      <c r="Y134" s="395"/>
      <c r="Z134" s="395"/>
      <c r="AA134" s="395"/>
    </row>
    <row r="135" ht="15.75" customHeight="1">
      <c r="A135" s="112"/>
      <c r="B135" s="112"/>
      <c r="C135" s="412" t="str">
        <f t="array" ref="C135">IFERROR(INDEX(#REF!,MATCH($B135,Fornecedores!$B$8:$B$200,0)),"")</f>
        <v/>
      </c>
      <c r="D135" s="112"/>
      <c r="E135" s="112"/>
      <c r="F135" s="432"/>
      <c r="G135" s="433"/>
      <c r="H135" s="434" t="str">
        <f t="array" ref="H135">IFERROR(IF($A135="Medição",IFERROR(INDEX(#REF!,MATCH($B135,Fornecedores!$B$8:$B$200,0)),""),""),"")</f>
        <v/>
      </c>
      <c r="I135" s="435" t="str">
        <f t="shared" si="1"/>
        <v/>
      </c>
      <c r="J135" s="436"/>
      <c r="K135" s="437" t="str">
        <f t="array" ref="K135">IFERROR(IF($A135="Medição",IFERROR(INDEX(#REF!,MATCH($B135,Fornecedores!$B$8:$B$200,0)),0),""),"")</f>
        <v/>
      </c>
      <c r="L135" s="438" t="str">
        <f t="shared" si="2"/>
        <v/>
      </c>
      <c r="M135" s="439"/>
      <c r="N135" s="440" t="str">
        <f t="shared" si="3"/>
        <v/>
      </c>
      <c r="O135" s="432"/>
      <c r="P135" s="112"/>
      <c r="Q135" s="112"/>
      <c r="R135" s="112"/>
      <c r="S135" s="432"/>
      <c r="T135" s="112"/>
      <c r="U135" s="112"/>
      <c r="V135" s="112"/>
      <c r="W135" s="395"/>
      <c r="X135" s="395"/>
      <c r="Y135" s="395"/>
      <c r="Z135" s="395"/>
      <c r="AA135" s="395"/>
    </row>
    <row r="136" ht="15.75" customHeight="1">
      <c r="A136" s="112"/>
      <c r="B136" s="112"/>
      <c r="C136" s="412" t="str">
        <f t="array" ref="C136">IFERROR(INDEX(#REF!,MATCH($B136,Fornecedores!$B$8:$B$200,0)),"")</f>
        <v/>
      </c>
      <c r="D136" s="112"/>
      <c r="E136" s="112"/>
      <c r="F136" s="432"/>
      <c r="G136" s="433"/>
      <c r="H136" s="434" t="str">
        <f t="array" ref="H136">IFERROR(IF($A136="Medição",IFERROR(INDEX(#REF!,MATCH($B136,Fornecedores!$B$8:$B$200,0)),""),""),"")</f>
        <v/>
      </c>
      <c r="I136" s="435" t="str">
        <f t="shared" si="1"/>
        <v/>
      </c>
      <c r="J136" s="436"/>
      <c r="K136" s="437" t="str">
        <f t="array" ref="K136">IFERROR(IF($A136="Medição",IFERROR(INDEX(#REF!,MATCH($B136,Fornecedores!$B$8:$B$200,0)),0),""),"")</f>
        <v/>
      </c>
      <c r="L136" s="438" t="str">
        <f t="shared" si="2"/>
        <v/>
      </c>
      <c r="M136" s="439"/>
      <c r="N136" s="440" t="str">
        <f t="shared" si="3"/>
        <v/>
      </c>
      <c r="O136" s="432"/>
      <c r="P136" s="112"/>
      <c r="Q136" s="112"/>
      <c r="R136" s="112"/>
      <c r="S136" s="432"/>
      <c r="T136" s="112"/>
      <c r="U136" s="112"/>
      <c r="V136" s="112"/>
      <c r="W136" s="395"/>
      <c r="X136" s="395"/>
      <c r="Y136" s="395"/>
      <c r="Z136" s="395"/>
      <c r="AA136" s="395"/>
    </row>
    <row r="137" ht="15.75" customHeight="1">
      <c r="A137" s="112"/>
      <c r="B137" s="112"/>
      <c r="C137" s="412" t="str">
        <f t="array" ref="C137">IFERROR(INDEX(#REF!,MATCH($B137,Fornecedores!$B$8:$B$200,0)),"")</f>
        <v/>
      </c>
      <c r="D137" s="112"/>
      <c r="E137" s="112"/>
      <c r="F137" s="432"/>
      <c r="G137" s="433"/>
      <c r="H137" s="434" t="str">
        <f t="array" ref="H137">IFERROR(IF($A137="Medição",IFERROR(INDEX(#REF!,MATCH($B137,Fornecedores!$B$8:$B$200,0)),""),""),"")</f>
        <v/>
      </c>
      <c r="I137" s="435" t="str">
        <f t="shared" si="1"/>
        <v/>
      </c>
      <c r="J137" s="436"/>
      <c r="K137" s="437" t="str">
        <f t="array" ref="K137">IFERROR(IF($A137="Medição",IFERROR(INDEX(#REF!,MATCH($B137,Fornecedores!$B$8:$B$200,0)),0),""),"")</f>
        <v/>
      </c>
      <c r="L137" s="438" t="str">
        <f t="shared" si="2"/>
        <v/>
      </c>
      <c r="M137" s="439"/>
      <c r="N137" s="440" t="str">
        <f t="shared" si="3"/>
        <v/>
      </c>
      <c r="O137" s="432"/>
      <c r="P137" s="112"/>
      <c r="Q137" s="112"/>
      <c r="R137" s="112"/>
      <c r="S137" s="432"/>
      <c r="T137" s="112"/>
      <c r="U137" s="112"/>
      <c r="V137" s="112"/>
      <c r="W137" s="395"/>
      <c r="X137" s="395"/>
      <c r="Y137" s="395"/>
      <c r="Z137" s="395"/>
      <c r="AA137" s="395"/>
    </row>
    <row r="138" ht="15.75" customHeight="1">
      <c r="A138" s="112"/>
      <c r="B138" s="112"/>
      <c r="C138" s="412" t="str">
        <f t="array" ref="C138">IFERROR(INDEX(#REF!,MATCH($B138,Fornecedores!$B$8:$B$200,0)),"")</f>
        <v/>
      </c>
      <c r="D138" s="112"/>
      <c r="E138" s="112"/>
      <c r="F138" s="432"/>
      <c r="G138" s="433"/>
      <c r="H138" s="434" t="str">
        <f t="array" ref="H138">IFERROR(IF($A138="Medição",IFERROR(INDEX(#REF!,MATCH($B138,Fornecedores!$B$8:$B$200,0)),""),""),"")</f>
        <v/>
      </c>
      <c r="I138" s="435" t="str">
        <f t="shared" si="1"/>
        <v/>
      </c>
      <c r="J138" s="436"/>
      <c r="K138" s="437" t="str">
        <f t="array" ref="K138">IFERROR(IF($A138="Medição",IFERROR(INDEX(#REF!,MATCH($B138,Fornecedores!$B$8:$B$200,0)),0),""),"")</f>
        <v/>
      </c>
      <c r="L138" s="438" t="str">
        <f t="shared" si="2"/>
        <v/>
      </c>
      <c r="M138" s="439"/>
      <c r="N138" s="440" t="str">
        <f t="shared" si="3"/>
        <v/>
      </c>
      <c r="O138" s="432"/>
      <c r="P138" s="112"/>
      <c r="Q138" s="112"/>
      <c r="R138" s="112"/>
      <c r="S138" s="432"/>
      <c r="T138" s="112"/>
      <c r="U138" s="112"/>
      <c r="V138" s="112"/>
      <c r="W138" s="395"/>
      <c r="X138" s="395"/>
      <c r="Y138" s="395"/>
      <c r="Z138" s="395"/>
      <c r="AA138" s="395"/>
    </row>
    <row r="139" ht="15.75" customHeight="1">
      <c r="A139" s="112"/>
      <c r="B139" s="112"/>
      <c r="C139" s="412" t="str">
        <f t="array" ref="C139">IFERROR(INDEX(#REF!,MATCH($B139,Fornecedores!$B$8:$B$200,0)),"")</f>
        <v/>
      </c>
      <c r="D139" s="112"/>
      <c r="E139" s="112"/>
      <c r="F139" s="432"/>
      <c r="G139" s="433"/>
      <c r="H139" s="434" t="str">
        <f t="array" ref="H139">IFERROR(IF($A139="Medição",IFERROR(INDEX(#REF!,MATCH($B139,Fornecedores!$B$8:$B$200,0)),""),""),"")</f>
        <v/>
      </c>
      <c r="I139" s="435" t="str">
        <f t="shared" si="1"/>
        <v/>
      </c>
      <c r="J139" s="436"/>
      <c r="K139" s="437" t="str">
        <f t="array" ref="K139">IFERROR(IF($A139="Medição",IFERROR(INDEX(#REF!,MATCH($B139,Fornecedores!$B$8:$B$200,0)),0),""),"")</f>
        <v/>
      </c>
      <c r="L139" s="438" t="str">
        <f t="shared" si="2"/>
        <v/>
      </c>
      <c r="M139" s="439"/>
      <c r="N139" s="440" t="str">
        <f t="shared" si="3"/>
        <v/>
      </c>
      <c r="O139" s="432"/>
      <c r="P139" s="112"/>
      <c r="Q139" s="112"/>
      <c r="R139" s="112"/>
      <c r="S139" s="432"/>
      <c r="T139" s="112"/>
      <c r="U139" s="112"/>
      <c r="V139" s="112"/>
      <c r="W139" s="395"/>
      <c r="X139" s="395"/>
      <c r="Y139" s="395"/>
      <c r="Z139" s="395"/>
      <c r="AA139" s="395"/>
    </row>
    <row r="140" ht="15.75" customHeight="1">
      <c r="A140" s="112"/>
      <c r="B140" s="112"/>
      <c r="C140" s="412" t="str">
        <f t="array" ref="C140">IFERROR(INDEX(#REF!,MATCH($B140,Fornecedores!$B$8:$B$200,0)),"")</f>
        <v/>
      </c>
      <c r="D140" s="112"/>
      <c r="E140" s="112"/>
      <c r="F140" s="432"/>
      <c r="G140" s="433"/>
      <c r="H140" s="434" t="str">
        <f t="array" ref="H140">IFERROR(IF($A140="Medição",IFERROR(INDEX(#REF!,MATCH($B140,Fornecedores!$B$8:$B$200,0)),""),""),"")</f>
        <v/>
      </c>
      <c r="I140" s="435" t="str">
        <f t="shared" si="1"/>
        <v/>
      </c>
      <c r="J140" s="436"/>
      <c r="K140" s="437" t="str">
        <f t="array" ref="K140">IFERROR(IF($A140="Medição",IFERROR(INDEX(#REF!,MATCH($B140,Fornecedores!$B$8:$B$200,0)),0),""),"")</f>
        <v/>
      </c>
      <c r="L140" s="438" t="str">
        <f t="shared" si="2"/>
        <v/>
      </c>
      <c r="M140" s="439"/>
      <c r="N140" s="440" t="str">
        <f t="shared" si="3"/>
        <v/>
      </c>
      <c r="O140" s="432"/>
      <c r="P140" s="112"/>
      <c r="Q140" s="112"/>
      <c r="R140" s="112"/>
      <c r="S140" s="432"/>
      <c r="T140" s="112"/>
      <c r="U140" s="112"/>
      <c r="V140" s="112"/>
      <c r="W140" s="395"/>
      <c r="X140" s="395"/>
      <c r="Y140" s="395"/>
      <c r="Z140" s="395"/>
      <c r="AA140" s="395"/>
    </row>
    <row r="141" ht="15.75" customHeight="1">
      <c r="A141" s="112"/>
      <c r="B141" s="112"/>
      <c r="C141" s="412" t="str">
        <f t="array" ref="C141">IFERROR(INDEX(#REF!,MATCH($B141,Fornecedores!$B$8:$B$200,0)),"")</f>
        <v/>
      </c>
      <c r="D141" s="112"/>
      <c r="E141" s="112"/>
      <c r="F141" s="432"/>
      <c r="G141" s="433"/>
      <c r="H141" s="434" t="str">
        <f t="array" ref="H141">IFERROR(IF($A141="Medição",IFERROR(INDEX(#REF!,MATCH($B141,Fornecedores!$B$8:$B$200,0)),""),""),"")</f>
        <v/>
      </c>
      <c r="I141" s="435" t="str">
        <f t="shared" si="1"/>
        <v/>
      </c>
      <c r="J141" s="436"/>
      <c r="K141" s="437" t="str">
        <f t="array" ref="K141">IFERROR(IF($A141="Medição",IFERROR(INDEX(#REF!,MATCH($B141,Fornecedores!$B$8:$B$200,0)),0),""),"")</f>
        <v/>
      </c>
      <c r="L141" s="438" t="str">
        <f t="shared" si="2"/>
        <v/>
      </c>
      <c r="M141" s="439"/>
      <c r="N141" s="440" t="str">
        <f t="shared" si="3"/>
        <v/>
      </c>
      <c r="O141" s="432"/>
      <c r="P141" s="112"/>
      <c r="Q141" s="112"/>
      <c r="R141" s="112"/>
      <c r="S141" s="432"/>
      <c r="T141" s="112"/>
      <c r="U141" s="112"/>
      <c r="V141" s="112"/>
      <c r="W141" s="395"/>
      <c r="X141" s="395"/>
      <c r="Y141" s="395"/>
      <c r="Z141" s="395"/>
      <c r="AA141" s="395"/>
    </row>
    <row r="142" ht="15.75" customHeight="1">
      <c r="A142" s="112"/>
      <c r="B142" s="112"/>
      <c r="C142" s="412" t="str">
        <f t="array" ref="C142">IFERROR(INDEX(#REF!,MATCH($B142,Fornecedores!$B$8:$B$200,0)),"")</f>
        <v/>
      </c>
      <c r="D142" s="112"/>
      <c r="E142" s="112"/>
      <c r="F142" s="432"/>
      <c r="G142" s="433"/>
      <c r="H142" s="434" t="str">
        <f t="array" ref="H142">IFERROR(IF($A142="Medição",IFERROR(INDEX(#REF!,MATCH($B142,Fornecedores!$B$8:$B$200,0)),""),""),"")</f>
        <v/>
      </c>
      <c r="I142" s="435" t="str">
        <f t="shared" si="1"/>
        <v/>
      </c>
      <c r="J142" s="436"/>
      <c r="K142" s="437" t="str">
        <f t="array" ref="K142">IFERROR(IF($A142="Medição",IFERROR(INDEX(#REF!,MATCH($B142,Fornecedores!$B$8:$B$200,0)),0),""),"")</f>
        <v/>
      </c>
      <c r="L142" s="438" t="str">
        <f t="shared" si="2"/>
        <v/>
      </c>
      <c r="M142" s="439"/>
      <c r="N142" s="440" t="str">
        <f t="shared" si="3"/>
        <v/>
      </c>
      <c r="O142" s="432"/>
      <c r="P142" s="112"/>
      <c r="Q142" s="112"/>
      <c r="R142" s="112"/>
      <c r="S142" s="432"/>
      <c r="T142" s="112"/>
      <c r="U142" s="112"/>
      <c r="V142" s="112"/>
      <c r="W142" s="395"/>
      <c r="X142" s="395"/>
      <c r="Y142" s="395"/>
      <c r="Z142" s="395"/>
      <c r="AA142" s="395"/>
    </row>
    <row r="143" ht="15.75" customHeight="1">
      <c r="A143" s="112"/>
      <c r="B143" s="112"/>
      <c r="C143" s="412" t="str">
        <f t="array" ref="C143">IFERROR(INDEX(#REF!,MATCH($B143,Fornecedores!$B$8:$B$200,0)),"")</f>
        <v/>
      </c>
      <c r="D143" s="112"/>
      <c r="E143" s="112"/>
      <c r="F143" s="432"/>
      <c r="G143" s="433"/>
      <c r="H143" s="434" t="str">
        <f t="array" ref="H143">IFERROR(IF($A143="Medição",IFERROR(INDEX(#REF!,MATCH($B143,Fornecedores!$B$8:$B$200,0)),""),""),"")</f>
        <v/>
      </c>
      <c r="I143" s="435" t="str">
        <f t="shared" si="1"/>
        <v/>
      </c>
      <c r="J143" s="436"/>
      <c r="K143" s="437" t="str">
        <f t="array" ref="K143">IFERROR(IF($A143="Medição",IFERROR(INDEX(#REF!,MATCH($B143,Fornecedores!$B$8:$B$200,0)),0),""),"")</f>
        <v/>
      </c>
      <c r="L143" s="438" t="str">
        <f t="shared" si="2"/>
        <v/>
      </c>
      <c r="M143" s="439"/>
      <c r="N143" s="440" t="str">
        <f t="shared" si="3"/>
        <v/>
      </c>
      <c r="O143" s="432"/>
      <c r="P143" s="112"/>
      <c r="Q143" s="112"/>
      <c r="R143" s="112"/>
      <c r="S143" s="432"/>
      <c r="T143" s="112"/>
      <c r="U143" s="112"/>
      <c r="V143" s="112"/>
      <c r="W143" s="395"/>
      <c r="X143" s="395"/>
      <c r="Y143" s="395"/>
      <c r="Z143" s="395"/>
      <c r="AA143" s="395"/>
    </row>
    <row r="144" ht="15.75" customHeight="1">
      <c r="A144" s="112"/>
      <c r="B144" s="112"/>
      <c r="C144" s="412" t="str">
        <f t="array" ref="C144">IFERROR(INDEX(#REF!,MATCH($B144,Fornecedores!$B$8:$B$200,0)),"")</f>
        <v/>
      </c>
      <c r="D144" s="112"/>
      <c r="E144" s="112"/>
      <c r="F144" s="432"/>
      <c r="G144" s="433"/>
      <c r="H144" s="434" t="str">
        <f t="array" ref="H144">IFERROR(IF($A144="Medição",IFERROR(INDEX(#REF!,MATCH($B144,Fornecedores!$B$8:$B$200,0)),""),""),"")</f>
        <v/>
      </c>
      <c r="I144" s="435" t="str">
        <f t="shared" si="1"/>
        <v/>
      </c>
      <c r="J144" s="436"/>
      <c r="K144" s="437" t="str">
        <f t="array" ref="K144">IFERROR(IF($A144="Medição",IFERROR(INDEX(#REF!,MATCH($B144,Fornecedores!$B$8:$B$200,0)),0),""),"")</f>
        <v/>
      </c>
      <c r="L144" s="438" t="str">
        <f t="shared" si="2"/>
        <v/>
      </c>
      <c r="M144" s="439"/>
      <c r="N144" s="440" t="str">
        <f t="shared" si="3"/>
        <v/>
      </c>
      <c r="O144" s="432"/>
      <c r="P144" s="112"/>
      <c r="Q144" s="112"/>
      <c r="R144" s="112"/>
      <c r="S144" s="432"/>
      <c r="T144" s="112"/>
      <c r="U144" s="112"/>
      <c r="V144" s="112"/>
      <c r="W144" s="395"/>
      <c r="X144" s="395"/>
      <c r="Y144" s="395"/>
      <c r="Z144" s="395"/>
      <c r="AA144" s="395"/>
    </row>
    <row r="145" ht="15.75" customHeight="1">
      <c r="A145" s="112"/>
      <c r="B145" s="112"/>
      <c r="C145" s="412" t="str">
        <f t="array" ref="C145">IFERROR(INDEX(#REF!,MATCH($B145,Fornecedores!$B$8:$B$200,0)),"")</f>
        <v/>
      </c>
      <c r="D145" s="112"/>
      <c r="E145" s="112"/>
      <c r="F145" s="432"/>
      <c r="G145" s="433"/>
      <c r="H145" s="434" t="str">
        <f t="array" ref="H145">IFERROR(IF($A145="Medição",IFERROR(INDEX(#REF!,MATCH($B145,Fornecedores!$B$8:$B$200,0)),""),""),"")</f>
        <v/>
      </c>
      <c r="I145" s="435" t="str">
        <f t="shared" si="1"/>
        <v/>
      </c>
      <c r="J145" s="436"/>
      <c r="K145" s="437" t="str">
        <f t="array" ref="K145">IFERROR(IF($A145="Medição",IFERROR(INDEX(#REF!,MATCH($B145,Fornecedores!$B$8:$B$200,0)),0),""),"")</f>
        <v/>
      </c>
      <c r="L145" s="438" t="str">
        <f t="shared" si="2"/>
        <v/>
      </c>
      <c r="M145" s="439"/>
      <c r="N145" s="440" t="str">
        <f t="shared" si="3"/>
        <v/>
      </c>
      <c r="O145" s="432"/>
      <c r="P145" s="112"/>
      <c r="Q145" s="112"/>
      <c r="R145" s="112"/>
      <c r="S145" s="432"/>
      <c r="T145" s="112"/>
      <c r="U145" s="112"/>
      <c r="V145" s="112"/>
      <c r="W145" s="395"/>
      <c r="X145" s="395"/>
      <c r="Y145" s="395"/>
      <c r="Z145" s="395"/>
      <c r="AA145" s="395"/>
    </row>
    <row r="146" ht="15.75" customHeight="1">
      <c r="A146" s="112"/>
      <c r="B146" s="112"/>
      <c r="C146" s="412" t="str">
        <f t="array" ref="C146">IFERROR(INDEX(#REF!,MATCH($B146,Fornecedores!$B$8:$B$200,0)),"")</f>
        <v/>
      </c>
      <c r="D146" s="112"/>
      <c r="E146" s="112"/>
      <c r="F146" s="432"/>
      <c r="G146" s="433"/>
      <c r="H146" s="434" t="str">
        <f t="array" ref="H146">IFERROR(IF($A146="Medição",IFERROR(INDEX(#REF!,MATCH($B146,Fornecedores!$B$8:$B$200,0)),""),""),"")</f>
        <v/>
      </c>
      <c r="I146" s="435" t="str">
        <f t="shared" si="1"/>
        <v/>
      </c>
      <c r="J146" s="436"/>
      <c r="K146" s="437" t="str">
        <f t="array" ref="K146">IFERROR(IF($A146="Medição",IFERROR(INDEX(#REF!,MATCH($B146,Fornecedores!$B$8:$B$200,0)),0),""),"")</f>
        <v/>
      </c>
      <c r="L146" s="438" t="str">
        <f t="shared" si="2"/>
        <v/>
      </c>
      <c r="M146" s="439"/>
      <c r="N146" s="440" t="str">
        <f t="shared" si="3"/>
        <v/>
      </c>
      <c r="O146" s="432"/>
      <c r="P146" s="112"/>
      <c r="Q146" s="112"/>
      <c r="R146" s="112"/>
      <c r="S146" s="432"/>
      <c r="T146" s="112"/>
      <c r="U146" s="112"/>
      <c r="V146" s="112"/>
      <c r="W146" s="395"/>
      <c r="X146" s="395"/>
      <c r="Y146" s="395"/>
      <c r="Z146" s="395"/>
      <c r="AA146" s="395"/>
    </row>
    <row r="147" ht="15.75" customHeight="1">
      <c r="A147" s="112"/>
      <c r="B147" s="112"/>
      <c r="C147" s="412" t="str">
        <f t="array" ref="C147">IFERROR(INDEX(#REF!,MATCH($B147,Fornecedores!$B$8:$B$200,0)),"")</f>
        <v/>
      </c>
      <c r="D147" s="112"/>
      <c r="E147" s="112"/>
      <c r="F147" s="432"/>
      <c r="G147" s="433"/>
      <c r="H147" s="434" t="str">
        <f t="array" ref="H147">IFERROR(IF($A147="Medição",IFERROR(INDEX(#REF!,MATCH($B147,Fornecedores!$B$8:$B$200,0)),""),""),"")</f>
        <v/>
      </c>
      <c r="I147" s="435" t="str">
        <f t="shared" si="1"/>
        <v/>
      </c>
      <c r="J147" s="436"/>
      <c r="K147" s="437" t="str">
        <f t="array" ref="K147">IFERROR(IF($A147="Medição",IFERROR(INDEX(#REF!,MATCH($B147,Fornecedores!$B$8:$B$200,0)),0),""),"")</f>
        <v/>
      </c>
      <c r="L147" s="438" t="str">
        <f t="shared" si="2"/>
        <v/>
      </c>
      <c r="M147" s="439"/>
      <c r="N147" s="440" t="str">
        <f t="shared" si="3"/>
        <v/>
      </c>
      <c r="O147" s="432"/>
      <c r="P147" s="112"/>
      <c r="Q147" s="112"/>
      <c r="R147" s="112"/>
      <c r="S147" s="432"/>
      <c r="T147" s="112"/>
      <c r="U147" s="112"/>
      <c r="V147" s="112"/>
      <c r="W147" s="395"/>
      <c r="X147" s="395"/>
      <c r="Y147" s="395"/>
      <c r="Z147" s="395"/>
      <c r="AA147" s="395"/>
    </row>
    <row r="148" ht="15.75" customHeight="1">
      <c r="A148" s="112"/>
      <c r="B148" s="112"/>
      <c r="C148" s="412" t="str">
        <f t="array" ref="C148">IFERROR(INDEX(#REF!,MATCH($B148,Fornecedores!$B$8:$B$200,0)),"")</f>
        <v/>
      </c>
      <c r="D148" s="112"/>
      <c r="E148" s="112"/>
      <c r="F148" s="432"/>
      <c r="G148" s="433"/>
      <c r="H148" s="434" t="str">
        <f t="array" ref="H148">IFERROR(IF($A148="Medição",IFERROR(INDEX(#REF!,MATCH($B148,Fornecedores!$B$8:$B$200,0)),""),""),"")</f>
        <v/>
      </c>
      <c r="I148" s="435" t="str">
        <f t="shared" si="1"/>
        <v/>
      </c>
      <c r="J148" s="436"/>
      <c r="K148" s="437" t="str">
        <f t="array" ref="K148">IFERROR(IF($A148="Medição",IFERROR(INDEX(#REF!,MATCH($B148,Fornecedores!$B$8:$B$200,0)),0),""),"")</f>
        <v/>
      </c>
      <c r="L148" s="438" t="str">
        <f t="shared" si="2"/>
        <v/>
      </c>
      <c r="M148" s="439"/>
      <c r="N148" s="440" t="str">
        <f t="shared" si="3"/>
        <v/>
      </c>
      <c r="O148" s="432"/>
      <c r="P148" s="112"/>
      <c r="Q148" s="112"/>
      <c r="R148" s="112"/>
      <c r="S148" s="432"/>
      <c r="T148" s="112"/>
      <c r="U148" s="112"/>
      <c r="V148" s="112"/>
      <c r="W148" s="395"/>
      <c r="X148" s="395"/>
      <c r="Y148" s="395"/>
      <c r="Z148" s="395"/>
      <c r="AA148" s="395"/>
    </row>
    <row r="149" ht="15.75" customHeight="1">
      <c r="A149" s="112"/>
      <c r="B149" s="112"/>
      <c r="C149" s="412" t="str">
        <f t="array" ref="C149">IFERROR(INDEX(#REF!,MATCH($B149,Fornecedores!$B$8:$B$200,0)),"")</f>
        <v/>
      </c>
      <c r="D149" s="112"/>
      <c r="E149" s="112"/>
      <c r="F149" s="432"/>
      <c r="G149" s="433"/>
      <c r="H149" s="434" t="str">
        <f t="array" ref="H149">IFERROR(IF($A149="Medição",IFERROR(INDEX(#REF!,MATCH($B149,Fornecedores!$B$8:$B$200,0)),""),""),"")</f>
        <v/>
      </c>
      <c r="I149" s="435" t="str">
        <f t="shared" si="1"/>
        <v/>
      </c>
      <c r="J149" s="436"/>
      <c r="K149" s="437" t="str">
        <f t="array" ref="K149">IFERROR(IF($A149="Medição",IFERROR(INDEX(#REF!,MATCH($B149,Fornecedores!$B$8:$B$200,0)),0),""),"")</f>
        <v/>
      </c>
      <c r="L149" s="438" t="str">
        <f t="shared" si="2"/>
        <v/>
      </c>
      <c r="M149" s="439"/>
      <c r="N149" s="440" t="str">
        <f t="shared" si="3"/>
        <v/>
      </c>
      <c r="O149" s="432"/>
      <c r="P149" s="112"/>
      <c r="Q149" s="112"/>
      <c r="R149" s="112"/>
      <c r="S149" s="432"/>
      <c r="T149" s="112"/>
      <c r="U149" s="112"/>
      <c r="V149" s="112"/>
      <c r="W149" s="395"/>
      <c r="X149" s="395"/>
      <c r="Y149" s="395"/>
      <c r="Z149" s="395"/>
      <c r="AA149" s="395"/>
    </row>
    <row r="150" ht="15.75" customHeight="1">
      <c r="A150" s="112"/>
      <c r="B150" s="112"/>
      <c r="C150" s="412" t="str">
        <f t="array" ref="C150">IFERROR(INDEX(#REF!,MATCH($B150,Fornecedores!$B$8:$B$200,0)),"")</f>
        <v/>
      </c>
      <c r="D150" s="112"/>
      <c r="E150" s="112"/>
      <c r="F150" s="432"/>
      <c r="G150" s="433"/>
      <c r="H150" s="434" t="str">
        <f t="array" ref="H150">IFERROR(IF($A150="Medição",IFERROR(INDEX(#REF!,MATCH($B150,Fornecedores!$B$8:$B$200,0)),""),""),"")</f>
        <v/>
      </c>
      <c r="I150" s="435" t="str">
        <f t="shared" si="1"/>
        <v/>
      </c>
      <c r="J150" s="436"/>
      <c r="K150" s="437" t="str">
        <f t="array" ref="K150">IFERROR(IF($A150="Medição",IFERROR(INDEX(#REF!,MATCH($B150,Fornecedores!$B$8:$B$200,0)),0),""),"")</f>
        <v/>
      </c>
      <c r="L150" s="438" t="str">
        <f t="shared" si="2"/>
        <v/>
      </c>
      <c r="M150" s="439"/>
      <c r="N150" s="440" t="str">
        <f t="shared" si="3"/>
        <v/>
      </c>
      <c r="O150" s="432"/>
      <c r="P150" s="112"/>
      <c r="Q150" s="112"/>
      <c r="R150" s="112"/>
      <c r="S150" s="432"/>
      <c r="T150" s="112"/>
      <c r="U150" s="112"/>
      <c r="V150" s="112"/>
      <c r="W150" s="395"/>
      <c r="X150" s="395"/>
      <c r="Y150" s="395"/>
      <c r="Z150" s="395"/>
      <c r="AA150" s="395"/>
    </row>
    <row r="151" ht="15.75" customHeight="1">
      <c r="A151" s="112"/>
      <c r="B151" s="112"/>
      <c r="C151" s="412" t="str">
        <f t="array" ref="C151">IFERROR(INDEX(#REF!,MATCH($B151,Fornecedores!$B$8:$B$200,0)),"")</f>
        <v/>
      </c>
      <c r="D151" s="112"/>
      <c r="E151" s="112"/>
      <c r="F151" s="432"/>
      <c r="G151" s="433"/>
      <c r="H151" s="434" t="str">
        <f t="array" ref="H151">IFERROR(IF($A151="Medição",IFERROR(INDEX(#REF!,MATCH($B151,Fornecedores!$B$8:$B$200,0)),""),""),"")</f>
        <v/>
      </c>
      <c r="I151" s="435" t="str">
        <f t="shared" si="1"/>
        <v/>
      </c>
      <c r="J151" s="436"/>
      <c r="K151" s="437" t="str">
        <f t="array" ref="K151">IFERROR(IF($A151="Medição",IFERROR(INDEX(#REF!,MATCH($B151,Fornecedores!$B$8:$B$200,0)),0),""),"")</f>
        <v/>
      </c>
      <c r="L151" s="438" t="str">
        <f t="shared" si="2"/>
        <v/>
      </c>
      <c r="M151" s="439"/>
      <c r="N151" s="440" t="str">
        <f t="shared" si="3"/>
        <v/>
      </c>
      <c r="O151" s="432"/>
      <c r="P151" s="112"/>
      <c r="Q151" s="112"/>
      <c r="R151" s="112"/>
      <c r="S151" s="432"/>
      <c r="T151" s="112"/>
      <c r="U151" s="112"/>
      <c r="V151" s="112"/>
      <c r="W151" s="395"/>
      <c r="X151" s="395"/>
      <c r="Y151" s="395"/>
      <c r="Z151" s="395"/>
      <c r="AA151" s="395"/>
    </row>
    <row r="152" ht="15.75" customHeight="1">
      <c r="A152" s="112"/>
      <c r="B152" s="112"/>
      <c r="C152" s="412" t="str">
        <f t="array" ref="C152">IFERROR(INDEX(#REF!,MATCH($B152,Fornecedores!$B$8:$B$200,0)),"")</f>
        <v/>
      </c>
      <c r="D152" s="112"/>
      <c r="E152" s="112"/>
      <c r="F152" s="432"/>
      <c r="G152" s="433"/>
      <c r="H152" s="434" t="str">
        <f t="array" ref="H152">IFERROR(IF($A152="Medição",IFERROR(INDEX(#REF!,MATCH($B152,Fornecedores!$B$8:$B$200,0)),""),""),"")</f>
        <v/>
      </c>
      <c r="I152" s="435" t="str">
        <f t="shared" si="1"/>
        <v/>
      </c>
      <c r="J152" s="436"/>
      <c r="K152" s="437" t="str">
        <f t="array" ref="K152">IFERROR(IF($A152="Medição",IFERROR(INDEX(#REF!,MATCH($B152,Fornecedores!$B$8:$B$200,0)),0),""),"")</f>
        <v/>
      </c>
      <c r="L152" s="438" t="str">
        <f t="shared" si="2"/>
        <v/>
      </c>
      <c r="M152" s="439"/>
      <c r="N152" s="440" t="str">
        <f t="shared" si="3"/>
        <v/>
      </c>
      <c r="O152" s="432"/>
      <c r="P152" s="112"/>
      <c r="Q152" s="112"/>
      <c r="R152" s="112"/>
      <c r="S152" s="432"/>
      <c r="T152" s="112"/>
      <c r="U152" s="112"/>
      <c r="V152" s="112"/>
      <c r="W152" s="395"/>
      <c r="X152" s="395"/>
      <c r="Y152" s="395"/>
      <c r="Z152" s="395"/>
      <c r="AA152" s="395"/>
    </row>
    <row r="153" ht="15.75" customHeight="1">
      <c r="A153" s="112"/>
      <c r="B153" s="112"/>
      <c r="C153" s="412" t="str">
        <f t="array" ref="C153">IFERROR(INDEX(#REF!,MATCH($B153,Fornecedores!$B$8:$B$200,0)),"")</f>
        <v/>
      </c>
      <c r="D153" s="112"/>
      <c r="E153" s="112"/>
      <c r="F153" s="432"/>
      <c r="G153" s="433"/>
      <c r="H153" s="434" t="str">
        <f t="array" ref="H153">IFERROR(IF($A153="Medição",IFERROR(INDEX(#REF!,MATCH($B153,Fornecedores!$B$8:$B$200,0)),""),""),"")</f>
        <v/>
      </c>
      <c r="I153" s="435" t="str">
        <f t="shared" si="1"/>
        <v/>
      </c>
      <c r="J153" s="436"/>
      <c r="K153" s="437" t="str">
        <f t="array" ref="K153">IFERROR(IF($A153="Medição",IFERROR(INDEX(#REF!,MATCH($B153,Fornecedores!$B$8:$B$200,0)),0),""),"")</f>
        <v/>
      </c>
      <c r="L153" s="438" t="str">
        <f t="shared" si="2"/>
        <v/>
      </c>
      <c r="M153" s="439"/>
      <c r="N153" s="440" t="str">
        <f t="shared" si="3"/>
        <v/>
      </c>
      <c r="O153" s="432"/>
      <c r="P153" s="112"/>
      <c r="Q153" s="112"/>
      <c r="R153" s="112"/>
      <c r="S153" s="432"/>
      <c r="T153" s="112"/>
      <c r="U153" s="112"/>
      <c r="V153" s="112"/>
      <c r="W153" s="395"/>
      <c r="X153" s="395"/>
      <c r="Y153" s="395"/>
      <c r="Z153" s="395"/>
      <c r="AA153" s="395"/>
    </row>
    <row r="154" ht="15.75" customHeight="1">
      <c r="A154" s="112"/>
      <c r="B154" s="112"/>
      <c r="C154" s="412" t="str">
        <f t="array" ref="C154">IFERROR(INDEX(#REF!,MATCH($B154,Fornecedores!$B$8:$B$200,0)),"")</f>
        <v/>
      </c>
      <c r="D154" s="112"/>
      <c r="E154" s="112"/>
      <c r="F154" s="432"/>
      <c r="G154" s="433"/>
      <c r="H154" s="434" t="str">
        <f t="array" ref="H154">IFERROR(IF($A154="Medição",IFERROR(INDEX(#REF!,MATCH($B154,Fornecedores!$B$8:$B$200,0)),""),""),"")</f>
        <v/>
      </c>
      <c r="I154" s="435" t="str">
        <f t="shared" si="1"/>
        <v/>
      </c>
      <c r="J154" s="436"/>
      <c r="K154" s="437" t="str">
        <f t="array" ref="K154">IFERROR(IF($A154="Medição",IFERROR(INDEX(#REF!,MATCH($B154,Fornecedores!$B$8:$B$200,0)),0),""),"")</f>
        <v/>
      </c>
      <c r="L154" s="438" t="str">
        <f t="shared" si="2"/>
        <v/>
      </c>
      <c r="M154" s="439"/>
      <c r="N154" s="440" t="str">
        <f t="shared" si="3"/>
        <v/>
      </c>
      <c r="O154" s="432"/>
      <c r="P154" s="112"/>
      <c r="Q154" s="112"/>
      <c r="R154" s="112"/>
      <c r="S154" s="432"/>
      <c r="T154" s="112"/>
      <c r="U154" s="112"/>
      <c r="V154" s="112"/>
      <c r="W154" s="395"/>
      <c r="X154" s="395"/>
      <c r="Y154" s="395"/>
      <c r="Z154" s="395"/>
      <c r="AA154" s="395"/>
    </row>
    <row r="155" ht="15.75" customHeight="1">
      <c r="A155" s="112"/>
      <c r="B155" s="112"/>
      <c r="C155" s="412" t="str">
        <f t="array" ref="C155">IFERROR(INDEX(#REF!,MATCH($B155,Fornecedores!$B$8:$B$200,0)),"")</f>
        <v/>
      </c>
      <c r="D155" s="112"/>
      <c r="E155" s="112"/>
      <c r="F155" s="432"/>
      <c r="G155" s="433"/>
      <c r="H155" s="434" t="str">
        <f t="array" ref="H155">IFERROR(IF($A155="Medição",IFERROR(INDEX(#REF!,MATCH($B155,Fornecedores!$B$8:$B$200,0)),""),""),"")</f>
        <v/>
      </c>
      <c r="I155" s="435" t="str">
        <f t="shared" si="1"/>
        <v/>
      </c>
      <c r="J155" s="436"/>
      <c r="K155" s="437" t="str">
        <f t="array" ref="K155">IFERROR(IF($A155="Medição",IFERROR(INDEX(#REF!,MATCH($B155,Fornecedores!$B$8:$B$200,0)),0),""),"")</f>
        <v/>
      </c>
      <c r="L155" s="438" t="str">
        <f t="shared" si="2"/>
        <v/>
      </c>
      <c r="M155" s="439"/>
      <c r="N155" s="440" t="str">
        <f t="shared" si="3"/>
        <v/>
      </c>
      <c r="O155" s="432"/>
      <c r="P155" s="112"/>
      <c r="Q155" s="112"/>
      <c r="R155" s="112"/>
      <c r="S155" s="432"/>
      <c r="T155" s="112"/>
      <c r="U155" s="112"/>
      <c r="V155" s="112"/>
      <c r="W155" s="395"/>
      <c r="X155" s="395"/>
      <c r="Y155" s="395"/>
      <c r="Z155" s="395"/>
      <c r="AA155" s="395"/>
    </row>
    <row r="156" ht="15.75" customHeight="1">
      <c r="A156" s="112"/>
      <c r="B156" s="112"/>
      <c r="C156" s="412" t="str">
        <f t="array" ref="C156">IFERROR(INDEX(#REF!,MATCH($B156,Fornecedores!$B$8:$B$200,0)),"")</f>
        <v/>
      </c>
      <c r="D156" s="112"/>
      <c r="E156" s="112"/>
      <c r="F156" s="432"/>
      <c r="G156" s="433"/>
      <c r="H156" s="434" t="str">
        <f t="array" ref="H156">IFERROR(IF($A156="Medição",IFERROR(INDEX(#REF!,MATCH($B156,Fornecedores!$B$8:$B$200,0)),""),""),"")</f>
        <v/>
      </c>
      <c r="I156" s="435" t="str">
        <f t="shared" si="1"/>
        <v/>
      </c>
      <c r="J156" s="436"/>
      <c r="K156" s="437" t="str">
        <f t="array" ref="K156">IFERROR(IF($A156="Medição",IFERROR(INDEX(#REF!,MATCH($B156,Fornecedores!$B$8:$B$200,0)),0),""),"")</f>
        <v/>
      </c>
      <c r="L156" s="438" t="str">
        <f t="shared" si="2"/>
        <v/>
      </c>
      <c r="M156" s="439"/>
      <c r="N156" s="440" t="str">
        <f t="shared" si="3"/>
        <v/>
      </c>
      <c r="O156" s="432"/>
      <c r="P156" s="112"/>
      <c r="Q156" s="112"/>
      <c r="R156" s="112"/>
      <c r="S156" s="432"/>
      <c r="T156" s="112"/>
      <c r="U156" s="112"/>
      <c r="V156" s="112"/>
      <c r="W156" s="395"/>
      <c r="X156" s="395"/>
      <c r="Y156" s="395"/>
      <c r="Z156" s="395"/>
      <c r="AA156" s="395"/>
    </row>
    <row r="157" ht="15.75" customHeight="1">
      <c r="A157" s="112"/>
      <c r="B157" s="112"/>
      <c r="C157" s="412" t="str">
        <f t="array" ref="C157">IFERROR(INDEX(#REF!,MATCH($B157,Fornecedores!$B$8:$B$200,0)),"")</f>
        <v/>
      </c>
      <c r="D157" s="112"/>
      <c r="E157" s="112"/>
      <c r="F157" s="432"/>
      <c r="G157" s="433"/>
      <c r="H157" s="434" t="str">
        <f t="array" ref="H157">IFERROR(IF($A157="Medição",IFERROR(INDEX(#REF!,MATCH($B157,Fornecedores!$B$8:$B$200,0)),""),""),"")</f>
        <v/>
      </c>
      <c r="I157" s="435" t="str">
        <f t="shared" si="1"/>
        <v/>
      </c>
      <c r="J157" s="436"/>
      <c r="K157" s="437" t="str">
        <f t="array" ref="K157">IFERROR(IF($A157="Medição",IFERROR(INDEX(#REF!,MATCH($B157,Fornecedores!$B$8:$B$200,0)),0),""),"")</f>
        <v/>
      </c>
      <c r="L157" s="438" t="str">
        <f t="shared" si="2"/>
        <v/>
      </c>
      <c r="M157" s="439"/>
      <c r="N157" s="440" t="str">
        <f t="shared" si="3"/>
        <v/>
      </c>
      <c r="O157" s="432"/>
      <c r="P157" s="112"/>
      <c r="Q157" s="112"/>
      <c r="R157" s="112"/>
      <c r="S157" s="432"/>
      <c r="T157" s="112"/>
      <c r="U157" s="112"/>
      <c r="V157" s="112"/>
      <c r="W157" s="395"/>
      <c r="X157" s="395"/>
      <c r="Y157" s="395"/>
      <c r="Z157" s="395"/>
      <c r="AA157" s="395"/>
    </row>
    <row r="158" ht="15.75" customHeight="1">
      <c r="A158" s="112"/>
      <c r="B158" s="112"/>
      <c r="C158" s="412" t="str">
        <f t="array" ref="C158">IFERROR(INDEX(#REF!,MATCH($B158,Fornecedores!$B$8:$B$200,0)),"")</f>
        <v/>
      </c>
      <c r="D158" s="112"/>
      <c r="E158" s="112"/>
      <c r="F158" s="432"/>
      <c r="G158" s="433"/>
      <c r="H158" s="434" t="str">
        <f t="array" ref="H158">IFERROR(IF($A158="Medição",IFERROR(INDEX(#REF!,MATCH($B158,Fornecedores!$B$8:$B$200,0)),""),""),"")</f>
        <v/>
      </c>
      <c r="I158" s="435" t="str">
        <f t="shared" si="1"/>
        <v/>
      </c>
      <c r="J158" s="436"/>
      <c r="K158" s="437" t="str">
        <f t="array" ref="K158">IFERROR(IF($A158="Medição",IFERROR(INDEX(#REF!,MATCH($B158,Fornecedores!$B$8:$B$200,0)),0),""),"")</f>
        <v/>
      </c>
      <c r="L158" s="438" t="str">
        <f t="shared" si="2"/>
        <v/>
      </c>
      <c r="M158" s="439"/>
      <c r="N158" s="440" t="str">
        <f t="shared" si="3"/>
        <v/>
      </c>
      <c r="O158" s="432"/>
      <c r="P158" s="112"/>
      <c r="Q158" s="112"/>
      <c r="R158" s="112"/>
      <c r="S158" s="432"/>
      <c r="T158" s="112"/>
      <c r="U158" s="112"/>
      <c r="V158" s="112"/>
      <c r="W158" s="395"/>
      <c r="X158" s="395"/>
      <c r="Y158" s="395"/>
      <c r="Z158" s="395"/>
      <c r="AA158" s="395"/>
    </row>
    <row r="159" ht="15.75" customHeight="1">
      <c r="A159" s="112"/>
      <c r="B159" s="112"/>
      <c r="C159" s="412" t="str">
        <f t="array" ref="C159">IFERROR(INDEX(#REF!,MATCH($B159,Fornecedores!$B$8:$B$200,0)),"")</f>
        <v/>
      </c>
      <c r="D159" s="112"/>
      <c r="E159" s="112"/>
      <c r="F159" s="432"/>
      <c r="G159" s="433"/>
      <c r="H159" s="434" t="str">
        <f t="array" ref="H159">IFERROR(IF($A159="Medição",IFERROR(INDEX(#REF!,MATCH($B159,Fornecedores!$B$8:$B$200,0)),""),""),"")</f>
        <v/>
      </c>
      <c r="I159" s="435" t="str">
        <f t="shared" si="1"/>
        <v/>
      </c>
      <c r="J159" s="436"/>
      <c r="K159" s="437" t="str">
        <f t="array" ref="K159">IFERROR(IF($A159="Medição",IFERROR(INDEX(#REF!,MATCH($B159,Fornecedores!$B$8:$B$200,0)),0),""),"")</f>
        <v/>
      </c>
      <c r="L159" s="438" t="str">
        <f t="shared" si="2"/>
        <v/>
      </c>
      <c r="M159" s="439"/>
      <c r="N159" s="440" t="str">
        <f t="shared" si="3"/>
        <v/>
      </c>
      <c r="O159" s="432"/>
      <c r="P159" s="112"/>
      <c r="Q159" s="112"/>
      <c r="R159" s="112"/>
      <c r="S159" s="432"/>
      <c r="T159" s="112"/>
      <c r="U159" s="112"/>
      <c r="V159" s="112"/>
      <c r="W159" s="395"/>
      <c r="X159" s="395"/>
      <c r="Y159" s="395"/>
      <c r="Z159" s="395"/>
      <c r="AA159" s="395"/>
    </row>
    <row r="160" ht="15.75" customHeight="1">
      <c r="A160" s="112"/>
      <c r="B160" s="112"/>
      <c r="C160" s="412" t="str">
        <f t="array" ref="C160">IFERROR(INDEX(#REF!,MATCH($B160,Fornecedores!$B$8:$B$200,0)),"")</f>
        <v/>
      </c>
      <c r="D160" s="112"/>
      <c r="E160" s="112"/>
      <c r="F160" s="432"/>
      <c r="G160" s="433"/>
      <c r="H160" s="434" t="str">
        <f t="array" ref="H160">IFERROR(IF($A160="Medição",IFERROR(INDEX(#REF!,MATCH($B160,Fornecedores!$B$8:$B$200,0)),""),""),"")</f>
        <v/>
      </c>
      <c r="I160" s="435" t="str">
        <f t="shared" si="1"/>
        <v/>
      </c>
      <c r="J160" s="436"/>
      <c r="K160" s="437" t="str">
        <f t="array" ref="K160">IFERROR(IF($A160="Medição",IFERROR(INDEX(#REF!,MATCH($B160,Fornecedores!$B$8:$B$200,0)),0),""),"")</f>
        <v/>
      </c>
      <c r="L160" s="438" t="str">
        <f t="shared" si="2"/>
        <v/>
      </c>
      <c r="M160" s="439"/>
      <c r="N160" s="440" t="str">
        <f t="shared" si="3"/>
        <v/>
      </c>
      <c r="O160" s="432"/>
      <c r="P160" s="112"/>
      <c r="Q160" s="112"/>
      <c r="R160" s="112"/>
      <c r="S160" s="432"/>
      <c r="T160" s="112"/>
      <c r="U160" s="112"/>
      <c r="V160" s="112"/>
      <c r="W160" s="395"/>
      <c r="X160" s="395"/>
      <c r="Y160" s="395"/>
      <c r="Z160" s="395"/>
      <c r="AA160" s="395"/>
    </row>
    <row r="161" ht="15.75" customHeight="1">
      <c r="A161" s="112"/>
      <c r="B161" s="112"/>
      <c r="C161" s="412" t="str">
        <f t="array" ref="C161">IFERROR(INDEX(#REF!,MATCH($B161,Fornecedores!$B$8:$B$200,0)),"")</f>
        <v/>
      </c>
      <c r="D161" s="112"/>
      <c r="E161" s="112"/>
      <c r="F161" s="432"/>
      <c r="G161" s="433"/>
      <c r="H161" s="434" t="str">
        <f t="array" ref="H161">IFERROR(IF($A161="Medição",IFERROR(INDEX(#REF!,MATCH($B161,Fornecedores!$B$8:$B$200,0)),""),""),"")</f>
        <v/>
      </c>
      <c r="I161" s="435" t="str">
        <f t="shared" si="1"/>
        <v/>
      </c>
      <c r="J161" s="436"/>
      <c r="K161" s="437" t="str">
        <f t="array" ref="K161">IFERROR(IF($A161="Medição",IFERROR(INDEX(#REF!,MATCH($B161,Fornecedores!$B$8:$B$200,0)),0),""),"")</f>
        <v/>
      </c>
      <c r="L161" s="438" t="str">
        <f t="shared" si="2"/>
        <v/>
      </c>
      <c r="M161" s="439"/>
      <c r="N161" s="440" t="str">
        <f t="shared" si="3"/>
        <v/>
      </c>
      <c r="O161" s="432"/>
      <c r="P161" s="112"/>
      <c r="Q161" s="112"/>
      <c r="R161" s="112"/>
      <c r="S161" s="432"/>
      <c r="T161" s="112"/>
      <c r="U161" s="112"/>
      <c r="V161" s="112"/>
      <c r="W161" s="395"/>
      <c r="X161" s="395"/>
      <c r="Y161" s="395"/>
      <c r="Z161" s="395"/>
      <c r="AA161" s="395"/>
    </row>
    <row r="162" ht="15.75" customHeight="1">
      <c r="A162" s="112"/>
      <c r="B162" s="112"/>
      <c r="C162" s="412" t="str">
        <f t="array" ref="C162">IFERROR(INDEX(#REF!,MATCH($B162,Fornecedores!$B$8:$B$200,0)),"")</f>
        <v/>
      </c>
      <c r="D162" s="112"/>
      <c r="E162" s="112"/>
      <c r="F162" s="432"/>
      <c r="G162" s="433"/>
      <c r="H162" s="434" t="str">
        <f t="array" ref="H162">IFERROR(IF($A162="Medição",IFERROR(INDEX(#REF!,MATCH($B162,Fornecedores!$B$8:$B$200,0)),""),""),"")</f>
        <v/>
      </c>
      <c r="I162" s="435" t="str">
        <f t="shared" si="1"/>
        <v/>
      </c>
      <c r="J162" s="436"/>
      <c r="K162" s="437" t="str">
        <f t="array" ref="K162">IFERROR(IF($A162="Medição",IFERROR(INDEX(#REF!,MATCH($B162,Fornecedores!$B$8:$B$200,0)),0),""),"")</f>
        <v/>
      </c>
      <c r="L162" s="438" t="str">
        <f t="shared" si="2"/>
        <v/>
      </c>
      <c r="M162" s="439"/>
      <c r="N162" s="440" t="str">
        <f t="shared" si="3"/>
        <v/>
      </c>
      <c r="O162" s="432"/>
      <c r="P162" s="112"/>
      <c r="Q162" s="112"/>
      <c r="R162" s="112"/>
      <c r="S162" s="432"/>
      <c r="T162" s="112"/>
      <c r="U162" s="112"/>
      <c r="V162" s="112"/>
      <c r="W162" s="395"/>
      <c r="X162" s="395"/>
      <c r="Y162" s="395"/>
      <c r="Z162" s="395"/>
      <c r="AA162" s="395"/>
    </row>
    <row r="163" ht="15.75" customHeight="1">
      <c r="A163" s="112"/>
      <c r="B163" s="112"/>
      <c r="C163" s="412" t="str">
        <f t="array" ref="C163">IFERROR(INDEX(#REF!,MATCH($B163,Fornecedores!$B$8:$B$200,0)),"")</f>
        <v/>
      </c>
      <c r="D163" s="112"/>
      <c r="E163" s="112"/>
      <c r="F163" s="432"/>
      <c r="G163" s="433"/>
      <c r="H163" s="434" t="str">
        <f t="array" ref="H163">IFERROR(IF($A163="Medição",IFERROR(INDEX(#REF!,MATCH($B163,Fornecedores!$B$8:$B$200,0)),""),""),"")</f>
        <v/>
      </c>
      <c r="I163" s="435" t="str">
        <f t="shared" si="1"/>
        <v/>
      </c>
      <c r="J163" s="436"/>
      <c r="K163" s="437" t="str">
        <f t="array" ref="K163">IFERROR(IF($A163="Medição",IFERROR(INDEX(#REF!,MATCH($B163,Fornecedores!$B$8:$B$200,0)),0),""),"")</f>
        <v/>
      </c>
      <c r="L163" s="438" t="str">
        <f t="shared" si="2"/>
        <v/>
      </c>
      <c r="M163" s="439"/>
      <c r="N163" s="440" t="str">
        <f t="shared" si="3"/>
        <v/>
      </c>
      <c r="O163" s="432"/>
      <c r="P163" s="112"/>
      <c r="Q163" s="112"/>
      <c r="R163" s="112"/>
      <c r="S163" s="432"/>
      <c r="T163" s="112"/>
      <c r="U163" s="112"/>
      <c r="V163" s="112"/>
      <c r="W163" s="395"/>
      <c r="X163" s="395"/>
      <c r="Y163" s="395"/>
      <c r="Z163" s="395"/>
      <c r="AA163" s="395"/>
    </row>
    <row r="164" ht="15.75" customHeight="1">
      <c r="A164" s="112"/>
      <c r="B164" s="112"/>
      <c r="C164" s="412" t="str">
        <f t="array" ref="C164">IFERROR(INDEX(#REF!,MATCH($B164,Fornecedores!$B$8:$B$200,0)),"")</f>
        <v/>
      </c>
      <c r="D164" s="112"/>
      <c r="E164" s="112"/>
      <c r="F164" s="432"/>
      <c r="G164" s="433"/>
      <c r="H164" s="434" t="str">
        <f t="array" ref="H164">IFERROR(IF($A164="Medição",IFERROR(INDEX(#REF!,MATCH($B164,Fornecedores!$B$8:$B$200,0)),""),""),"")</f>
        <v/>
      </c>
      <c r="I164" s="435" t="str">
        <f t="shared" si="1"/>
        <v/>
      </c>
      <c r="J164" s="436"/>
      <c r="K164" s="437" t="str">
        <f t="array" ref="K164">IFERROR(IF($A164="Medição",IFERROR(INDEX(#REF!,MATCH($B164,Fornecedores!$B$8:$B$200,0)),0),""),"")</f>
        <v/>
      </c>
      <c r="L164" s="438" t="str">
        <f t="shared" si="2"/>
        <v/>
      </c>
      <c r="M164" s="439"/>
      <c r="N164" s="440" t="str">
        <f t="shared" si="3"/>
        <v/>
      </c>
      <c r="O164" s="432"/>
      <c r="P164" s="112"/>
      <c r="Q164" s="112"/>
      <c r="R164" s="112"/>
      <c r="S164" s="432"/>
      <c r="T164" s="112"/>
      <c r="U164" s="112"/>
      <c r="V164" s="112"/>
      <c r="W164" s="395"/>
      <c r="X164" s="395"/>
      <c r="Y164" s="395"/>
      <c r="Z164" s="395"/>
      <c r="AA164" s="395"/>
    </row>
    <row r="165" ht="15.75" customHeight="1">
      <c r="A165" s="112"/>
      <c r="B165" s="112"/>
      <c r="C165" s="412" t="str">
        <f t="array" ref="C165">IFERROR(INDEX(#REF!,MATCH($B165,Fornecedores!$B$8:$B$200,0)),"")</f>
        <v/>
      </c>
      <c r="D165" s="112"/>
      <c r="E165" s="112"/>
      <c r="F165" s="432"/>
      <c r="G165" s="433"/>
      <c r="H165" s="434" t="str">
        <f t="array" ref="H165">IFERROR(IF($A165="Medição",IFERROR(INDEX(#REF!,MATCH($B165,Fornecedores!$B$8:$B$200,0)),""),""),"")</f>
        <v/>
      </c>
      <c r="I165" s="435" t="str">
        <f t="shared" si="1"/>
        <v/>
      </c>
      <c r="J165" s="436"/>
      <c r="K165" s="437" t="str">
        <f t="array" ref="K165">IFERROR(IF($A165="Medição",IFERROR(INDEX(#REF!,MATCH($B165,Fornecedores!$B$8:$B$200,0)),0),""),"")</f>
        <v/>
      </c>
      <c r="L165" s="438" t="str">
        <f t="shared" si="2"/>
        <v/>
      </c>
      <c r="M165" s="439"/>
      <c r="N165" s="440" t="str">
        <f t="shared" si="3"/>
        <v/>
      </c>
      <c r="O165" s="432"/>
      <c r="P165" s="112"/>
      <c r="Q165" s="112"/>
      <c r="R165" s="112"/>
      <c r="S165" s="432"/>
      <c r="T165" s="112"/>
      <c r="U165" s="112"/>
      <c r="V165" s="112"/>
      <c r="W165" s="395"/>
      <c r="X165" s="395"/>
      <c r="Y165" s="395"/>
      <c r="Z165" s="395"/>
      <c r="AA165" s="395"/>
    </row>
    <row r="166" ht="15.75" customHeight="1">
      <c r="A166" s="112"/>
      <c r="B166" s="112"/>
      <c r="C166" s="412" t="str">
        <f t="array" ref="C166">IFERROR(INDEX(#REF!,MATCH($B166,Fornecedores!$B$8:$B$200,0)),"")</f>
        <v/>
      </c>
      <c r="D166" s="112"/>
      <c r="E166" s="112"/>
      <c r="F166" s="432"/>
      <c r="G166" s="433"/>
      <c r="H166" s="434" t="str">
        <f t="array" ref="H166">IFERROR(IF($A166="Medição",IFERROR(INDEX(#REF!,MATCH($B166,Fornecedores!$B$8:$B$200,0)),""),""),"")</f>
        <v/>
      </c>
      <c r="I166" s="435" t="str">
        <f t="shared" si="1"/>
        <v/>
      </c>
      <c r="J166" s="436"/>
      <c r="K166" s="437" t="str">
        <f t="array" ref="K166">IFERROR(IF($A166="Medição",IFERROR(INDEX(#REF!,MATCH($B166,Fornecedores!$B$8:$B$200,0)),0),""),"")</f>
        <v/>
      </c>
      <c r="L166" s="438" t="str">
        <f t="shared" si="2"/>
        <v/>
      </c>
      <c r="M166" s="439"/>
      <c r="N166" s="440" t="str">
        <f t="shared" si="3"/>
        <v/>
      </c>
      <c r="O166" s="432"/>
      <c r="P166" s="112"/>
      <c r="Q166" s="112"/>
      <c r="R166" s="112"/>
      <c r="S166" s="432"/>
      <c r="T166" s="112"/>
      <c r="U166" s="112"/>
      <c r="V166" s="112"/>
      <c r="W166" s="395"/>
      <c r="X166" s="395"/>
      <c r="Y166" s="395"/>
      <c r="Z166" s="395"/>
      <c r="AA166" s="395"/>
    </row>
    <row r="167" ht="15.75" customHeight="1">
      <c r="A167" s="112"/>
      <c r="B167" s="112"/>
      <c r="C167" s="412" t="str">
        <f t="array" ref="C167">IFERROR(INDEX(#REF!,MATCH($B167,Fornecedores!$B$8:$B$200,0)),"")</f>
        <v/>
      </c>
      <c r="D167" s="112"/>
      <c r="E167" s="112"/>
      <c r="F167" s="432"/>
      <c r="G167" s="433"/>
      <c r="H167" s="434" t="str">
        <f t="array" ref="H167">IFERROR(IF($A167="Medição",IFERROR(INDEX(#REF!,MATCH($B167,Fornecedores!$B$8:$B$200,0)),""),""),"")</f>
        <v/>
      </c>
      <c r="I167" s="435" t="str">
        <f t="shared" si="1"/>
        <v/>
      </c>
      <c r="J167" s="436"/>
      <c r="K167" s="437" t="str">
        <f t="array" ref="K167">IFERROR(IF($A167="Medição",IFERROR(INDEX(#REF!,MATCH($B167,Fornecedores!$B$8:$B$200,0)),0),""),"")</f>
        <v/>
      </c>
      <c r="L167" s="438" t="str">
        <f t="shared" si="2"/>
        <v/>
      </c>
      <c r="M167" s="439"/>
      <c r="N167" s="440" t="str">
        <f t="shared" si="3"/>
        <v/>
      </c>
      <c r="O167" s="432"/>
      <c r="P167" s="112"/>
      <c r="Q167" s="112"/>
      <c r="R167" s="112"/>
      <c r="S167" s="432"/>
      <c r="T167" s="112"/>
      <c r="U167" s="112"/>
      <c r="V167" s="112"/>
      <c r="W167" s="395"/>
      <c r="X167" s="395"/>
      <c r="Y167" s="395"/>
      <c r="Z167" s="395"/>
      <c r="AA167" s="395"/>
    </row>
    <row r="168" ht="15.75" customHeight="1">
      <c r="A168" s="112"/>
      <c r="B168" s="112"/>
      <c r="C168" s="412" t="str">
        <f t="array" ref="C168">IFERROR(INDEX(#REF!,MATCH($B168,Fornecedores!$B$8:$B$200,0)),"")</f>
        <v/>
      </c>
      <c r="D168" s="112"/>
      <c r="E168" s="112"/>
      <c r="F168" s="432"/>
      <c r="G168" s="433"/>
      <c r="H168" s="434" t="str">
        <f t="array" ref="H168">IFERROR(IF($A168="Medição",IFERROR(INDEX(#REF!,MATCH($B168,Fornecedores!$B$8:$B$200,0)),""),""),"")</f>
        <v/>
      </c>
      <c r="I168" s="435" t="str">
        <f t="shared" si="1"/>
        <v/>
      </c>
      <c r="J168" s="436"/>
      <c r="K168" s="437" t="str">
        <f t="array" ref="K168">IFERROR(IF($A168="Medição",IFERROR(INDEX(#REF!,MATCH($B168,Fornecedores!$B$8:$B$200,0)),0),""),"")</f>
        <v/>
      </c>
      <c r="L168" s="438" t="str">
        <f t="shared" si="2"/>
        <v/>
      </c>
      <c r="M168" s="439"/>
      <c r="N168" s="440" t="str">
        <f t="shared" si="3"/>
        <v/>
      </c>
      <c r="O168" s="432"/>
      <c r="P168" s="112"/>
      <c r="Q168" s="112"/>
      <c r="R168" s="112"/>
      <c r="S168" s="432"/>
      <c r="T168" s="112"/>
      <c r="U168" s="112"/>
      <c r="V168" s="112"/>
      <c r="W168" s="395"/>
      <c r="X168" s="395"/>
      <c r="Y168" s="395"/>
      <c r="Z168" s="395"/>
      <c r="AA168" s="395"/>
    </row>
    <row r="169" ht="15.75" customHeight="1">
      <c r="A169" s="112"/>
      <c r="B169" s="112"/>
      <c r="C169" s="412" t="str">
        <f t="array" ref="C169">IFERROR(INDEX(#REF!,MATCH($B169,Fornecedores!$B$8:$B$200,0)),"")</f>
        <v/>
      </c>
      <c r="D169" s="112"/>
      <c r="E169" s="112"/>
      <c r="F169" s="432"/>
      <c r="G169" s="433"/>
      <c r="H169" s="434" t="str">
        <f t="array" ref="H169">IFERROR(IF($A169="Medição",IFERROR(INDEX(#REF!,MATCH($B169,Fornecedores!$B$8:$B$200,0)),""),""),"")</f>
        <v/>
      </c>
      <c r="I169" s="435" t="str">
        <f t="shared" si="1"/>
        <v/>
      </c>
      <c r="J169" s="436"/>
      <c r="K169" s="437" t="str">
        <f t="array" ref="K169">IFERROR(IF($A169="Medição",IFERROR(INDEX(#REF!,MATCH($B169,Fornecedores!$B$8:$B$200,0)),0),""),"")</f>
        <v/>
      </c>
      <c r="L169" s="438" t="str">
        <f t="shared" si="2"/>
        <v/>
      </c>
      <c r="M169" s="439"/>
      <c r="N169" s="440" t="str">
        <f t="shared" si="3"/>
        <v/>
      </c>
      <c r="O169" s="432"/>
      <c r="P169" s="112"/>
      <c r="Q169" s="112"/>
      <c r="R169" s="112"/>
      <c r="S169" s="432"/>
      <c r="T169" s="112"/>
      <c r="U169" s="112"/>
      <c r="V169" s="112"/>
      <c r="W169" s="395"/>
      <c r="X169" s="395"/>
      <c r="Y169" s="395"/>
      <c r="Z169" s="395"/>
      <c r="AA169" s="395"/>
    </row>
    <row r="170" ht="15.75" customHeight="1">
      <c r="A170" s="112"/>
      <c r="B170" s="112"/>
      <c r="C170" s="412" t="str">
        <f t="array" ref="C170">IFERROR(INDEX(#REF!,MATCH($B170,Fornecedores!$B$8:$B$200,0)),"")</f>
        <v/>
      </c>
      <c r="D170" s="112"/>
      <c r="E170" s="112"/>
      <c r="F170" s="432"/>
      <c r="G170" s="433"/>
      <c r="H170" s="434" t="str">
        <f t="array" ref="H170">IFERROR(IF($A170="Medição",IFERROR(INDEX(#REF!,MATCH($B170,Fornecedores!$B$8:$B$200,0)),""),""),"")</f>
        <v/>
      </c>
      <c r="I170" s="435" t="str">
        <f t="shared" si="1"/>
        <v/>
      </c>
      <c r="J170" s="436"/>
      <c r="K170" s="437" t="str">
        <f t="array" ref="K170">IFERROR(IF($A170="Medição",IFERROR(INDEX(#REF!,MATCH($B170,Fornecedores!$B$8:$B$200,0)),0),""),"")</f>
        <v/>
      </c>
      <c r="L170" s="438" t="str">
        <f t="shared" si="2"/>
        <v/>
      </c>
      <c r="M170" s="439"/>
      <c r="N170" s="440" t="str">
        <f t="shared" si="3"/>
        <v/>
      </c>
      <c r="O170" s="432"/>
      <c r="P170" s="112"/>
      <c r="Q170" s="112"/>
      <c r="R170" s="112"/>
      <c r="S170" s="432"/>
      <c r="T170" s="112"/>
      <c r="U170" s="112"/>
      <c r="V170" s="112"/>
      <c r="W170" s="395"/>
      <c r="X170" s="395"/>
      <c r="Y170" s="395"/>
      <c r="Z170" s="395"/>
      <c r="AA170" s="395"/>
    </row>
    <row r="171" ht="15.75" customHeight="1">
      <c r="A171" s="112"/>
      <c r="B171" s="112"/>
      <c r="C171" s="412" t="str">
        <f t="array" ref="C171">IFERROR(INDEX(#REF!,MATCH($B171,Fornecedores!$B$8:$B$200,0)),"")</f>
        <v/>
      </c>
      <c r="D171" s="112"/>
      <c r="E171" s="112"/>
      <c r="F171" s="432"/>
      <c r="G171" s="433"/>
      <c r="H171" s="434" t="str">
        <f t="array" ref="H171">IFERROR(IF($A171="Medição",IFERROR(INDEX(#REF!,MATCH($B171,Fornecedores!$B$8:$B$200,0)),""),""),"")</f>
        <v/>
      </c>
      <c r="I171" s="435" t="str">
        <f t="shared" si="1"/>
        <v/>
      </c>
      <c r="J171" s="436"/>
      <c r="K171" s="437" t="str">
        <f t="array" ref="K171">IFERROR(IF($A171="Medição",IFERROR(INDEX(#REF!,MATCH($B171,Fornecedores!$B$8:$B$200,0)),0),""),"")</f>
        <v/>
      </c>
      <c r="L171" s="438" t="str">
        <f t="shared" si="2"/>
        <v/>
      </c>
      <c r="M171" s="439"/>
      <c r="N171" s="440" t="str">
        <f t="shared" si="3"/>
        <v/>
      </c>
      <c r="O171" s="432"/>
      <c r="P171" s="112"/>
      <c r="Q171" s="112"/>
      <c r="R171" s="112"/>
      <c r="S171" s="432"/>
      <c r="T171" s="112"/>
      <c r="U171" s="112"/>
      <c r="V171" s="112"/>
      <c r="W171" s="395"/>
      <c r="X171" s="395"/>
      <c r="Y171" s="395"/>
      <c r="Z171" s="395"/>
      <c r="AA171" s="395"/>
    </row>
    <row r="172" ht="15.75" customHeight="1">
      <c r="A172" s="112"/>
      <c r="B172" s="112"/>
      <c r="C172" s="412" t="str">
        <f t="array" ref="C172">IFERROR(INDEX(#REF!,MATCH($B172,Fornecedores!$B$8:$B$200,0)),"")</f>
        <v/>
      </c>
      <c r="D172" s="112"/>
      <c r="E172" s="112"/>
      <c r="F172" s="432"/>
      <c r="G172" s="433"/>
      <c r="H172" s="434" t="str">
        <f t="array" ref="H172">IFERROR(IF($A172="Medição",IFERROR(INDEX(#REF!,MATCH($B172,Fornecedores!$B$8:$B$200,0)),""),""),"")</f>
        <v/>
      </c>
      <c r="I172" s="435" t="str">
        <f t="shared" si="1"/>
        <v/>
      </c>
      <c r="J172" s="436"/>
      <c r="K172" s="437" t="str">
        <f t="array" ref="K172">IFERROR(IF($A172="Medição",IFERROR(INDEX(#REF!,MATCH($B172,Fornecedores!$B$8:$B$200,0)),0),""),"")</f>
        <v/>
      </c>
      <c r="L172" s="438" t="str">
        <f t="shared" si="2"/>
        <v/>
      </c>
      <c r="M172" s="439"/>
      <c r="N172" s="440" t="str">
        <f t="shared" si="3"/>
        <v/>
      </c>
      <c r="O172" s="432"/>
      <c r="P172" s="112"/>
      <c r="Q172" s="112"/>
      <c r="R172" s="112"/>
      <c r="S172" s="432"/>
      <c r="T172" s="112"/>
      <c r="U172" s="112"/>
      <c r="V172" s="112"/>
      <c r="W172" s="395"/>
      <c r="X172" s="395"/>
      <c r="Y172" s="395"/>
      <c r="Z172" s="395"/>
      <c r="AA172" s="395"/>
    </row>
    <row r="173" ht="15.75" customHeight="1">
      <c r="A173" s="112"/>
      <c r="B173" s="112"/>
      <c r="C173" s="412" t="str">
        <f t="array" ref="C173">IFERROR(INDEX(#REF!,MATCH($B173,Fornecedores!$B$8:$B$200,0)),"")</f>
        <v/>
      </c>
      <c r="D173" s="112"/>
      <c r="E173" s="112"/>
      <c r="F173" s="432"/>
      <c r="G173" s="433"/>
      <c r="H173" s="434" t="str">
        <f t="array" ref="H173">IFERROR(IF($A173="Medição",IFERROR(INDEX(#REF!,MATCH($B173,Fornecedores!$B$8:$B$200,0)),""),""),"")</f>
        <v/>
      </c>
      <c r="I173" s="435" t="str">
        <f t="shared" si="1"/>
        <v/>
      </c>
      <c r="J173" s="436"/>
      <c r="K173" s="437" t="str">
        <f t="array" ref="K173">IFERROR(IF($A173="Medição",IFERROR(INDEX(#REF!,MATCH($B173,Fornecedores!$B$8:$B$200,0)),0),""),"")</f>
        <v/>
      </c>
      <c r="L173" s="438" t="str">
        <f t="shared" si="2"/>
        <v/>
      </c>
      <c r="M173" s="439"/>
      <c r="N173" s="440" t="str">
        <f t="shared" si="3"/>
        <v/>
      </c>
      <c r="O173" s="432"/>
      <c r="P173" s="112"/>
      <c r="Q173" s="112"/>
      <c r="R173" s="112"/>
      <c r="S173" s="432"/>
      <c r="T173" s="112"/>
      <c r="U173" s="112"/>
      <c r="V173" s="112"/>
      <c r="W173" s="395"/>
      <c r="X173" s="395"/>
      <c r="Y173" s="395"/>
      <c r="Z173" s="395"/>
      <c r="AA173" s="395"/>
    </row>
    <row r="174" ht="15.75" customHeight="1">
      <c r="A174" s="112"/>
      <c r="B174" s="112"/>
      <c r="C174" s="412" t="str">
        <f t="array" ref="C174">IFERROR(INDEX(#REF!,MATCH($B174,Fornecedores!$B$8:$B$200,0)),"")</f>
        <v/>
      </c>
      <c r="D174" s="112"/>
      <c r="E174" s="112"/>
      <c r="F174" s="432"/>
      <c r="G174" s="433"/>
      <c r="H174" s="434" t="str">
        <f t="array" ref="H174">IFERROR(IF($A174="Medição",IFERROR(INDEX(#REF!,MATCH($B174,Fornecedores!$B$8:$B$200,0)),""),""),"")</f>
        <v/>
      </c>
      <c r="I174" s="435" t="str">
        <f t="shared" si="1"/>
        <v/>
      </c>
      <c r="J174" s="436"/>
      <c r="K174" s="437" t="str">
        <f t="array" ref="K174">IFERROR(IF($A174="Medição",IFERROR(INDEX(#REF!,MATCH($B174,Fornecedores!$B$8:$B$200,0)),0),""),"")</f>
        <v/>
      </c>
      <c r="L174" s="438" t="str">
        <f t="shared" si="2"/>
        <v/>
      </c>
      <c r="M174" s="439"/>
      <c r="N174" s="440" t="str">
        <f t="shared" si="3"/>
        <v/>
      </c>
      <c r="O174" s="432"/>
      <c r="P174" s="112"/>
      <c r="Q174" s="112"/>
      <c r="R174" s="112"/>
      <c r="S174" s="432"/>
      <c r="T174" s="112"/>
      <c r="U174" s="112"/>
      <c r="V174" s="112"/>
      <c r="W174" s="395"/>
      <c r="X174" s="395"/>
      <c r="Y174" s="395"/>
      <c r="Z174" s="395"/>
      <c r="AA174" s="395"/>
    </row>
    <row r="175" ht="15.75" customHeight="1">
      <c r="A175" s="112"/>
      <c r="B175" s="112"/>
      <c r="C175" s="412" t="str">
        <f t="array" ref="C175">IFERROR(INDEX(#REF!,MATCH($B175,Fornecedores!$B$8:$B$200,0)),"")</f>
        <v/>
      </c>
      <c r="D175" s="112"/>
      <c r="E175" s="112"/>
      <c r="F175" s="432"/>
      <c r="G175" s="433"/>
      <c r="H175" s="434" t="str">
        <f t="array" ref="H175">IFERROR(IF($A175="Medição",IFERROR(INDEX(#REF!,MATCH($B175,Fornecedores!$B$8:$B$200,0)),""),""),"")</f>
        <v/>
      </c>
      <c r="I175" s="435" t="str">
        <f t="shared" si="1"/>
        <v/>
      </c>
      <c r="J175" s="436"/>
      <c r="K175" s="437" t="str">
        <f t="array" ref="K175">IFERROR(IF($A175="Medição",IFERROR(INDEX(#REF!,MATCH($B175,Fornecedores!$B$8:$B$200,0)),0),""),"")</f>
        <v/>
      </c>
      <c r="L175" s="438" t="str">
        <f t="shared" si="2"/>
        <v/>
      </c>
      <c r="M175" s="439"/>
      <c r="N175" s="440" t="str">
        <f t="shared" si="3"/>
        <v/>
      </c>
      <c r="O175" s="432"/>
      <c r="P175" s="112"/>
      <c r="Q175" s="112"/>
      <c r="R175" s="112"/>
      <c r="S175" s="432"/>
      <c r="T175" s="112"/>
      <c r="U175" s="112"/>
      <c r="V175" s="112"/>
      <c r="W175" s="395"/>
      <c r="X175" s="395"/>
      <c r="Y175" s="395"/>
      <c r="Z175" s="395"/>
      <c r="AA175" s="395"/>
    </row>
    <row r="176" ht="15.75" customHeight="1">
      <c r="A176" s="112"/>
      <c r="B176" s="112"/>
      <c r="C176" s="412" t="str">
        <f t="array" ref="C176">IFERROR(INDEX(#REF!,MATCH($B176,Fornecedores!$B$8:$B$200,0)),"")</f>
        <v/>
      </c>
      <c r="D176" s="112"/>
      <c r="E176" s="112"/>
      <c r="F176" s="432"/>
      <c r="G176" s="433"/>
      <c r="H176" s="434" t="str">
        <f t="array" ref="H176">IFERROR(IF($A176="Medição",IFERROR(INDEX(#REF!,MATCH($B176,Fornecedores!$B$8:$B$200,0)),""),""),"")</f>
        <v/>
      </c>
      <c r="I176" s="435" t="str">
        <f t="shared" si="1"/>
        <v/>
      </c>
      <c r="J176" s="436"/>
      <c r="K176" s="437" t="str">
        <f t="array" ref="K176">IFERROR(IF($A176="Medição",IFERROR(INDEX(#REF!,MATCH($B176,Fornecedores!$B$8:$B$200,0)),0),""),"")</f>
        <v/>
      </c>
      <c r="L176" s="438" t="str">
        <f t="shared" si="2"/>
        <v/>
      </c>
      <c r="M176" s="439"/>
      <c r="N176" s="440" t="str">
        <f t="shared" si="3"/>
        <v/>
      </c>
      <c r="O176" s="432"/>
      <c r="P176" s="112"/>
      <c r="Q176" s="112"/>
      <c r="R176" s="112"/>
      <c r="S176" s="432"/>
      <c r="T176" s="112"/>
      <c r="U176" s="112"/>
      <c r="V176" s="112"/>
      <c r="W176" s="395"/>
      <c r="X176" s="395"/>
      <c r="Y176" s="395"/>
      <c r="Z176" s="395"/>
      <c r="AA176" s="395"/>
    </row>
    <row r="177" ht="15.75" customHeight="1">
      <c r="A177" s="112"/>
      <c r="B177" s="112"/>
      <c r="C177" s="412" t="str">
        <f t="array" ref="C177">IFERROR(INDEX(#REF!,MATCH($B177,Fornecedores!$B$8:$B$200,0)),"")</f>
        <v/>
      </c>
      <c r="D177" s="112"/>
      <c r="E177" s="112"/>
      <c r="F177" s="432"/>
      <c r="G177" s="433"/>
      <c r="H177" s="434" t="str">
        <f t="array" ref="H177">IFERROR(IF($A177="Medição",IFERROR(INDEX(#REF!,MATCH($B177,Fornecedores!$B$8:$B$200,0)),""),""),"")</f>
        <v/>
      </c>
      <c r="I177" s="435" t="str">
        <f t="shared" si="1"/>
        <v/>
      </c>
      <c r="J177" s="436"/>
      <c r="K177" s="437" t="str">
        <f t="array" ref="K177">IFERROR(IF($A177="Medição",IFERROR(INDEX(#REF!,MATCH($B177,Fornecedores!$B$8:$B$200,0)),0),""),"")</f>
        <v/>
      </c>
      <c r="L177" s="438" t="str">
        <f t="shared" si="2"/>
        <v/>
      </c>
      <c r="M177" s="439"/>
      <c r="N177" s="440" t="str">
        <f t="shared" si="3"/>
        <v/>
      </c>
      <c r="O177" s="432"/>
      <c r="P177" s="112"/>
      <c r="Q177" s="112"/>
      <c r="R177" s="112"/>
      <c r="S177" s="432"/>
      <c r="T177" s="112"/>
      <c r="U177" s="112"/>
      <c r="V177" s="112"/>
      <c r="W177" s="395"/>
      <c r="X177" s="395"/>
      <c r="Y177" s="395"/>
      <c r="Z177" s="395"/>
      <c r="AA177" s="395"/>
    </row>
    <row r="178" ht="15.75" customHeight="1">
      <c r="A178" s="112"/>
      <c r="B178" s="112"/>
      <c r="C178" s="412" t="str">
        <f t="array" ref="C178">IFERROR(INDEX(#REF!,MATCH($B178,Fornecedores!$B$8:$B$200,0)),"")</f>
        <v/>
      </c>
      <c r="D178" s="112"/>
      <c r="E178" s="112"/>
      <c r="F178" s="432"/>
      <c r="G178" s="433"/>
      <c r="H178" s="434" t="str">
        <f t="array" ref="H178">IFERROR(IF($A178="Medição",IFERROR(INDEX(#REF!,MATCH($B178,Fornecedores!$B$8:$B$200,0)),""),""),"")</f>
        <v/>
      </c>
      <c r="I178" s="435" t="str">
        <f t="shared" si="1"/>
        <v/>
      </c>
      <c r="J178" s="436"/>
      <c r="K178" s="437" t="str">
        <f t="array" ref="K178">IFERROR(IF($A178="Medição",IFERROR(INDEX(#REF!,MATCH($B178,Fornecedores!$B$8:$B$200,0)),0),""),"")</f>
        <v/>
      </c>
      <c r="L178" s="438" t="str">
        <f t="shared" si="2"/>
        <v/>
      </c>
      <c r="M178" s="439"/>
      <c r="N178" s="440" t="str">
        <f t="shared" si="3"/>
        <v/>
      </c>
      <c r="O178" s="432"/>
      <c r="P178" s="112"/>
      <c r="Q178" s="112"/>
      <c r="R178" s="112"/>
      <c r="S178" s="432"/>
      <c r="T178" s="112"/>
      <c r="U178" s="112"/>
      <c r="V178" s="112"/>
      <c r="W178" s="395"/>
      <c r="X178" s="395"/>
      <c r="Y178" s="395"/>
      <c r="Z178" s="395"/>
      <c r="AA178" s="395"/>
    </row>
    <row r="179" ht="15.75" customHeight="1">
      <c r="A179" s="112"/>
      <c r="B179" s="112"/>
      <c r="C179" s="412" t="str">
        <f t="array" ref="C179">IFERROR(INDEX(#REF!,MATCH($B179,Fornecedores!$B$8:$B$200,0)),"")</f>
        <v/>
      </c>
      <c r="D179" s="112"/>
      <c r="E179" s="112"/>
      <c r="F179" s="432"/>
      <c r="G179" s="433"/>
      <c r="H179" s="434" t="str">
        <f t="array" ref="H179">IFERROR(IF($A179="Medição",IFERROR(INDEX(#REF!,MATCH($B179,Fornecedores!$B$8:$B$200,0)),""),""),"")</f>
        <v/>
      </c>
      <c r="I179" s="435" t="str">
        <f t="shared" si="1"/>
        <v/>
      </c>
      <c r="J179" s="436"/>
      <c r="K179" s="437" t="str">
        <f t="array" ref="K179">IFERROR(IF($A179="Medição",IFERROR(INDEX(#REF!,MATCH($B179,Fornecedores!$B$8:$B$200,0)),0),""),"")</f>
        <v/>
      </c>
      <c r="L179" s="438" t="str">
        <f t="shared" si="2"/>
        <v/>
      </c>
      <c r="M179" s="439"/>
      <c r="N179" s="440" t="str">
        <f t="shared" si="3"/>
        <v/>
      </c>
      <c r="O179" s="432"/>
      <c r="P179" s="112"/>
      <c r="Q179" s="112"/>
      <c r="R179" s="112"/>
      <c r="S179" s="432"/>
      <c r="T179" s="112"/>
      <c r="U179" s="112"/>
      <c r="V179" s="112"/>
      <c r="W179" s="395"/>
      <c r="X179" s="395"/>
      <c r="Y179" s="395"/>
      <c r="Z179" s="395"/>
      <c r="AA179" s="395"/>
    </row>
    <row r="180" ht="15.75" customHeight="1">
      <c r="A180" s="112"/>
      <c r="B180" s="112"/>
      <c r="C180" s="412" t="str">
        <f t="array" ref="C180">IFERROR(INDEX(#REF!,MATCH($B180,Fornecedores!$B$8:$B$200,0)),"")</f>
        <v/>
      </c>
      <c r="D180" s="112"/>
      <c r="E180" s="112"/>
      <c r="F180" s="432"/>
      <c r="G180" s="433"/>
      <c r="H180" s="434" t="str">
        <f t="array" ref="H180">IFERROR(IF($A180="Medição",IFERROR(INDEX(#REF!,MATCH($B180,Fornecedores!$B$8:$B$200,0)),""),""),"")</f>
        <v/>
      </c>
      <c r="I180" s="435" t="str">
        <f t="shared" si="1"/>
        <v/>
      </c>
      <c r="J180" s="436"/>
      <c r="K180" s="437" t="str">
        <f t="array" ref="K180">IFERROR(IF($A180="Medição",IFERROR(INDEX(#REF!,MATCH($B180,Fornecedores!$B$8:$B$200,0)),0),""),"")</f>
        <v/>
      </c>
      <c r="L180" s="438" t="str">
        <f t="shared" si="2"/>
        <v/>
      </c>
      <c r="M180" s="439"/>
      <c r="N180" s="440" t="str">
        <f t="shared" si="3"/>
        <v/>
      </c>
      <c r="O180" s="432"/>
      <c r="P180" s="112"/>
      <c r="Q180" s="112"/>
      <c r="R180" s="112"/>
      <c r="S180" s="432"/>
      <c r="T180" s="112"/>
      <c r="U180" s="112"/>
      <c r="V180" s="112"/>
      <c r="W180" s="395"/>
      <c r="X180" s="395"/>
      <c r="Y180" s="395"/>
      <c r="Z180" s="395"/>
      <c r="AA180" s="395"/>
    </row>
    <row r="181" ht="15.75" customHeight="1">
      <c r="A181" s="112"/>
      <c r="B181" s="112"/>
      <c r="C181" s="412" t="str">
        <f t="array" ref="C181">IFERROR(INDEX(#REF!,MATCH($B181,Fornecedores!$B$8:$B$200,0)),"")</f>
        <v/>
      </c>
      <c r="D181" s="112"/>
      <c r="E181" s="112"/>
      <c r="F181" s="432"/>
      <c r="G181" s="433"/>
      <c r="H181" s="434" t="str">
        <f t="array" ref="H181">IFERROR(IF($A181="Medição",IFERROR(INDEX(#REF!,MATCH($B181,Fornecedores!$B$8:$B$200,0)),""),""),"")</f>
        <v/>
      </c>
      <c r="I181" s="435" t="str">
        <f t="shared" si="1"/>
        <v/>
      </c>
      <c r="J181" s="436"/>
      <c r="K181" s="437" t="str">
        <f t="array" ref="K181">IFERROR(IF($A181="Medição",IFERROR(INDEX(#REF!,MATCH($B181,Fornecedores!$B$8:$B$200,0)),0),""),"")</f>
        <v/>
      </c>
      <c r="L181" s="438" t="str">
        <f t="shared" si="2"/>
        <v/>
      </c>
      <c r="M181" s="439"/>
      <c r="N181" s="440" t="str">
        <f t="shared" si="3"/>
        <v/>
      </c>
      <c r="O181" s="432"/>
      <c r="P181" s="112"/>
      <c r="Q181" s="112"/>
      <c r="R181" s="112"/>
      <c r="S181" s="432"/>
      <c r="T181" s="112"/>
      <c r="U181" s="112"/>
      <c r="V181" s="112"/>
      <c r="W181" s="395"/>
      <c r="X181" s="395"/>
      <c r="Y181" s="395"/>
      <c r="Z181" s="395"/>
      <c r="AA181" s="395"/>
    </row>
    <row r="182" ht="15.75" customHeight="1">
      <c r="A182" s="112"/>
      <c r="B182" s="112"/>
      <c r="C182" s="412" t="str">
        <f t="array" ref="C182">IFERROR(INDEX(#REF!,MATCH($B182,Fornecedores!$B$8:$B$200,0)),"")</f>
        <v/>
      </c>
      <c r="D182" s="112"/>
      <c r="E182" s="112"/>
      <c r="F182" s="432"/>
      <c r="G182" s="433"/>
      <c r="H182" s="434" t="str">
        <f t="array" ref="H182">IFERROR(IF($A182="Medição",IFERROR(INDEX(#REF!,MATCH($B182,Fornecedores!$B$8:$B$200,0)),""),""),"")</f>
        <v/>
      </c>
      <c r="I182" s="435" t="str">
        <f t="shared" si="1"/>
        <v/>
      </c>
      <c r="J182" s="436"/>
      <c r="K182" s="437" t="str">
        <f t="array" ref="K182">IFERROR(IF($A182="Medição",IFERROR(INDEX(#REF!,MATCH($B182,Fornecedores!$B$8:$B$200,0)),0),""),"")</f>
        <v/>
      </c>
      <c r="L182" s="438" t="str">
        <f t="shared" si="2"/>
        <v/>
      </c>
      <c r="M182" s="439"/>
      <c r="N182" s="440" t="str">
        <f t="shared" si="3"/>
        <v/>
      </c>
      <c r="O182" s="432"/>
      <c r="P182" s="112"/>
      <c r="Q182" s="112"/>
      <c r="R182" s="112"/>
      <c r="S182" s="432"/>
      <c r="T182" s="112"/>
      <c r="U182" s="112"/>
      <c r="V182" s="112"/>
      <c r="W182" s="395"/>
      <c r="X182" s="395"/>
      <c r="Y182" s="395"/>
      <c r="Z182" s="395"/>
      <c r="AA182" s="395"/>
    </row>
    <row r="183" ht="15.75" customHeight="1">
      <c r="A183" s="112"/>
      <c r="B183" s="112"/>
      <c r="C183" s="412" t="str">
        <f t="array" ref="C183">IFERROR(INDEX(#REF!,MATCH($B183,Fornecedores!$B$8:$B$200,0)),"")</f>
        <v/>
      </c>
      <c r="D183" s="112"/>
      <c r="E183" s="112"/>
      <c r="F183" s="432"/>
      <c r="G183" s="433"/>
      <c r="H183" s="434" t="str">
        <f t="array" ref="H183">IFERROR(IF($A183="Medição",IFERROR(INDEX(#REF!,MATCH($B183,Fornecedores!$B$8:$B$200,0)),""),""),"")</f>
        <v/>
      </c>
      <c r="I183" s="435" t="str">
        <f t="shared" si="1"/>
        <v/>
      </c>
      <c r="J183" s="436"/>
      <c r="K183" s="437" t="str">
        <f t="array" ref="K183">IFERROR(IF($A183="Medição",IFERROR(INDEX(#REF!,MATCH($B183,Fornecedores!$B$8:$B$200,0)),0),""),"")</f>
        <v/>
      </c>
      <c r="L183" s="438" t="str">
        <f t="shared" si="2"/>
        <v/>
      </c>
      <c r="M183" s="439"/>
      <c r="N183" s="440" t="str">
        <f t="shared" si="3"/>
        <v/>
      </c>
      <c r="O183" s="432"/>
      <c r="P183" s="112"/>
      <c r="Q183" s="112"/>
      <c r="R183" s="112"/>
      <c r="S183" s="432"/>
      <c r="T183" s="112"/>
      <c r="U183" s="112"/>
      <c r="V183" s="112"/>
      <c r="W183" s="395"/>
      <c r="X183" s="395"/>
      <c r="Y183" s="395"/>
      <c r="Z183" s="395"/>
      <c r="AA183" s="395"/>
    </row>
    <row r="184" ht="15.75" customHeight="1">
      <c r="A184" s="112"/>
      <c r="B184" s="112"/>
      <c r="C184" s="412" t="str">
        <f t="array" ref="C184">IFERROR(INDEX(#REF!,MATCH($B184,Fornecedores!$B$8:$B$200,0)),"")</f>
        <v/>
      </c>
      <c r="D184" s="112"/>
      <c r="E184" s="112"/>
      <c r="F184" s="432"/>
      <c r="G184" s="433"/>
      <c r="H184" s="434" t="str">
        <f t="array" ref="H184">IFERROR(IF($A184="Medição",IFERROR(INDEX(#REF!,MATCH($B184,Fornecedores!$B$8:$B$200,0)),""),""),"")</f>
        <v/>
      </c>
      <c r="I184" s="435" t="str">
        <f t="shared" si="1"/>
        <v/>
      </c>
      <c r="J184" s="436"/>
      <c r="K184" s="437" t="str">
        <f t="array" ref="K184">IFERROR(IF($A184="Medição",IFERROR(INDEX(#REF!,MATCH($B184,Fornecedores!$B$8:$B$200,0)),0),""),"")</f>
        <v/>
      </c>
      <c r="L184" s="438" t="str">
        <f t="shared" si="2"/>
        <v/>
      </c>
      <c r="M184" s="439"/>
      <c r="N184" s="440" t="str">
        <f t="shared" si="3"/>
        <v/>
      </c>
      <c r="O184" s="432"/>
      <c r="P184" s="112"/>
      <c r="Q184" s="112"/>
      <c r="R184" s="112"/>
      <c r="S184" s="432"/>
      <c r="T184" s="112"/>
      <c r="U184" s="112"/>
      <c r="V184" s="112"/>
      <c r="W184" s="395"/>
      <c r="X184" s="395"/>
      <c r="Y184" s="395"/>
      <c r="Z184" s="395"/>
      <c r="AA184" s="395"/>
    </row>
    <row r="185" ht="15.75" customHeight="1">
      <c r="A185" s="112"/>
      <c r="B185" s="112"/>
      <c r="C185" s="412" t="str">
        <f t="array" ref="C185">IFERROR(INDEX(#REF!,MATCH($B185,Fornecedores!$B$8:$B$200,0)),"")</f>
        <v/>
      </c>
      <c r="D185" s="112"/>
      <c r="E185" s="112"/>
      <c r="F185" s="432"/>
      <c r="G185" s="433"/>
      <c r="H185" s="434" t="str">
        <f t="array" ref="H185">IFERROR(IF($A185="Medição",IFERROR(INDEX(#REF!,MATCH($B185,Fornecedores!$B$8:$B$200,0)),""),""),"")</f>
        <v/>
      </c>
      <c r="I185" s="435" t="str">
        <f t="shared" si="1"/>
        <v/>
      </c>
      <c r="J185" s="436"/>
      <c r="K185" s="437" t="str">
        <f t="array" ref="K185">IFERROR(IF($A185="Medição",IFERROR(INDEX(#REF!,MATCH($B185,Fornecedores!$B$8:$B$200,0)),0),""),"")</f>
        <v/>
      </c>
      <c r="L185" s="438" t="str">
        <f t="shared" si="2"/>
        <v/>
      </c>
      <c r="M185" s="439"/>
      <c r="N185" s="440" t="str">
        <f t="shared" si="3"/>
        <v/>
      </c>
      <c r="O185" s="432"/>
      <c r="P185" s="112"/>
      <c r="Q185" s="112"/>
      <c r="R185" s="112"/>
      <c r="S185" s="432"/>
      <c r="T185" s="112"/>
      <c r="U185" s="112"/>
      <c r="V185" s="112"/>
      <c r="W185" s="395"/>
      <c r="X185" s="395"/>
      <c r="Y185" s="395"/>
      <c r="Z185" s="395"/>
      <c r="AA185" s="395"/>
    </row>
    <row r="186" ht="15.75" customHeight="1">
      <c r="A186" s="112"/>
      <c r="B186" s="112"/>
      <c r="C186" s="412" t="str">
        <f t="array" ref="C186">IFERROR(INDEX(#REF!,MATCH($B186,Fornecedores!$B$8:$B$200,0)),"")</f>
        <v/>
      </c>
      <c r="D186" s="112"/>
      <c r="E186" s="112"/>
      <c r="F186" s="432"/>
      <c r="G186" s="433"/>
      <c r="H186" s="434" t="str">
        <f t="array" ref="H186">IFERROR(IF($A186="Medição",IFERROR(INDEX(#REF!,MATCH($B186,Fornecedores!$B$8:$B$200,0)),""),""),"")</f>
        <v/>
      </c>
      <c r="I186" s="435" t="str">
        <f t="shared" si="1"/>
        <v/>
      </c>
      <c r="J186" s="436"/>
      <c r="K186" s="437" t="str">
        <f t="array" ref="K186">IFERROR(IF($A186="Medição",IFERROR(INDEX(#REF!,MATCH($B186,Fornecedores!$B$8:$B$200,0)),0),""),"")</f>
        <v/>
      </c>
      <c r="L186" s="438" t="str">
        <f t="shared" si="2"/>
        <v/>
      </c>
      <c r="M186" s="439"/>
      <c r="N186" s="440" t="str">
        <f t="shared" si="3"/>
        <v/>
      </c>
      <c r="O186" s="432"/>
      <c r="P186" s="112"/>
      <c r="Q186" s="112"/>
      <c r="R186" s="112"/>
      <c r="S186" s="432"/>
      <c r="T186" s="112"/>
      <c r="U186" s="112"/>
      <c r="V186" s="112"/>
      <c r="W186" s="395"/>
      <c r="X186" s="395"/>
      <c r="Y186" s="395"/>
      <c r="Z186" s="395"/>
      <c r="AA186" s="395"/>
    </row>
    <row r="187" ht="15.75" customHeight="1">
      <c r="A187" s="112"/>
      <c r="B187" s="112"/>
      <c r="C187" s="412" t="str">
        <f t="array" ref="C187">IFERROR(INDEX(#REF!,MATCH($B187,Fornecedores!$B$8:$B$200,0)),"")</f>
        <v/>
      </c>
      <c r="D187" s="112"/>
      <c r="E187" s="112"/>
      <c r="F187" s="432"/>
      <c r="G187" s="433"/>
      <c r="H187" s="434" t="str">
        <f t="array" ref="H187">IFERROR(IF($A187="Medição",IFERROR(INDEX(#REF!,MATCH($B187,Fornecedores!$B$8:$B$200,0)),""),""),"")</f>
        <v/>
      </c>
      <c r="I187" s="435" t="str">
        <f t="shared" si="1"/>
        <v/>
      </c>
      <c r="J187" s="436"/>
      <c r="K187" s="437" t="str">
        <f t="array" ref="K187">IFERROR(IF($A187="Medição",IFERROR(INDEX(#REF!,MATCH($B187,Fornecedores!$B$8:$B$200,0)),0),""),"")</f>
        <v/>
      </c>
      <c r="L187" s="438" t="str">
        <f t="shared" si="2"/>
        <v/>
      </c>
      <c r="M187" s="439"/>
      <c r="N187" s="440" t="str">
        <f t="shared" si="3"/>
        <v/>
      </c>
      <c r="O187" s="432"/>
      <c r="P187" s="112"/>
      <c r="Q187" s="112"/>
      <c r="R187" s="112"/>
      <c r="S187" s="432"/>
      <c r="T187" s="112"/>
      <c r="U187" s="112"/>
      <c r="V187" s="112"/>
      <c r="W187" s="395"/>
      <c r="X187" s="395"/>
      <c r="Y187" s="395"/>
      <c r="Z187" s="395"/>
      <c r="AA187" s="395"/>
    </row>
    <row r="188" ht="15.75" customHeight="1">
      <c r="A188" s="112"/>
      <c r="B188" s="112"/>
      <c r="C188" s="412" t="str">
        <f t="array" ref="C188">IFERROR(INDEX(#REF!,MATCH($B188,Fornecedores!$B$8:$B$200,0)),"")</f>
        <v/>
      </c>
      <c r="D188" s="112"/>
      <c r="E188" s="112"/>
      <c r="F188" s="432"/>
      <c r="G188" s="433"/>
      <c r="H188" s="434" t="str">
        <f t="array" ref="H188">IFERROR(IF($A188="Medição",IFERROR(INDEX(#REF!,MATCH($B188,Fornecedores!$B$8:$B$200,0)),""),""),"")</f>
        <v/>
      </c>
      <c r="I188" s="435" t="str">
        <f t="shared" si="1"/>
        <v/>
      </c>
      <c r="J188" s="436"/>
      <c r="K188" s="437" t="str">
        <f t="array" ref="K188">IFERROR(IF($A188="Medição",IFERROR(INDEX(#REF!,MATCH($B188,Fornecedores!$B$8:$B$200,0)),0),""),"")</f>
        <v/>
      </c>
      <c r="L188" s="438" t="str">
        <f t="shared" si="2"/>
        <v/>
      </c>
      <c r="M188" s="439"/>
      <c r="N188" s="440" t="str">
        <f t="shared" si="3"/>
        <v/>
      </c>
      <c r="O188" s="432"/>
      <c r="P188" s="112"/>
      <c r="Q188" s="112"/>
      <c r="R188" s="112"/>
      <c r="S188" s="432"/>
      <c r="T188" s="112"/>
      <c r="U188" s="112"/>
      <c r="V188" s="112"/>
      <c r="W188" s="395"/>
      <c r="X188" s="395"/>
      <c r="Y188" s="395"/>
      <c r="Z188" s="395"/>
      <c r="AA188" s="395"/>
    </row>
    <row r="189" ht="15.75" customHeight="1">
      <c r="A189" s="112"/>
      <c r="B189" s="112"/>
      <c r="C189" s="412" t="str">
        <f t="array" ref="C189">IFERROR(INDEX(#REF!,MATCH($B189,Fornecedores!$B$8:$B$200,0)),"")</f>
        <v/>
      </c>
      <c r="D189" s="112"/>
      <c r="E189" s="112"/>
      <c r="F189" s="432"/>
      <c r="G189" s="433"/>
      <c r="H189" s="434" t="str">
        <f t="array" ref="H189">IFERROR(IF($A189="Medição",IFERROR(INDEX(#REF!,MATCH($B189,Fornecedores!$B$8:$B$200,0)),""),""),"")</f>
        <v/>
      </c>
      <c r="I189" s="435" t="str">
        <f t="shared" si="1"/>
        <v/>
      </c>
      <c r="J189" s="436"/>
      <c r="K189" s="437" t="str">
        <f t="array" ref="K189">IFERROR(IF($A189="Medição",IFERROR(INDEX(#REF!,MATCH($B189,Fornecedores!$B$8:$B$200,0)),0),""),"")</f>
        <v/>
      </c>
      <c r="L189" s="438" t="str">
        <f t="shared" si="2"/>
        <v/>
      </c>
      <c r="M189" s="439"/>
      <c r="N189" s="440" t="str">
        <f t="shared" si="3"/>
        <v/>
      </c>
      <c r="O189" s="432"/>
      <c r="P189" s="112"/>
      <c r="Q189" s="112"/>
      <c r="R189" s="112"/>
      <c r="S189" s="432"/>
      <c r="T189" s="112"/>
      <c r="U189" s="112"/>
      <c r="V189" s="112"/>
      <c r="W189" s="395"/>
      <c r="X189" s="395"/>
      <c r="Y189" s="395"/>
      <c r="Z189" s="395"/>
      <c r="AA189" s="395"/>
    </row>
    <row r="190" ht="15.75" customHeight="1">
      <c r="A190" s="112"/>
      <c r="B190" s="112"/>
      <c r="C190" s="412" t="str">
        <f t="array" ref="C190">IFERROR(INDEX(#REF!,MATCH($B190,Fornecedores!$B$8:$B$200,0)),"")</f>
        <v/>
      </c>
      <c r="D190" s="112"/>
      <c r="E190" s="112"/>
      <c r="F190" s="432"/>
      <c r="G190" s="433"/>
      <c r="H190" s="434" t="str">
        <f t="array" ref="H190">IFERROR(IF($A190="Medição",IFERROR(INDEX(#REF!,MATCH($B190,Fornecedores!$B$8:$B$200,0)),""),""),"")</f>
        <v/>
      </c>
      <c r="I190" s="435" t="str">
        <f t="shared" si="1"/>
        <v/>
      </c>
      <c r="J190" s="436"/>
      <c r="K190" s="437" t="str">
        <f t="array" ref="K190">IFERROR(IF($A190="Medição",IFERROR(INDEX(#REF!,MATCH($B190,Fornecedores!$B$8:$B$200,0)),0),""),"")</f>
        <v/>
      </c>
      <c r="L190" s="438" t="str">
        <f t="shared" si="2"/>
        <v/>
      </c>
      <c r="M190" s="439"/>
      <c r="N190" s="440" t="str">
        <f t="shared" si="3"/>
        <v/>
      </c>
      <c r="O190" s="432"/>
      <c r="P190" s="112"/>
      <c r="Q190" s="112"/>
      <c r="R190" s="112"/>
      <c r="S190" s="432"/>
      <c r="T190" s="112"/>
      <c r="U190" s="112"/>
      <c r="V190" s="112"/>
      <c r="W190" s="395"/>
      <c r="X190" s="395"/>
      <c r="Y190" s="395"/>
      <c r="Z190" s="395"/>
      <c r="AA190" s="395"/>
    </row>
    <row r="191" ht="15.75" customHeight="1">
      <c r="A191" s="112"/>
      <c r="B191" s="112"/>
      <c r="C191" s="412" t="str">
        <f t="array" ref="C191">IFERROR(INDEX(#REF!,MATCH($B191,Fornecedores!$B$8:$B$200,0)),"")</f>
        <v/>
      </c>
      <c r="D191" s="112"/>
      <c r="E191" s="112"/>
      <c r="F191" s="432"/>
      <c r="G191" s="433"/>
      <c r="H191" s="434" t="str">
        <f t="array" ref="H191">IFERROR(IF($A191="Medição",IFERROR(INDEX(#REF!,MATCH($B191,Fornecedores!$B$8:$B$200,0)),""),""),"")</f>
        <v/>
      </c>
      <c r="I191" s="435" t="str">
        <f t="shared" si="1"/>
        <v/>
      </c>
      <c r="J191" s="436"/>
      <c r="K191" s="437" t="str">
        <f t="array" ref="K191">IFERROR(IF($A191="Medição",IFERROR(INDEX(#REF!,MATCH($B191,Fornecedores!$B$8:$B$200,0)),0),""),"")</f>
        <v/>
      </c>
      <c r="L191" s="438" t="str">
        <f t="shared" si="2"/>
        <v/>
      </c>
      <c r="M191" s="439"/>
      <c r="N191" s="440" t="str">
        <f t="shared" si="3"/>
        <v/>
      </c>
      <c r="O191" s="432"/>
      <c r="P191" s="112"/>
      <c r="Q191" s="112"/>
      <c r="R191" s="112"/>
      <c r="S191" s="432"/>
      <c r="T191" s="112"/>
      <c r="U191" s="112"/>
      <c r="V191" s="112"/>
      <c r="W191" s="395"/>
      <c r="X191" s="395"/>
      <c r="Y191" s="395"/>
      <c r="Z191" s="395"/>
      <c r="AA191" s="395"/>
    </row>
    <row r="192" ht="15.75" customHeight="1">
      <c r="A192" s="112"/>
      <c r="B192" s="112"/>
      <c r="C192" s="412" t="str">
        <f t="array" ref="C192">IFERROR(INDEX(#REF!,MATCH($B192,Fornecedores!$B$8:$B$200,0)),"")</f>
        <v/>
      </c>
      <c r="D192" s="112"/>
      <c r="E192" s="112"/>
      <c r="F192" s="432"/>
      <c r="G192" s="433"/>
      <c r="H192" s="434" t="str">
        <f t="array" ref="H192">IFERROR(IF($A192="Medição",IFERROR(INDEX(#REF!,MATCH($B192,Fornecedores!$B$8:$B$200,0)),""),""),"")</f>
        <v/>
      </c>
      <c r="I192" s="435" t="str">
        <f t="shared" si="1"/>
        <v/>
      </c>
      <c r="J192" s="436"/>
      <c r="K192" s="437" t="str">
        <f t="array" ref="K192">IFERROR(IF($A192="Medição",IFERROR(INDEX(#REF!,MATCH($B192,Fornecedores!$B$8:$B$200,0)),0),""),"")</f>
        <v/>
      </c>
      <c r="L192" s="438" t="str">
        <f t="shared" si="2"/>
        <v/>
      </c>
      <c r="M192" s="439"/>
      <c r="N192" s="440" t="str">
        <f t="shared" si="3"/>
        <v/>
      </c>
      <c r="O192" s="432"/>
      <c r="P192" s="112"/>
      <c r="Q192" s="112"/>
      <c r="R192" s="112"/>
      <c r="S192" s="432"/>
      <c r="T192" s="112"/>
      <c r="U192" s="112"/>
      <c r="V192" s="112"/>
      <c r="W192" s="395"/>
      <c r="X192" s="395"/>
      <c r="Y192" s="395"/>
      <c r="Z192" s="395"/>
      <c r="AA192" s="395"/>
    </row>
    <row r="193" ht="15.75" customHeight="1">
      <c r="A193" s="112"/>
      <c r="B193" s="112"/>
      <c r="C193" s="412" t="str">
        <f t="array" ref="C193">IFERROR(INDEX(#REF!,MATCH($B193,Fornecedores!$B$8:$B$200,0)),"")</f>
        <v/>
      </c>
      <c r="D193" s="112"/>
      <c r="E193" s="112"/>
      <c r="F193" s="432"/>
      <c r="G193" s="433"/>
      <c r="H193" s="434" t="str">
        <f t="array" ref="H193">IFERROR(IF($A193="Medição",IFERROR(INDEX(#REF!,MATCH($B193,Fornecedores!$B$8:$B$200,0)),""),""),"")</f>
        <v/>
      </c>
      <c r="I193" s="435" t="str">
        <f t="shared" si="1"/>
        <v/>
      </c>
      <c r="J193" s="436"/>
      <c r="K193" s="437" t="str">
        <f t="array" ref="K193">IFERROR(IF($A193="Medição",IFERROR(INDEX(#REF!,MATCH($B193,Fornecedores!$B$8:$B$200,0)),0),""),"")</f>
        <v/>
      </c>
      <c r="L193" s="438" t="str">
        <f t="shared" si="2"/>
        <v/>
      </c>
      <c r="M193" s="439"/>
      <c r="N193" s="440" t="str">
        <f t="shared" si="3"/>
        <v/>
      </c>
      <c r="O193" s="432"/>
      <c r="P193" s="112"/>
      <c r="Q193" s="112"/>
      <c r="R193" s="112"/>
      <c r="S193" s="432"/>
      <c r="T193" s="112"/>
      <c r="U193" s="112"/>
      <c r="V193" s="112"/>
      <c r="W193" s="395"/>
      <c r="X193" s="395"/>
      <c r="Y193" s="395"/>
      <c r="Z193" s="395"/>
      <c r="AA193" s="395"/>
    </row>
    <row r="194" ht="15.75" customHeight="1">
      <c r="A194" s="112"/>
      <c r="B194" s="112"/>
      <c r="C194" s="412" t="str">
        <f t="array" ref="C194">IFERROR(INDEX(#REF!,MATCH($B194,Fornecedores!$B$8:$B$200,0)),"")</f>
        <v/>
      </c>
      <c r="D194" s="112"/>
      <c r="E194" s="112"/>
      <c r="F194" s="432"/>
      <c r="G194" s="433"/>
      <c r="H194" s="434" t="str">
        <f t="array" ref="H194">IFERROR(IF($A194="Medição",IFERROR(INDEX(#REF!,MATCH($B194,Fornecedores!$B$8:$B$200,0)),""),""),"")</f>
        <v/>
      </c>
      <c r="I194" s="435" t="str">
        <f t="shared" si="1"/>
        <v/>
      </c>
      <c r="J194" s="436"/>
      <c r="K194" s="437" t="str">
        <f t="array" ref="K194">IFERROR(IF($A194="Medição",IFERROR(INDEX(#REF!,MATCH($B194,Fornecedores!$B$8:$B$200,0)),0),""),"")</f>
        <v/>
      </c>
      <c r="L194" s="438" t="str">
        <f t="shared" si="2"/>
        <v/>
      </c>
      <c r="M194" s="439"/>
      <c r="N194" s="440" t="str">
        <f t="shared" si="3"/>
        <v/>
      </c>
      <c r="O194" s="432"/>
      <c r="P194" s="112"/>
      <c r="Q194" s="112"/>
      <c r="R194" s="112"/>
      <c r="S194" s="432"/>
      <c r="T194" s="112"/>
      <c r="U194" s="112"/>
      <c r="V194" s="112"/>
      <c r="W194" s="395"/>
      <c r="X194" s="395"/>
      <c r="Y194" s="395"/>
      <c r="Z194" s="395"/>
      <c r="AA194" s="395"/>
    </row>
    <row r="195" ht="15.75" customHeight="1">
      <c r="A195" s="112"/>
      <c r="B195" s="112"/>
      <c r="C195" s="412" t="str">
        <f t="array" ref="C195">IFERROR(INDEX(#REF!,MATCH($B195,Fornecedores!$B$8:$B$200,0)),"")</f>
        <v/>
      </c>
      <c r="D195" s="112"/>
      <c r="E195" s="112"/>
      <c r="F195" s="432"/>
      <c r="G195" s="433"/>
      <c r="H195" s="434" t="str">
        <f t="array" ref="H195">IFERROR(IF($A195="Medição",IFERROR(INDEX(#REF!,MATCH($B195,Fornecedores!$B$8:$B$200,0)),""),""),"")</f>
        <v/>
      </c>
      <c r="I195" s="435" t="str">
        <f t="shared" si="1"/>
        <v/>
      </c>
      <c r="J195" s="436"/>
      <c r="K195" s="437" t="str">
        <f t="array" ref="K195">IFERROR(IF($A195="Medição",IFERROR(INDEX(#REF!,MATCH($B195,Fornecedores!$B$8:$B$200,0)),0),""),"")</f>
        <v/>
      </c>
      <c r="L195" s="438" t="str">
        <f t="shared" si="2"/>
        <v/>
      </c>
      <c r="M195" s="439"/>
      <c r="N195" s="440" t="str">
        <f t="shared" si="3"/>
        <v/>
      </c>
      <c r="O195" s="432"/>
      <c r="P195" s="112"/>
      <c r="Q195" s="112"/>
      <c r="R195" s="112"/>
      <c r="S195" s="432"/>
      <c r="T195" s="112"/>
      <c r="U195" s="112"/>
      <c r="V195" s="112"/>
      <c r="W195" s="395"/>
      <c r="X195" s="395"/>
      <c r="Y195" s="395"/>
      <c r="Z195" s="395"/>
      <c r="AA195" s="395"/>
    </row>
    <row r="196" ht="15.75" customHeight="1">
      <c r="A196" s="112"/>
      <c r="B196" s="112"/>
      <c r="C196" s="412" t="str">
        <f t="array" ref="C196">IFERROR(INDEX(#REF!,MATCH($B196,Fornecedores!$B$8:$B$200,0)),"")</f>
        <v/>
      </c>
      <c r="D196" s="112"/>
      <c r="E196" s="112"/>
      <c r="F196" s="432"/>
      <c r="G196" s="433"/>
      <c r="H196" s="434" t="str">
        <f t="array" ref="H196">IFERROR(IF($A196="Medição",IFERROR(INDEX(#REF!,MATCH($B196,Fornecedores!$B$8:$B$200,0)),""),""),"")</f>
        <v/>
      </c>
      <c r="I196" s="435" t="str">
        <f t="shared" si="1"/>
        <v/>
      </c>
      <c r="J196" s="436"/>
      <c r="K196" s="437" t="str">
        <f t="array" ref="K196">IFERROR(IF($A196="Medição",IFERROR(INDEX(#REF!,MATCH($B196,Fornecedores!$B$8:$B$200,0)),0),""),"")</f>
        <v/>
      </c>
      <c r="L196" s="438" t="str">
        <f t="shared" si="2"/>
        <v/>
      </c>
      <c r="M196" s="439"/>
      <c r="N196" s="440" t="str">
        <f t="shared" si="3"/>
        <v/>
      </c>
      <c r="O196" s="432"/>
      <c r="P196" s="112"/>
      <c r="Q196" s="112"/>
      <c r="R196" s="112"/>
      <c r="S196" s="432"/>
      <c r="T196" s="112"/>
      <c r="U196" s="112"/>
      <c r="V196" s="112"/>
      <c r="W196" s="395"/>
      <c r="X196" s="395"/>
      <c r="Y196" s="395"/>
      <c r="Z196" s="395"/>
      <c r="AA196" s="395"/>
    </row>
    <row r="197" ht="15.75" customHeight="1">
      <c r="A197" s="112"/>
      <c r="B197" s="112"/>
      <c r="C197" s="412" t="str">
        <f t="array" ref="C197">IFERROR(INDEX(#REF!,MATCH($B197,Fornecedores!$B$8:$B$200,0)),"")</f>
        <v/>
      </c>
      <c r="D197" s="112"/>
      <c r="E197" s="112"/>
      <c r="F197" s="432"/>
      <c r="G197" s="433"/>
      <c r="H197" s="434" t="str">
        <f t="array" ref="H197">IFERROR(IF($A197="Medição",IFERROR(INDEX(#REF!,MATCH($B197,Fornecedores!$B$8:$B$200,0)),""),""),"")</f>
        <v/>
      </c>
      <c r="I197" s="435" t="str">
        <f t="shared" si="1"/>
        <v/>
      </c>
      <c r="J197" s="436"/>
      <c r="K197" s="437" t="str">
        <f t="array" ref="K197">IFERROR(IF($A197="Medição",IFERROR(INDEX(#REF!,MATCH($B197,Fornecedores!$B$8:$B$200,0)),0),""),"")</f>
        <v/>
      </c>
      <c r="L197" s="438" t="str">
        <f t="shared" si="2"/>
        <v/>
      </c>
      <c r="M197" s="439"/>
      <c r="N197" s="440" t="str">
        <f t="shared" si="3"/>
        <v/>
      </c>
      <c r="O197" s="432"/>
      <c r="P197" s="112"/>
      <c r="Q197" s="112"/>
      <c r="R197" s="112"/>
      <c r="S197" s="432"/>
      <c r="T197" s="112"/>
      <c r="U197" s="112"/>
      <c r="V197" s="112"/>
      <c r="W197" s="395"/>
      <c r="X197" s="395"/>
      <c r="Y197" s="395"/>
      <c r="Z197" s="395"/>
      <c r="AA197" s="395"/>
    </row>
    <row r="198" ht="15.75" customHeight="1">
      <c r="A198" s="112"/>
      <c r="B198" s="112"/>
      <c r="C198" s="412" t="str">
        <f t="array" ref="C198">IFERROR(INDEX(#REF!,MATCH($B198,Fornecedores!$B$8:$B$200,0)),"")</f>
        <v/>
      </c>
      <c r="D198" s="112"/>
      <c r="E198" s="112"/>
      <c r="F198" s="432"/>
      <c r="G198" s="433"/>
      <c r="H198" s="434" t="str">
        <f t="array" ref="H198">IFERROR(IF($A198="Medição",IFERROR(INDEX(#REF!,MATCH($B198,Fornecedores!$B$8:$B$200,0)),""),""),"")</f>
        <v/>
      </c>
      <c r="I198" s="435" t="str">
        <f t="shared" si="1"/>
        <v/>
      </c>
      <c r="J198" s="436"/>
      <c r="K198" s="437" t="str">
        <f t="array" ref="K198">IFERROR(IF($A198="Medição",IFERROR(INDEX(#REF!,MATCH($B198,Fornecedores!$B$8:$B$200,0)),0),""),"")</f>
        <v/>
      </c>
      <c r="L198" s="438" t="str">
        <f t="shared" si="2"/>
        <v/>
      </c>
      <c r="M198" s="439"/>
      <c r="N198" s="440" t="str">
        <f t="shared" si="3"/>
        <v/>
      </c>
      <c r="O198" s="432"/>
      <c r="P198" s="112"/>
      <c r="Q198" s="112"/>
      <c r="R198" s="112"/>
      <c r="S198" s="432"/>
      <c r="T198" s="112"/>
      <c r="U198" s="112"/>
      <c r="V198" s="112"/>
      <c r="W198" s="395"/>
      <c r="X198" s="395"/>
      <c r="Y198" s="395"/>
      <c r="Z198" s="395"/>
      <c r="AA198" s="395"/>
    </row>
    <row r="199" ht="15.75" customHeight="1">
      <c r="A199" s="112"/>
      <c r="B199" s="112"/>
      <c r="C199" s="412" t="str">
        <f t="array" ref="C199">IFERROR(INDEX(#REF!,MATCH($B199,Fornecedores!$B$8:$B$200,0)),"")</f>
        <v/>
      </c>
      <c r="D199" s="112"/>
      <c r="E199" s="112"/>
      <c r="F199" s="432"/>
      <c r="G199" s="433"/>
      <c r="H199" s="434" t="str">
        <f t="array" ref="H199">IFERROR(IF($A199="Medição",IFERROR(INDEX(#REF!,MATCH($B199,Fornecedores!$B$8:$B$200,0)),""),""),"")</f>
        <v/>
      </c>
      <c r="I199" s="435" t="str">
        <f t="shared" si="1"/>
        <v/>
      </c>
      <c r="J199" s="436"/>
      <c r="K199" s="437" t="str">
        <f t="array" ref="K199">IFERROR(IF($A199="Medição",IFERROR(INDEX(#REF!,MATCH($B199,Fornecedores!$B$8:$B$200,0)),0),""),"")</f>
        <v/>
      </c>
      <c r="L199" s="438" t="str">
        <f t="shared" si="2"/>
        <v/>
      </c>
      <c r="M199" s="439"/>
      <c r="N199" s="440" t="str">
        <f t="shared" si="3"/>
        <v/>
      </c>
      <c r="O199" s="432"/>
      <c r="P199" s="112"/>
      <c r="Q199" s="112"/>
      <c r="R199" s="112"/>
      <c r="S199" s="432"/>
      <c r="T199" s="112"/>
      <c r="U199" s="112"/>
      <c r="V199" s="112"/>
      <c r="W199" s="395"/>
      <c r="X199" s="395"/>
      <c r="Y199" s="395"/>
      <c r="Z199" s="395"/>
      <c r="AA199" s="395"/>
    </row>
    <row r="200" ht="15.75" customHeight="1">
      <c r="A200" s="112"/>
      <c r="B200" s="112"/>
      <c r="C200" s="412" t="str">
        <f t="array" ref="C200">IFERROR(INDEX(#REF!,MATCH($B200,Fornecedores!$B$8:$B$200,0)),"")</f>
        <v/>
      </c>
      <c r="D200" s="112"/>
      <c r="E200" s="112"/>
      <c r="F200" s="432"/>
      <c r="G200" s="433"/>
      <c r="H200" s="434" t="str">
        <f t="array" ref="H200">IFERROR(IF($A200="Medição",IFERROR(INDEX(#REF!,MATCH($B200,Fornecedores!$B$8:$B$200,0)),""),""),"")</f>
        <v/>
      </c>
      <c r="I200" s="435" t="str">
        <f t="shared" si="1"/>
        <v/>
      </c>
      <c r="J200" s="436"/>
      <c r="K200" s="437" t="str">
        <f t="array" ref="K200">IFERROR(IF($A200="Medição",IFERROR(INDEX(#REF!,MATCH($B200,Fornecedores!$B$8:$B$200,0)),0),""),"")</f>
        <v/>
      </c>
      <c r="L200" s="438" t="str">
        <f t="shared" si="2"/>
        <v/>
      </c>
      <c r="M200" s="439"/>
      <c r="N200" s="440" t="str">
        <f t="shared" si="3"/>
        <v/>
      </c>
      <c r="O200" s="432"/>
      <c r="P200" s="112"/>
      <c r="Q200" s="112"/>
      <c r="R200" s="112"/>
      <c r="S200" s="432"/>
      <c r="T200" s="112"/>
      <c r="U200" s="112"/>
      <c r="V200" s="112"/>
      <c r="W200" s="395"/>
      <c r="X200" s="395"/>
      <c r="Y200" s="395"/>
      <c r="Z200" s="395"/>
      <c r="AA200" s="395"/>
    </row>
    <row r="201" ht="15.75" customHeight="1">
      <c r="A201" s="112"/>
      <c r="B201" s="112"/>
      <c r="C201" s="412" t="str">
        <f t="array" ref="C201">IFERROR(INDEX(#REF!,MATCH($B201,Fornecedores!$B$8:$B$200,0)),"")</f>
        <v/>
      </c>
      <c r="D201" s="112"/>
      <c r="E201" s="112"/>
      <c r="F201" s="432"/>
      <c r="G201" s="433"/>
      <c r="H201" s="434" t="str">
        <f t="array" ref="H201">IFERROR(IF($A201="Medição",IFERROR(INDEX(#REF!,MATCH($B201,Fornecedores!$B$8:$B$200,0)),""),""),"")</f>
        <v/>
      </c>
      <c r="I201" s="435" t="str">
        <f t="shared" si="1"/>
        <v/>
      </c>
      <c r="J201" s="436"/>
      <c r="K201" s="437" t="str">
        <f t="array" ref="K201">IFERROR(IF($A201="Medição",IFERROR(INDEX(#REF!,MATCH($B201,Fornecedores!$B$8:$B$200,0)),0),""),"")</f>
        <v/>
      </c>
      <c r="L201" s="438" t="str">
        <f t="shared" si="2"/>
        <v/>
      </c>
      <c r="M201" s="439"/>
      <c r="N201" s="440" t="str">
        <f t="shared" si="3"/>
        <v/>
      </c>
      <c r="O201" s="432"/>
      <c r="P201" s="112"/>
      <c r="Q201" s="112"/>
      <c r="R201" s="112"/>
      <c r="S201" s="432"/>
      <c r="T201" s="112"/>
      <c r="U201" s="112"/>
      <c r="V201" s="112"/>
      <c r="W201" s="395"/>
      <c r="X201" s="395"/>
      <c r="Y201" s="395"/>
      <c r="Z201" s="395"/>
      <c r="AA201" s="395"/>
    </row>
    <row r="202" ht="15.75" customHeight="1">
      <c r="A202" s="112"/>
      <c r="B202" s="112"/>
      <c r="C202" s="412" t="str">
        <f t="array" ref="C202">IFERROR(INDEX(#REF!,MATCH($B202,Fornecedores!$B$8:$B$200,0)),"")</f>
        <v/>
      </c>
      <c r="D202" s="112"/>
      <c r="E202" s="112"/>
      <c r="F202" s="432"/>
      <c r="G202" s="433"/>
      <c r="H202" s="434" t="str">
        <f t="array" ref="H202">IFERROR(IF($A202="Medição",IFERROR(INDEX(#REF!,MATCH($B202,Fornecedores!$B$8:$B$200,0)),""),""),"")</f>
        <v/>
      </c>
      <c r="I202" s="435" t="str">
        <f t="shared" si="1"/>
        <v/>
      </c>
      <c r="J202" s="436"/>
      <c r="K202" s="437" t="str">
        <f t="array" ref="K202">IFERROR(IF($A202="Medição",IFERROR(INDEX(#REF!,MATCH($B202,Fornecedores!$B$8:$B$200,0)),0),""),"")</f>
        <v/>
      </c>
      <c r="L202" s="438" t="str">
        <f t="shared" si="2"/>
        <v/>
      </c>
      <c r="M202" s="439"/>
      <c r="N202" s="440" t="str">
        <f t="shared" si="3"/>
        <v/>
      </c>
      <c r="O202" s="432"/>
      <c r="P202" s="112"/>
      <c r="Q202" s="112"/>
      <c r="R202" s="112"/>
      <c r="S202" s="432"/>
      <c r="T202" s="112"/>
      <c r="U202" s="112"/>
      <c r="V202" s="112"/>
      <c r="W202" s="395"/>
      <c r="X202" s="395"/>
      <c r="Y202" s="395"/>
      <c r="Z202" s="395"/>
      <c r="AA202" s="395"/>
    </row>
    <row r="203" ht="15.75" customHeight="1">
      <c r="A203" s="112"/>
      <c r="B203" s="112"/>
      <c r="C203" s="412" t="str">
        <f t="array" ref="C203">IFERROR(INDEX(#REF!,MATCH($B203,Fornecedores!$B$8:$B$200,0)),"")</f>
        <v/>
      </c>
      <c r="D203" s="112"/>
      <c r="E203" s="112"/>
      <c r="F203" s="432"/>
      <c r="G203" s="433"/>
      <c r="H203" s="434" t="str">
        <f t="array" ref="H203">IFERROR(IF($A203="Medição",IFERROR(INDEX(#REF!,MATCH($B203,Fornecedores!$B$8:$B$200,0)),""),""),"")</f>
        <v/>
      </c>
      <c r="I203" s="435" t="str">
        <f t="shared" si="1"/>
        <v/>
      </c>
      <c r="J203" s="436"/>
      <c r="K203" s="437" t="str">
        <f t="array" ref="K203">IFERROR(IF($A203="Medição",IFERROR(INDEX(#REF!,MATCH($B203,Fornecedores!$B$8:$B$200,0)),0),""),"")</f>
        <v/>
      </c>
      <c r="L203" s="438" t="str">
        <f t="shared" si="2"/>
        <v/>
      </c>
      <c r="M203" s="439"/>
      <c r="N203" s="440" t="str">
        <f t="shared" si="3"/>
        <v/>
      </c>
      <c r="O203" s="432"/>
      <c r="P203" s="112"/>
      <c r="Q203" s="112"/>
      <c r="R203" s="112"/>
      <c r="S203" s="432"/>
      <c r="T203" s="112"/>
      <c r="U203" s="112"/>
      <c r="V203" s="112"/>
      <c r="W203" s="395"/>
      <c r="X203" s="395"/>
      <c r="Y203" s="395"/>
      <c r="Z203" s="395"/>
      <c r="AA203" s="395"/>
    </row>
    <row r="204" ht="15.75" customHeight="1">
      <c r="A204" s="112"/>
      <c r="B204" s="112"/>
      <c r="C204" s="412" t="str">
        <f t="array" ref="C204">IFERROR(INDEX(#REF!,MATCH($B204,Fornecedores!$B$8:$B$200,0)),"")</f>
        <v/>
      </c>
      <c r="D204" s="112"/>
      <c r="E204" s="112"/>
      <c r="F204" s="432"/>
      <c r="G204" s="433"/>
      <c r="H204" s="434" t="str">
        <f t="array" ref="H204">IFERROR(IF($A204="Medição",IFERROR(INDEX(#REF!,MATCH($B204,Fornecedores!$B$8:$B$200,0)),""),""),"")</f>
        <v/>
      </c>
      <c r="I204" s="435" t="str">
        <f t="shared" si="1"/>
        <v/>
      </c>
      <c r="J204" s="436"/>
      <c r="K204" s="437" t="str">
        <f t="array" ref="K204">IFERROR(IF($A204="Medição",IFERROR(INDEX(#REF!,MATCH($B204,Fornecedores!$B$8:$B$200,0)),0),""),"")</f>
        <v/>
      </c>
      <c r="L204" s="438" t="str">
        <f t="shared" si="2"/>
        <v/>
      </c>
      <c r="M204" s="439"/>
      <c r="N204" s="440" t="str">
        <f t="shared" si="3"/>
        <v/>
      </c>
      <c r="O204" s="432"/>
      <c r="P204" s="112"/>
      <c r="Q204" s="112"/>
      <c r="R204" s="112"/>
      <c r="S204" s="432"/>
      <c r="T204" s="112"/>
      <c r="U204" s="112"/>
      <c r="V204" s="112"/>
      <c r="W204" s="395"/>
      <c r="X204" s="395"/>
      <c r="Y204" s="395"/>
      <c r="Z204" s="395"/>
      <c r="AA204" s="395"/>
    </row>
    <row r="205" ht="15.75" customHeight="1">
      <c r="A205" s="112"/>
      <c r="B205" s="112"/>
      <c r="C205" s="412" t="str">
        <f t="array" ref="C205">IFERROR(INDEX(#REF!,MATCH($B205,Fornecedores!$B$8:$B$200,0)),"")</f>
        <v/>
      </c>
      <c r="D205" s="112"/>
      <c r="E205" s="112"/>
      <c r="F205" s="432"/>
      <c r="G205" s="433"/>
      <c r="H205" s="434" t="str">
        <f t="array" ref="H205">IFERROR(IF($A205="Medição",IFERROR(INDEX(#REF!,MATCH($B205,Fornecedores!$B$8:$B$200,0)),""),""),"")</f>
        <v/>
      </c>
      <c r="I205" s="435" t="str">
        <f t="shared" si="1"/>
        <v/>
      </c>
      <c r="J205" s="436"/>
      <c r="K205" s="437" t="str">
        <f t="array" ref="K205">IFERROR(IF($A205="Medição",IFERROR(INDEX(#REF!,MATCH($B205,Fornecedores!$B$8:$B$200,0)),0),""),"")</f>
        <v/>
      </c>
      <c r="L205" s="438" t="str">
        <f t="shared" si="2"/>
        <v/>
      </c>
      <c r="M205" s="439"/>
      <c r="N205" s="440" t="str">
        <f t="shared" si="3"/>
        <v/>
      </c>
      <c r="O205" s="432"/>
      <c r="P205" s="112"/>
      <c r="Q205" s="112"/>
      <c r="R205" s="112"/>
      <c r="S205" s="432"/>
      <c r="T205" s="112"/>
      <c r="U205" s="112"/>
      <c r="V205" s="112"/>
      <c r="W205" s="395"/>
      <c r="X205" s="395"/>
      <c r="Y205" s="395"/>
      <c r="Z205" s="395"/>
      <c r="AA205" s="395"/>
    </row>
    <row r="206" ht="15.75" customHeight="1">
      <c r="A206" s="112"/>
      <c r="B206" s="112"/>
      <c r="C206" s="412" t="str">
        <f t="array" ref="C206">IFERROR(INDEX(#REF!,MATCH($B206,Fornecedores!$B$8:$B$200,0)),"")</f>
        <v/>
      </c>
      <c r="D206" s="112"/>
      <c r="E206" s="112"/>
      <c r="F206" s="432"/>
      <c r="G206" s="433"/>
      <c r="H206" s="434" t="str">
        <f t="array" ref="H206">IFERROR(IF($A206="Medição",IFERROR(INDEX(#REF!,MATCH($B206,Fornecedores!$B$8:$B$200,0)),""),""),"")</f>
        <v/>
      </c>
      <c r="I206" s="435" t="str">
        <f t="shared" si="1"/>
        <v/>
      </c>
      <c r="J206" s="436"/>
      <c r="K206" s="437" t="str">
        <f t="array" ref="K206">IFERROR(IF($A206="Medição",IFERROR(INDEX(#REF!,MATCH($B206,Fornecedores!$B$8:$B$200,0)),0),""),"")</f>
        <v/>
      </c>
      <c r="L206" s="438" t="str">
        <f t="shared" si="2"/>
        <v/>
      </c>
      <c r="M206" s="439"/>
      <c r="N206" s="440" t="str">
        <f t="shared" si="3"/>
        <v/>
      </c>
      <c r="O206" s="432"/>
      <c r="P206" s="112"/>
      <c r="Q206" s="112"/>
      <c r="R206" s="112"/>
      <c r="S206" s="432"/>
      <c r="T206" s="112"/>
      <c r="U206" s="112"/>
      <c r="V206" s="112"/>
      <c r="W206" s="395"/>
      <c r="X206" s="395"/>
      <c r="Y206" s="395"/>
      <c r="Z206" s="395"/>
      <c r="AA206" s="395"/>
    </row>
    <row r="207" ht="15.75" customHeight="1">
      <c r="A207" s="112"/>
      <c r="B207" s="112"/>
      <c r="C207" s="412" t="str">
        <f t="array" ref="C207">IFERROR(INDEX(#REF!,MATCH($B207,Fornecedores!$B$8:$B$200,0)),"")</f>
        <v/>
      </c>
      <c r="D207" s="112"/>
      <c r="E207" s="112"/>
      <c r="F207" s="432"/>
      <c r="G207" s="433"/>
      <c r="H207" s="434" t="str">
        <f t="array" ref="H207">IFERROR(IF($A207="Medição",IFERROR(INDEX(#REF!,MATCH($B207,Fornecedores!$B$8:$B$200,0)),""),""),"")</f>
        <v/>
      </c>
      <c r="I207" s="435" t="str">
        <f t="shared" si="1"/>
        <v/>
      </c>
      <c r="J207" s="436"/>
      <c r="K207" s="437" t="str">
        <f t="array" ref="K207">IFERROR(IF($A207="Medição",IFERROR(INDEX(#REF!,MATCH($B207,Fornecedores!$B$8:$B$200,0)),0),""),"")</f>
        <v/>
      </c>
      <c r="L207" s="438" t="str">
        <f t="shared" si="2"/>
        <v/>
      </c>
      <c r="M207" s="439"/>
      <c r="N207" s="440" t="str">
        <f t="shared" si="3"/>
        <v/>
      </c>
      <c r="O207" s="432"/>
      <c r="P207" s="112"/>
      <c r="Q207" s="112"/>
      <c r="R207" s="112"/>
      <c r="S207" s="432"/>
      <c r="T207" s="112"/>
      <c r="U207" s="112"/>
      <c r="V207" s="112"/>
      <c r="W207" s="395"/>
      <c r="X207" s="395"/>
      <c r="Y207" s="395"/>
      <c r="Z207" s="395"/>
      <c r="AA207" s="395"/>
    </row>
    <row r="208" ht="15.75" customHeight="1">
      <c r="A208" s="112"/>
      <c r="B208" s="112"/>
      <c r="C208" s="412" t="str">
        <f t="array" ref="C208">IFERROR(INDEX(#REF!,MATCH($B208,Fornecedores!$B$8:$B$200,0)),"")</f>
        <v/>
      </c>
      <c r="D208" s="112"/>
      <c r="E208" s="112"/>
      <c r="F208" s="432"/>
      <c r="G208" s="433"/>
      <c r="H208" s="434" t="str">
        <f t="array" ref="H208">IFERROR(IF($A208="Medição",IFERROR(INDEX(#REF!,MATCH($B208,Fornecedores!$B$8:$B$200,0)),""),""),"")</f>
        <v/>
      </c>
      <c r="I208" s="435" t="str">
        <f t="shared" si="1"/>
        <v/>
      </c>
      <c r="J208" s="436"/>
      <c r="K208" s="437" t="str">
        <f t="array" ref="K208">IFERROR(IF($A208="Medição",IFERROR(INDEX(#REF!,MATCH($B208,Fornecedores!$B$8:$B$200,0)),0),""),"")</f>
        <v/>
      </c>
      <c r="L208" s="438" t="str">
        <f t="shared" si="2"/>
        <v/>
      </c>
      <c r="M208" s="439"/>
      <c r="N208" s="440" t="str">
        <f t="shared" si="3"/>
        <v/>
      </c>
      <c r="O208" s="432"/>
      <c r="P208" s="112"/>
      <c r="Q208" s="112"/>
      <c r="R208" s="112"/>
      <c r="S208" s="432"/>
      <c r="T208" s="112"/>
      <c r="U208" s="112"/>
      <c r="V208" s="112"/>
      <c r="W208" s="395"/>
      <c r="X208" s="395"/>
      <c r="Y208" s="395"/>
      <c r="Z208" s="395"/>
      <c r="AA208" s="395"/>
    </row>
    <row r="209" ht="15.75" customHeight="1">
      <c r="A209" s="112"/>
      <c r="B209" s="112"/>
      <c r="C209" s="412" t="str">
        <f t="array" ref="C209">IFERROR(INDEX(#REF!,MATCH($B209,Fornecedores!$B$8:$B$200,0)),"")</f>
        <v/>
      </c>
      <c r="D209" s="112"/>
      <c r="E209" s="112"/>
      <c r="F209" s="432"/>
      <c r="G209" s="433"/>
      <c r="H209" s="434" t="str">
        <f t="array" ref="H209">IFERROR(IF($A209="Medição",IFERROR(INDEX(#REF!,MATCH($B209,Fornecedores!$B$8:$B$200,0)),""),""),"")</f>
        <v/>
      </c>
      <c r="I209" s="435" t="str">
        <f t="shared" si="1"/>
        <v/>
      </c>
      <c r="J209" s="436"/>
      <c r="K209" s="437" t="str">
        <f t="array" ref="K209">IFERROR(IF($A209="Medição",IFERROR(INDEX(#REF!,MATCH($B209,Fornecedores!$B$8:$B$200,0)),0),""),"")</f>
        <v/>
      </c>
      <c r="L209" s="438" t="str">
        <f t="shared" si="2"/>
        <v/>
      </c>
      <c r="M209" s="439"/>
      <c r="N209" s="440" t="str">
        <f t="shared" si="3"/>
        <v/>
      </c>
      <c r="O209" s="432"/>
      <c r="P209" s="112"/>
      <c r="Q209" s="112"/>
      <c r="R209" s="112"/>
      <c r="S209" s="432"/>
      <c r="T209" s="112"/>
      <c r="U209" s="112"/>
      <c r="V209" s="112"/>
      <c r="W209" s="395"/>
      <c r="X209" s="395"/>
      <c r="Y209" s="395"/>
      <c r="Z209" s="395"/>
      <c r="AA209" s="395"/>
    </row>
    <row r="210" ht="15.75" customHeight="1">
      <c r="A210" s="112"/>
      <c r="B210" s="112"/>
      <c r="C210" s="412" t="str">
        <f t="array" ref="C210">IFERROR(INDEX(#REF!,MATCH($B210,Fornecedores!$B$8:$B$200,0)),"")</f>
        <v/>
      </c>
      <c r="D210" s="112"/>
      <c r="E210" s="112"/>
      <c r="F210" s="432"/>
      <c r="G210" s="433"/>
      <c r="H210" s="434" t="str">
        <f t="array" ref="H210">IFERROR(IF($A210="Medição",IFERROR(INDEX(#REF!,MATCH($B210,Fornecedores!$B$8:$B$200,0)),""),""),"")</f>
        <v/>
      </c>
      <c r="I210" s="435" t="str">
        <f t="shared" si="1"/>
        <v/>
      </c>
      <c r="J210" s="436"/>
      <c r="K210" s="437" t="str">
        <f t="array" ref="K210">IFERROR(IF($A210="Medição",IFERROR(INDEX(#REF!,MATCH($B210,Fornecedores!$B$8:$B$200,0)),0),""),"")</f>
        <v/>
      </c>
      <c r="L210" s="438" t="str">
        <f t="shared" si="2"/>
        <v/>
      </c>
      <c r="M210" s="439"/>
      <c r="N210" s="440" t="str">
        <f t="shared" si="3"/>
        <v/>
      </c>
      <c r="O210" s="432"/>
      <c r="P210" s="112"/>
      <c r="Q210" s="112"/>
      <c r="R210" s="112"/>
      <c r="S210" s="432"/>
      <c r="T210" s="112"/>
      <c r="U210" s="112"/>
      <c r="V210" s="112"/>
      <c r="W210" s="395"/>
      <c r="X210" s="395"/>
      <c r="Y210" s="395"/>
      <c r="Z210" s="395"/>
      <c r="AA210" s="395"/>
    </row>
    <row r="211" ht="15.75" customHeight="1">
      <c r="A211" s="112"/>
      <c r="B211" s="112"/>
      <c r="C211" s="412" t="str">
        <f t="array" ref="C211">IFERROR(INDEX(#REF!,MATCH($B211,Fornecedores!$B$8:$B$200,0)),"")</f>
        <v/>
      </c>
      <c r="D211" s="112"/>
      <c r="E211" s="112"/>
      <c r="F211" s="432"/>
      <c r="G211" s="433"/>
      <c r="H211" s="434" t="str">
        <f t="array" ref="H211">IFERROR(IF($A211="Medição",IFERROR(INDEX(#REF!,MATCH($B211,Fornecedores!$B$8:$B$200,0)),""),""),"")</f>
        <v/>
      </c>
      <c r="I211" s="435" t="str">
        <f t="shared" si="1"/>
        <v/>
      </c>
      <c r="J211" s="436"/>
      <c r="K211" s="437" t="str">
        <f t="array" ref="K211">IFERROR(IF($A211="Medição",IFERROR(INDEX(#REF!,MATCH($B211,Fornecedores!$B$8:$B$200,0)),0),""),"")</f>
        <v/>
      </c>
      <c r="L211" s="438" t="str">
        <f t="shared" si="2"/>
        <v/>
      </c>
      <c r="M211" s="439"/>
      <c r="N211" s="440" t="str">
        <f t="shared" si="3"/>
        <v/>
      </c>
      <c r="O211" s="432"/>
      <c r="P211" s="112"/>
      <c r="Q211" s="112"/>
      <c r="R211" s="112"/>
      <c r="S211" s="432"/>
      <c r="T211" s="112"/>
      <c r="U211" s="112"/>
      <c r="V211" s="112"/>
      <c r="W211" s="395"/>
      <c r="X211" s="395"/>
      <c r="Y211" s="395"/>
      <c r="Z211" s="395"/>
      <c r="AA211" s="395"/>
    </row>
    <row r="212" ht="15.75" customHeight="1">
      <c r="A212" s="112"/>
      <c r="B212" s="112"/>
      <c r="C212" s="412" t="str">
        <f t="array" ref="C212">IFERROR(INDEX(#REF!,MATCH($B212,Fornecedores!$B$8:$B$200,0)),"")</f>
        <v/>
      </c>
      <c r="D212" s="112"/>
      <c r="E212" s="112"/>
      <c r="F212" s="432"/>
      <c r="G212" s="433"/>
      <c r="H212" s="434" t="str">
        <f t="array" ref="H212">IFERROR(IF($A212="Medição",IFERROR(INDEX(#REF!,MATCH($B212,Fornecedores!$B$8:$B$200,0)),""),""),"")</f>
        <v/>
      </c>
      <c r="I212" s="435" t="str">
        <f t="shared" si="1"/>
        <v/>
      </c>
      <c r="J212" s="436"/>
      <c r="K212" s="437" t="str">
        <f t="array" ref="K212">IFERROR(IF($A212="Medição",IFERROR(INDEX(#REF!,MATCH($B212,Fornecedores!$B$8:$B$200,0)),0),""),"")</f>
        <v/>
      </c>
      <c r="L212" s="438" t="str">
        <f t="shared" si="2"/>
        <v/>
      </c>
      <c r="M212" s="439"/>
      <c r="N212" s="440" t="str">
        <f t="shared" si="3"/>
        <v/>
      </c>
      <c r="O212" s="432"/>
      <c r="P212" s="112"/>
      <c r="Q212" s="112"/>
      <c r="R212" s="112"/>
      <c r="S212" s="432"/>
      <c r="T212" s="112"/>
      <c r="U212" s="112"/>
      <c r="V212" s="112"/>
      <c r="W212" s="395"/>
      <c r="X212" s="395"/>
      <c r="Y212" s="395"/>
      <c r="Z212" s="395"/>
      <c r="AA212" s="395"/>
    </row>
    <row r="213" ht="15.75" customHeight="1">
      <c r="A213" s="112"/>
      <c r="B213" s="112"/>
      <c r="C213" s="412" t="str">
        <f t="array" ref="C213">IFERROR(INDEX(#REF!,MATCH($B213,Fornecedores!$B$8:$B$200,0)),"")</f>
        <v/>
      </c>
      <c r="D213" s="112"/>
      <c r="E213" s="112"/>
      <c r="F213" s="432"/>
      <c r="G213" s="433"/>
      <c r="H213" s="434" t="str">
        <f t="array" ref="H213">IFERROR(IF($A213="Medição",IFERROR(INDEX(#REF!,MATCH($B213,Fornecedores!$B$8:$B$200,0)),""),""),"")</f>
        <v/>
      </c>
      <c r="I213" s="435" t="str">
        <f t="shared" si="1"/>
        <v/>
      </c>
      <c r="J213" s="436"/>
      <c r="K213" s="437" t="str">
        <f t="array" ref="K213">IFERROR(IF($A213="Medição",IFERROR(INDEX(#REF!,MATCH($B213,Fornecedores!$B$8:$B$200,0)),0),""),"")</f>
        <v/>
      </c>
      <c r="L213" s="438" t="str">
        <f t="shared" si="2"/>
        <v/>
      </c>
      <c r="M213" s="439"/>
      <c r="N213" s="440" t="str">
        <f t="shared" si="3"/>
        <v/>
      </c>
      <c r="O213" s="432"/>
      <c r="P213" s="112"/>
      <c r="Q213" s="112"/>
      <c r="R213" s="112"/>
      <c r="S213" s="432"/>
      <c r="T213" s="112"/>
      <c r="U213" s="112"/>
      <c r="V213" s="112"/>
      <c r="W213" s="395"/>
      <c r="X213" s="395"/>
      <c r="Y213" s="395"/>
      <c r="Z213" s="395"/>
      <c r="AA213" s="395"/>
    </row>
    <row r="214" ht="15.75" customHeight="1">
      <c r="A214" s="112"/>
      <c r="B214" s="112"/>
      <c r="C214" s="412" t="str">
        <f t="array" ref="C214">IFERROR(INDEX(#REF!,MATCH($B214,Fornecedores!$B$8:$B$200,0)),"")</f>
        <v/>
      </c>
      <c r="D214" s="112"/>
      <c r="E214" s="112"/>
      <c r="F214" s="432"/>
      <c r="G214" s="433"/>
      <c r="H214" s="434" t="str">
        <f t="array" ref="H214">IFERROR(IF($A214="Medição",IFERROR(INDEX(#REF!,MATCH($B214,Fornecedores!$B$8:$B$200,0)),""),""),"")</f>
        <v/>
      </c>
      <c r="I214" s="435" t="str">
        <f t="shared" si="1"/>
        <v/>
      </c>
      <c r="J214" s="436"/>
      <c r="K214" s="437" t="str">
        <f t="array" ref="K214">IFERROR(IF($A214="Medição",IFERROR(INDEX(#REF!,MATCH($B214,Fornecedores!$B$8:$B$200,0)),0),""),"")</f>
        <v/>
      </c>
      <c r="L214" s="438" t="str">
        <f t="shared" si="2"/>
        <v/>
      </c>
      <c r="M214" s="439"/>
      <c r="N214" s="440" t="str">
        <f t="shared" si="3"/>
        <v/>
      </c>
      <c r="O214" s="432"/>
      <c r="P214" s="112"/>
      <c r="Q214" s="112"/>
      <c r="R214" s="112"/>
      <c r="S214" s="432"/>
      <c r="T214" s="112"/>
      <c r="U214" s="112"/>
      <c r="V214" s="112"/>
      <c r="W214" s="395"/>
      <c r="X214" s="395"/>
      <c r="Y214" s="395"/>
      <c r="Z214" s="395"/>
      <c r="AA214" s="395"/>
    </row>
    <row r="215" ht="15.75" customHeight="1">
      <c r="A215" s="112"/>
      <c r="B215" s="112"/>
      <c r="C215" s="412" t="str">
        <f t="array" ref="C215">IFERROR(INDEX(#REF!,MATCH($B215,Fornecedores!$B$8:$B$200,0)),"")</f>
        <v/>
      </c>
      <c r="D215" s="112"/>
      <c r="E215" s="112"/>
      <c r="F215" s="432"/>
      <c r="G215" s="433"/>
      <c r="H215" s="434" t="str">
        <f t="array" ref="H215">IFERROR(IF($A215="Medição",IFERROR(INDEX(#REF!,MATCH($B215,Fornecedores!$B$8:$B$200,0)),""),""),"")</f>
        <v/>
      </c>
      <c r="I215" s="435" t="str">
        <f t="shared" si="1"/>
        <v/>
      </c>
      <c r="J215" s="436"/>
      <c r="K215" s="437" t="str">
        <f t="array" ref="K215">IFERROR(IF($A215="Medição",IFERROR(INDEX(#REF!,MATCH($B215,Fornecedores!$B$8:$B$200,0)),0),""),"")</f>
        <v/>
      </c>
      <c r="L215" s="438" t="str">
        <f t="shared" si="2"/>
        <v/>
      </c>
      <c r="M215" s="439"/>
      <c r="N215" s="440" t="str">
        <f t="shared" si="3"/>
        <v/>
      </c>
      <c r="O215" s="432"/>
      <c r="P215" s="112"/>
      <c r="Q215" s="112"/>
      <c r="R215" s="112"/>
      <c r="S215" s="432"/>
      <c r="T215" s="112"/>
      <c r="U215" s="112"/>
      <c r="V215" s="112"/>
      <c r="W215" s="395"/>
      <c r="X215" s="395"/>
      <c r="Y215" s="395"/>
      <c r="Z215" s="395"/>
      <c r="AA215" s="395"/>
    </row>
    <row r="216" ht="15.75" customHeight="1">
      <c r="A216" s="112"/>
      <c r="B216" s="112"/>
      <c r="C216" s="412" t="str">
        <f t="array" ref="C216">IFERROR(INDEX(#REF!,MATCH($B216,Fornecedores!$B$8:$B$200,0)),"")</f>
        <v/>
      </c>
      <c r="D216" s="112"/>
      <c r="E216" s="112"/>
      <c r="F216" s="432"/>
      <c r="G216" s="433"/>
      <c r="H216" s="434" t="str">
        <f t="array" ref="H216">IFERROR(IF($A216="Medição",IFERROR(INDEX(#REF!,MATCH($B216,Fornecedores!$B$8:$B$200,0)),""),""),"")</f>
        <v/>
      </c>
      <c r="I216" s="435" t="str">
        <f t="shared" si="1"/>
        <v/>
      </c>
      <c r="J216" s="436"/>
      <c r="K216" s="437" t="str">
        <f t="array" ref="K216">IFERROR(IF($A216="Medição",IFERROR(INDEX(#REF!,MATCH($B216,Fornecedores!$B$8:$B$200,0)),0),""),"")</f>
        <v/>
      </c>
      <c r="L216" s="438" t="str">
        <f t="shared" si="2"/>
        <v/>
      </c>
      <c r="M216" s="439"/>
      <c r="N216" s="440" t="str">
        <f t="shared" si="3"/>
        <v/>
      </c>
      <c r="O216" s="432"/>
      <c r="P216" s="112"/>
      <c r="Q216" s="112"/>
      <c r="R216" s="112"/>
      <c r="S216" s="432"/>
      <c r="T216" s="112"/>
      <c r="U216" s="112"/>
      <c r="V216" s="112"/>
      <c r="W216" s="395"/>
      <c r="X216" s="395"/>
      <c r="Y216" s="395"/>
      <c r="Z216" s="395"/>
      <c r="AA216" s="395"/>
    </row>
    <row r="217" ht="15.75" customHeight="1">
      <c r="A217" s="112"/>
      <c r="B217" s="112"/>
      <c r="C217" s="412" t="str">
        <f t="array" ref="C217">IFERROR(INDEX(#REF!,MATCH($B217,Fornecedores!$B$8:$B$200,0)),"")</f>
        <v/>
      </c>
      <c r="D217" s="112"/>
      <c r="E217" s="112"/>
      <c r="F217" s="432"/>
      <c r="G217" s="433"/>
      <c r="H217" s="434" t="str">
        <f t="array" ref="H217">IFERROR(IF($A217="Medição",IFERROR(INDEX(#REF!,MATCH($B217,Fornecedores!$B$8:$B$200,0)),""),""),"")</f>
        <v/>
      </c>
      <c r="I217" s="435" t="str">
        <f t="shared" si="1"/>
        <v/>
      </c>
      <c r="J217" s="436"/>
      <c r="K217" s="437" t="str">
        <f t="array" ref="K217">IFERROR(IF($A217="Medição",IFERROR(INDEX(#REF!,MATCH($B217,Fornecedores!$B$8:$B$200,0)),0),""),"")</f>
        <v/>
      </c>
      <c r="L217" s="438" t="str">
        <f t="shared" si="2"/>
        <v/>
      </c>
      <c r="M217" s="439"/>
      <c r="N217" s="440" t="str">
        <f t="shared" si="3"/>
        <v/>
      </c>
      <c r="O217" s="432"/>
      <c r="P217" s="112"/>
      <c r="Q217" s="112"/>
      <c r="R217" s="112"/>
      <c r="S217" s="432"/>
      <c r="T217" s="112"/>
      <c r="U217" s="112"/>
      <c r="V217" s="112"/>
      <c r="W217" s="395"/>
      <c r="X217" s="395"/>
      <c r="Y217" s="395"/>
      <c r="Z217" s="395"/>
      <c r="AA217" s="395"/>
    </row>
    <row r="218" ht="15.75" customHeight="1">
      <c r="A218" s="112"/>
      <c r="B218" s="112"/>
      <c r="C218" s="412" t="str">
        <f t="array" ref="C218">IFERROR(INDEX(#REF!,MATCH($B218,Fornecedores!$B$8:$B$200,0)),"")</f>
        <v/>
      </c>
      <c r="D218" s="112"/>
      <c r="E218" s="112"/>
      <c r="F218" s="432"/>
      <c r="G218" s="433"/>
      <c r="H218" s="434" t="str">
        <f t="array" ref="H218">IFERROR(IF($A218="Medição",IFERROR(INDEX(#REF!,MATCH($B218,Fornecedores!$B$8:$B$200,0)),""),""),"")</f>
        <v/>
      </c>
      <c r="I218" s="435" t="str">
        <f t="shared" si="1"/>
        <v/>
      </c>
      <c r="J218" s="436"/>
      <c r="K218" s="437" t="str">
        <f t="array" ref="K218">IFERROR(IF($A218="Medição",IFERROR(INDEX(#REF!,MATCH($B218,Fornecedores!$B$8:$B$200,0)),0),""),"")</f>
        <v/>
      </c>
      <c r="L218" s="438" t="str">
        <f t="shared" si="2"/>
        <v/>
      </c>
      <c r="M218" s="439"/>
      <c r="N218" s="440" t="str">
        <f t="shared" si="3"/>
        <v/>
      </c>
      <c r="O218" s="432"/>
      <c r="P218" s="112"/>
      <c r="Q218" s="112"/>
      <c r="R218" s="112"/>
      <c r="S218" s="432"/>
      <c r="T218" s="112"/>
      <c r="U218" s="112"/>
      <c r="V218" s="112"/>
      <c r="W218" s="395"/>
      <c r="X218" s="395"/>
      <c r="Y218" s="395"/>
      <c r="Z218" s="395"/>
      <c r="AA218" s="395"/>
    </row>
    <row r="219" ht="15.75" customHeight="1">
      <c r="A219" s="112"/>
      <c r="B219" s="112"/>
      <c r="C219" s="412" t="str">
        <f t="array" ref="C219">IFERROR(INDEX(#REF!,MATCH($B219,Fornecedores!$B$8:$B$200,0)),"")</f>
        <v/>
      </c>
      <c r="D219" s="112"/>
      <c r="E219" s="112"/>
      <c r="F219" s="432"/>
      <c r="G219" s="433"/>
      <c r="H219" s="434" t="str">
        <f t="array" ref="H219">IFERROR(IF($A219="Medição",IFERROR(INDEX(#REF!,MATCH($B219,Fornecedores!$B$8:$B$200,0)),""),""),"")</f>
        <v/>
      </c>
      <c r="I219" s="435" t="str">
        <f t="shared" si="1"/>
        <v/>
      </c>
      <c r="J219" s="436"/>
      <c r="K219" s="437" t="str">
        <f t="array" ref="K219">IFERROR(IF($A219="Medição",IFERROR(INDEX(#REF!,MATCH($B219,Fornecedores!$B$8:$B$200,0)),0),""),"")</f>
        <v/>
      </c>
      <c r="L219" s="438" t="str">
        <f t="shared" si="2"/>
        <v/>
      </c>
      <c r="M219" s="439"/>
      <c r="N219" s="440" t="str">
        <f t="shared" si="3"/>
        <v/>
      </c>
      <c r="O219" s="432"/>
      <c r="P219" s="112"/>
      <c r="Q219" s="112"/>
      <c r="R219" s="112"/>
      <c r="S219" s="432"/>
      <c r="T219" s="112"/>
      <c r="U219" s="112"/>
      <c r="V219" s="112"/>
      <c r="W219" s="395"/>
      <c r="X219" s="395"/>
      <c r="Y219" s="395"/>
      <c r="Z219" s="395"/>
      <c r="AA219" s="395"/>
    </row>
    <row r="220" ht="15.75" customHeight="1">
      <c r="A220" s="112"/>
      <c r="B220" s="112"/>
      <c r="C220" s="412" t="str">
        <f t="array" ref="C220">IFERROR(INDEX(#REF!,MATCH($B220,Fornecedores!$B$8:$B$200,0)),"")</f>
        <v/>
      </c>
      <c r="D220" s="112"/>
      <c r="E220" s="112"/>
      <c r="F220" s="432"/>
      <c r="G220" s="433"/>
      <c r="H220" s="434" t="str">
        <f t="array" ref="H220">IFERROR(IF($A220="Medição",IFERROR(INDEX(#REF!,MATCH($B220,Fornecedores!$B$8:$B$200,0)),""),""),"")</f>
        <v/>
      </c>
      <c r="I220" s="435" t="str">
        <f t="shared" si="1"/>
        <v/>
      </c>
      <c r="J220" s="436"/>
      <c r="K220" s="437" t="str">
        <f t="array" ref="K220">IFERROR(IF($A220="Medição",IFERROR(INDEX(#REF!,MATCH($B220,Fornecedores!$B$8:$B$200,0)),0),""),"")</f>
        <v/>
      </c>
      <c r="L220" s="438" t="str">
        <f t="shared" si="2"/>
        <v/>
      </c>
      <c r="M220" s="439"/>
      <c r="N220" s="440" t="str">
        <f t="shared" si="3"/>
        <v/>
      </c>
      <c r="O220" s="432"/>
      <c r="P220" s="112"/>
      <c r="Q220" s="112"/>
      <c r="R220" s="112"/>
      <c r="S220" s="432"/>
      <c r="T220" s="112"/>
      <c r="U220" s="112"/>
      <c r="V220" s="112"/>
      <c r="W220" s="395"/>
      <c r="X220" s="395"/>
      <c r="Y220" s="395"/>
      <c r="Z220" s="395"/>
      <c r="AA220" s="395"/>
    </row>
    <row r="221" ht="15.75" customHeight="1">
      <c r="A221" s="112"/>
      <c r="B221" s="112"/>
      <c r="C221" s="412" t="str">
        <f t="array" ref="C221">IFERROR(INDEX(#REF!,MATCH($B221,Fornecedores!$B$8:$B$200,0)),"")</f>
        <v/>
      </c>
      <c r="D221" s="112"/>
      <c r="E221" s="112"/>
      <c r="F221" s="432"/>
      <c r="G221" s="433"/>
      <c r="H221" s="434" t="str">
        <f t="array" ref="H221">IFERROR(IF($A221="Medição",IFERROR(INDEX(#REF!,MATCH($B221,Fornecedores!$B$8:$B$200,0)),""),""),"")</f>
        <v/>
      </c>
      <c r="I221" s="435" t="str">
        <f t="shared" si="1"/>
        <v/>
      </c>
      <c r="J221" s="436"/>
      <c r="K221" s="437" t="str">
        <f t="array" ref="K221">IFERROR(IF($A221="Medição",IFERROR(INDEX(#REF!,MATCH($B221,Fornecedores!$B$8:$B$200,0)),0),""),"")</f>
        <v/>
      </c>
      <c r="L221" s="438" t="str">
        <f t="shared" si="2"/>
        <v/>
      </c>
      <c r="M221" s="439"/>
      <c r="N221" s="440" t="str">
        <f t="shared" si="3"/>
        <v/>
      </c>
      <c r="O221" s="432"/>
      <c r="P221" s="112"/>
      <c r="Q221" s="112"/>
      <c r="R221" s="112"/>
      <c r="S221" s="432"/>
      <c r="T221" s="112"/>
      <c r="U221" s="112"/>
      <c r="V221" s="112"/>
      <c r="W221" s="395"/>
      <c r="X221" s="395"/>
      <c r="Y221" s="395"/>
      <c r="Z221" s="395"/>
      <c r="AA221" s="395"/>
    </row>
    <row r="222" ht="15.75" customHeight="1">
      <c r="A222" s="112"/>
      <c r="B222" s="112"/>
      <c r="C222" s="412" t="str">
        <f t="array" ref="C222">IFERROR(INDEX(#REF!,MATCH($B222,Fornecedores!$B$8:$B$200,0)),"")</f>
        <v/>
      </c>
      <c r="D222" s="112"/>
      <c r="E222" s="112"/>
      <c r="F222" s="432"/>
      <c r="G222" s="433"/>
      <c r="H222" s="434" t="str">
        <f t="array" ref="H222">IFERROR(IF($A222="Medição",IFERROR(INDEX(#REF!,MATCH($B222,Fornecedores!$B$8:$B$200,0)),""),""),"")</f>
        <v/>
      </c>
      <c r="I222" s="435" t="str">
        <f t="shared" si="1"/>
        <v/>
      </c>
      <c r="J222" s="436"/>
      <c r="K222" s="437" t="str">
        <f t="array" ref="K222">IFERROR(IF($A222="Medição",IFERROR(INDEX(#REF!,MATCH($B222,Fornecedores!$B$8:$B$200,0)),0),""),"")</f>
        <v/>
      </c>
      <c r="L222" s="438" t="str">
        <f t="shared" si="2"/>
        <v/>
      </c>
      <c r="M222" s="439"/>
      <c r="N222" s="440" t="str">
        <f t="shared" si="3"/>
        <v/>
      </c>
      <c r="O222" s="432"/>
      <c r="P222" s="112"/>
      <c r="Q222" s="112"/>
      <c r="R222" s="112"/>
      <c r="S222" s="432"/>
      <c r="T222" s="112"/>
      <c r="U222" s="112"/>
      <c r="V222" s="112"/>
      <c r="W222" s="395"/>
      <c r="X222" s="395"/>
      <c r="Y222" s="395"/>
      <c r="Z222" s="395"/>
      <c r="AA222" s="395"/>
    </row>
    <row r="223" ht="15.75" customHeight="1">
      <c r="A223" s="112"/>
      <c r="B223" s="112"/>
      <c r="C223" s="412" t="str">
        <f t="array" ref="C223">IFERROR(INDEX(#REF!,MATCH($B223,Fornecedores!$B$8:$B$200,0)),"")</f>
        <v/>
      </c>
      <c r="D223" s="112"/>
      <c r="E223" s="112"/>
      <c r="F223" s="432"/>
      <c r="G223" s="433"/>
      <c r="H223" s="434" t="str">
        <f t="array" ref="H223">IFERROR(IF($A223="Medição",IFERROR(INDEX(#REF!,MATCH($B223,Fornecedores!$B$8:$B$200,0)),""),""),"")</f>
        <v/>
      </c>
      <c r="I223" s="435" t="str">
        <f t="shared" si="1"/>
        <v/>
      </c>
      <c r="J223" s="436"/>
      <c r="K223" s="437" t="str">
        <f t="array" ref="K223">IFERROR(IF($A223="Medição",IFERROR(INDEX(#REF!,MATCH($B223,Fornecedores!$B$8:$B$200,0)),0),""),"")</f>
        <v/>
      </c>
      <c r="L223" s="438" t="str">
        <f t="shared" si="2"/>
        <v/>
      </c>
      <c r="M223" s="439"/>
      <c r="N223" s="440" t="str">
        <f t="shared" si="3"/>
        <v/>
      </c>
      <c r="O223" s="432"/>
      <c r="P223" s="112"/>
      <c r="Q223" s="112"/>
      <c r="R223" s="112"/>
      <c r="S223" s="432"/>
      <c r="T223" s="112"/>
      <c r="U223" s="112"/>
      <c r="V223" s="112"/>
      <c r="W223" s="395"/>
      <c r="X223" s="395"/>
      <c r="Y223" s="395"/>
      <c r="Z223" s="395"/>
      <c r="AA223" s="395"/>
    </row>
    <row r="224" ht="15.75" customHeight="1">
      <c r="A224" s="112"/>
      <c r="B224" s="112"/>
      <c r="C224" s="412" t="str">
        <f t="array" ref="C224">IFERROR(INDEX(#REF!,MATCH($B224,Fornecedores!$B$8:$B$200,0)),"")</f>
        <v/>
      </c>
      <c r="D224" s="112"/>
      <c r="E224" s="112"/>
      <c r="F224" s="432"/>
      <c r="G224" s="433"/>
      <c r="H224" s="434" t="str">
        <f t="array" ref="H224">IFERROR(IF($A224="Medição",IFERROR(INDEX(#REF!,MATCH($B224,Fornecedores!$B$8:$B$200,0)),""),""),"")</f>
        <v/>
      </c>
      <c r="I224" s="435" t="str">
        <f t="shared" si="1"/>
        <v/>
      </c>
      <c r="J224" s="436"/>
      <c r="K224" s="437" t="str">
        <f t="array" ref="K224">IFERROR(IF($A224="Medição",IFERROR(INDEX(#REF!,MATCH($B224,Fornecedores!$B$8:$B$200,0)),0),""),"")</f>
        <v/>
      </c>
      <c r="L224" s="438" t="str">
        <f t="shared" si="2"/>
        <v/>
      </c>
      <c r="M224" s="439"/>
      <c r="N224" s="440" t="str">
        <f t="shared" si="3"/>
        <v/>
      </c>
      <c r="O224" s="432"/>
      <c r="P224" s="112"/>
      <c r="Q224" s="112"/>
      <c r="R224" s="112"/>
      <c r="S224" s="432"/>
      <c r="T224" s="112"/>
      <c r="U224" s="112"/>
      <c r="V224" s="112"/>
      <c r="W224" s="395"/>
      <c r="X224" s="395"/>
      <c r="Y224" s="395"/>
      <c r="Z224" s="395"/>
      <c r="AA224" s="395"/>
    </row>
    <row r="225" ht="15.75" customHeight="1">
      <c r="A225" s="112"/>
      <c r="B225" s="112"/>
      <c r="C225" s="412" t="str">
        <f t="array" ref="C225">IFERROR(INDEX(#REF!,MATCH($B225,Fornecedores!$B$8:$B$200,0)),"")</f>
        <v/>
      </c>
      <c r="D225" s="112"/>
      <c r="E225" s="112"/>
      <c r="F225" s="432"/>
      <c r="G225" s="433"/>
      <c r="H225" s="434" t="str">
        <f t="array" ref="H225">IFERROR(IF($A225="Medição",IFERROR(INDEX(#REF!,MATCH($B225,Fornecedores!$B$8:$B$200,0)),""),""),"")</f>
        <v/>
      </c>
      <c r="I225" s="435" t="str">
        <f t="shared" si="1"/>
        <v/>
      </c>
      <c r="J225" s="436"/>
      <c r="K225" s="437" t="str">
        <f t="array" ref="K225">IFERROR(IF($A225="Medição",IFERROR(INDEX(#REF!,MATCH($B225,Fornecedores!$B$8:$B$200,0)),0),""),"")</f>
        <v/>
      </c>
      <c r="L225" s="438" t="str">
        <f t="shared" si="2"/>
        <v/>
      </c>
      <c r="M225" s="439"/>
      <c r="N225" s="440" t="str">
        <f t="shared" si="3"/>
        <v/>
      </c>
      <c r="O225" s="432"/>
      <c r="P225" s="112"/>
      <c r="Q225" s="112"/>
      <c r="R225" s="112"/>
      <c r="S225" s="432"/>
      <c r="T225" s="112"/>
      <c r="U225" s="112"/>
      <c r="V225" s="112"/>
      <c r="W225" s="395"/>
      <c r="X225" s="395"/>
      <c r="Y225" s="395"/>
      <c r="Z225" s="395"/>
      <c r="AA225" s="395"/>
    </row>
    <row r="226" ht="15.75" customHeight="1">
      <c r="A226" s="112"/>
      <c r="B226" s="112"/>
      <c r="C226" s="412" t="str">
        <f t="array" ref="C226">IFERROR(INDEX(#REF!,MATCH($B226,Fornecedores!$B$8:$B$200,0)),"")</f>
        <v/>
      </c>
      <c r="D226" s="112"/>
      <c r="E226" s="112"/>
      <c r="F226" s="432"/>
      <c r="G226" s="433"/>
      <c r="H226" s="434" t="str">
        <f t="array" ref="H226">IFERROR(IF($A226="Medição",IFERROR(INDEX(#REF!,MATCH($B226,Fornecedores!$B$8:$B$200,0)),""),""),"")</f>
        <v/>
      </c>
      <c r="I226" s="435" t="str">
        <f t="shared" si="1"/>
        <v/>
      </c>
      <c r="J226" s="436"/>
      <c r="K226" s="437" t="str">
        <f t="array" ref="K226">IFERROR(IF($A226="Medição",IFERROR(INDEX(#REF!,MATCH($B226,Fornecedores!$B$8:$B$200,0)),0),""),"")</f>
        <v/>
      </c>
      <c r="L226" s="438" t="str">
        <f t="shared" si="2"/>
        <v/>
      </c>
      <c r="M226" s="439"/>
      <c r="N226" s="440" t="str">
        <f t="shared" si="3"/>
        <v/>
      </c>
      <c r="O226" s="432"/>
      <c r="P226" s="112"/>
      <c r="Q226" s="112"/>
      <c r="R226" s="112"/>
      <c r="S226" s="432"/>
      <c r="T226" s="112"/>
      <c r="U226" s="112"/>
      <c r="V226" s="112"/>
      <c r="W226" s="395"/>
      <c r="X226" s="395"/>
      <c r="Y226" s="395"/>
      <c r="Z226" s="395"/>
      <c r="AA226" s="395"/>
    </row>
    <row r="227" ht="15.75" customHeight="1">
      <c r="A227" s="112"/>
      <c r="B227" s="112"/>
      <c r="C227" s="412" t="str">
        <f t="array" ref="C227">IFERROR(INDEX(#REF!,MATCH($B227,Fornecedores!$B$8:$B$200,0)),"")</f>
        <v/>
      </c>
      <c r="D227" s="112"/>
      <c r="E227" s="112"/>
      <c r="F227" s="432"/>
      <c r="G227" s="433"/>
      <c r="H227" s="434" t="str">
        <f t="array" ref="H227">IFERROR(IF($A227="Medição",IFERROR(INDEX(#REF!,MATCH($B227,Fornecedores!$B$8:$B$200,0)),""),""),"")</f>
        <v/>
      </c>
      <c r="I227" s="435" t="str">
        <f t="shared" si="1"/>
        <v/>
      </c>
      <c r="J227" s="436"/>
      <c r="K227" s="437" t="str">
        <f t="array" ref="K227">IFERROR(IF($A227="Medição",IFERROR(INDEX(#REF!,MATCH($B227,Fornecedores!$B$8:$B$200,0)),0),""),"")</f>
        <v/>
      </c>
      <c r="L227" s="438" t="str">
        <f t="shared" si="2"/>
        <v/>
      </c>
      <c r="M227" s="439"/>
      <c r="N227" s="440" t="str">
        <f t="shared" si="3"/>
        <v/>
      </c>
      <c r="O227" s="432"/>
      <c r="P227" s="112"/>
      <c r="Q227" s="112"/>
      <c r="R227" s="112"/>
      <c r="S227" s="432"/>
      <c r="T227" s="112"/>
      <c r="U227" s="112"/>
      <c r="V227" s="112"/>
      <c r="W227" s="395"/>
      <c r="X227" s="395"/>
      <c r="Y227" s="395"/>
      <c r="Z227" s="395"/>
      <c r="AA227" s="395"/>
    </row>
    <row r="228" ht="15.75" customHeight="1">
      <c r="A228" s="112"/>
      <c r="B228" s="112"/>
      <c r="C228" s="412" t="str">
        <f t="array" ref="C228">IFERROR(INDEX(#REF!,MATCH($B228,Fornecedores!$B$8:$B$200,0)),"")</f>
        <v/>
      </c>
      <c r="D228" s="112"/>
      <c r="E228" s="112"/>
      <c r="F228" s="432"/>
      <c r="G228" s="433"/>
      <c r="H228" s="434" t="str">
        <f t="array" ref="H228">IFERROR(IF($A228="Medição",IFERROR(INDEX(#REF!,MATCH($B228,Fornecedores!$B$8:$B$200,0)),""),""),"")</f>
        <v/>
      </c>
      <c r="I228" s="435" t="str">
        <f t="shared" si="1"/>
        <v/>
      </c>
      <c r="J228" s="436"/>
      <c r="K228" s="437" t="str">
        <f t="array" ref="K228">IFERROR(IF($A228="Medição",IFERROR(INDEX(#REF!,MATCH($B228,Fornecedores!$B$8:$B$200,0)),0),""),"")</f>
        <v/>
      </c>
      <c r="L228" s="438" t="str">
        <f t="shared" si="2"/>
        <v/>
      </c>
      <c r="M228" s="439"/>
      <c r="N228" s="440" t="str">
        <f t="shared" si="3"/>
        <v/>
      </c>
      <c r="O228" s="432"/>
      <c r="P228" s="112"/>
      <c r="Q228" s="112"/>
      <c r="R228" s="112"/>
      <c r="S228" s="432"/>
      <c r="T228" s="112"/>
      <c r="U228" s="112"/>
      <c r="V228" s="112"/>
      <c r="W228" s="395"/>
      <c r="X228" s="395"/>
      <c r="Y228" s="395"/>
      <c r="Z228" s="395"/>
      <c r="AA228" s="395"/>
    </row>
    <row r="229" ht="15.75" customHeight="1">
      <c r="A229" s="112"/>
      <c r="B229" s="112"/>
      <c r="C229" s="412" t="str">
        <f t="array" ref="C229">IFERROR(INDEX(#REF!,MATCH($B229,Fornecedores!$B$8:$B$200,0)),"")</f>
        <v/>
      </c>
      <c r="D229" s="112"/>
      <c r="E229" s="112"/>
      <c r="F229" s="432"/>
      <c r="G229" s="433"/>
      <c r="H229" s="434" t="str">
        <f t="array" ref="H229">IFERROR(IF($A229="Medição",IFERROR(INDEX(#REF!,MATCH($B229,Fornecedores!$B$8:$B$200,0)),""),""),"")</f>
        <v/>
      </c>
      <c r="I229" s="435" t="str">
        <f t="shared" si="1"/>
        <v/>
      </c>
      <c r="J229" s="436"/>
      <c r="K229" s="437" t="str">
        <f t="array" ref="K229">IFERROR(IF($A229="Medição",IFERROR(INDEX(#REF!,MATCH($B229,Fornecedores!$B$8:$B$200,0)),0),""),"")</f>
        <v/>
      </c>
      <c r="L229" s="438" t="str">
        <f t="shared" si="2"/>
        <v/>
      </c>
      <c r="M229" s="439"/>
      <c r="N229" s="440" t="str">
        <f t="shared" si="3"/>
        <v/>
      </c>
      <c r="O229" s="432"/>
      <c r="P229" s="112"/>
      <c r="Q229" s="112"/>
      <c r="R229" s="112"/>
      <c r="S229" s="432"/>
      <c r="T229" s="112"/>
      <c r="U229" s="112"/>
      <c r="V229" s="112"/>
      <c r="W229" s="395"/>
      <c r="X229" s="395"/>
      <c r="Y229" s="395"/>
      <c r="Z229" s="395"/>
      <c r="AA229" s="395"/>
    </row>
    <row r="230" ht="15.75" customHeight="1">
      <c r="A230" s="112"/>
      <c r="B230" s="112"/>
      <c r="C230" s="412" t="str">
        <f t="array" ref="C230">IFERROR(INDEX(#REF!,MATCH($B230,Fornecedores!$B$8:$B$200,0)),"")</f>
        <v/>
      </c>
      <c r="D230" s="112"/>
      <c r="E230" s="112"/>
      <c r="F230" s="432"/>
      <c r="G230" s="433"/>
      <c r="H230" s="434" t="str">
        <f t="array" ref="H230">IFERROR(IF($A230="Medição",IFERROR(INDEX(#REF!,MATCH($B230,Fornecedores!$B$8:$B$200,0)),""),""),"")</f>
        <v/>
      </c>
      <c r="I230" s="435" t="str">
        <f t="shared" si="1"/>
        <v/>
      </c>
      <c r="J230" s="436"/>
      <c r="K230" s="437" t="str">
        <f t="array" ref="K230">IFERROR(IF($A230="Medição",IFERROR(INDEX(#REF!,MATCH($B230,Fornecedores!$B$8:$B$200,0)),0),""),"")</f>
        <v/>
      </c>
      <c r="L230" s="438" t="str">
        <f t="shared" si="2"/>
        <v/>
      </c>
      <c r="M230" s="439"/>
      <c r="N230" s="440" t="str">
        <f t="shared" si="3"/>
        <v/>
      </c>
      <c r="O230" s="432"/>
      <c r="P230" s="112"/>
      <c r="Q230" s="112"/>
      <c r="R230" s="112"/>
      <c r="S230" s="432"/>
      <c r="T230" s="112"/>
      <c r="U230" s="112"/>
      <c r="V230" s="112"/>
      <c r="W230" s="395"/>
      <c r="X230" s="395"/>
      <c r="Y230" s="395"/>
      <c r="Z230" s="395"/>
      <c r="AA230" s="395"/>
    </row>
    <row r="231" ht="15.75" customHeight="1">
      <c r="A231" s="112"/>
      <c r="B231" s="112"/>
      <c r="C231" s="412" t="str">
        <f t="array" ref="C231">IFERROR(INDEX(#REF!,MATCH($B231,Fornecedores!$B$8:$B$200,0)),"")</f>
        <v/>
      </c>
      <c r="D231" s="112"/>
      <c r="E231" s="112"/>
      <c r="F231" s="432"/>
      <c r="G231" s="433"/>
      <c r="H231" s="434" t="str">
        <f t="array" ref="H231">IFERROR(IF($A231="Medição",IFERROR(INDEX(#REF!,MATCH($B231,Fornecedores!$B$8:$B$200,0)),""),""),"")</f>
        <v/>
      </c>
      <c r="I231" s="435" t="str">
        <f t="shared" si="1"/>
        <v/>
      </c>
      <c r="J231" s="436"/>
      <c r="K231" s="437" t="str">
        <f t="array" ref="K231">IFERROR(IF($A231="Medição",IFERROR(INDEX(#REF!,MATCH($B231,Fornecedores!$B$8:$B$200,0)),0),""),"")</f>
        <v/>
      </c>
      <c r="L231" s="438" t="str">
        <f t="shared" si="2"/>
        <v/>
      </c>
      <c r="M231" s="439"/>
      <c r="N231" s="440" t="str">
        <f t="shared" si="3"/>
        <v/>
      </c>
      <c r="O231" s="432"/>
      <c r="P231" s="112"/>
      <c r="Q231" s="112"/>
      <c r="R231" s="112"/>
      <c r="S231" s="432"/>
      <c r="T231" s="112"/>
      <c r="U231" s="112"/>
      <c r="V231" s="112"/>
      <c r="W231" s="395"/>
      <c r="X231" s="395"/>
      <c r="Y231" s="395"/>
      <c r="Z231" s="395"/>
      <c r="AA231" s="395"/>
    </row>
    <row r="232" ht="15.75" customHeight="1">
      <c r="A232" s="112"/>
      <c r="B232" s="112"/>
      <c r="C232" s="412" t="str">
        <f t="array" ref="C232">IFERROR(INDEX(#REF!,MATCH($B232,Fornecedores!$B$8:$B$200,0)),"")</f>
        <v/>
      </c>
      <c r="D232" s="112"/>
      <c r="E232" s="112"/>
      <c r="F232" s="432"/>
      <c r="G232" s="433"/>
      <c r="H232" s="434" t="str">
        <f t="array" ref="H232">IFERROR(IF($A232="Medição",IFERROR(INDEX(#REF!,MATCH($B232,Fornecedores!$B$8:$B$200,0)),""),""),"")</f>
        <v/>
      </c>
      <c r="I232" s="435" t="str">
        <f t="shared" si="1"/>
        <v/>
      </c>
      <c r="J232" s="436"/>
      <c r="K232" s="437" t="str">
        <f t="array" ref="K232">IFERROR(IF($A232="Medição",IFERROR(INDEX(#REF!,MATCH($B232,Fornecedores!$B$8:$B$200,0)),0),""),"")</f>
        <v/>
      </c>
      <c r="L232" s="438" t="str">
        <f t="shared" si="2"/>
        <v/>
      </c>
      <c r="M232" s="439"/>
      <c r="N232" s="440" t="str">
        <f t="shared" si="3"/>
        <v/>
      </c>
      <c r="O232" s="432"/>
      <c r="P232" s="112"/>
      <c r="Q232" s="112"/>
      <c r="R232" s="112"/>
      <c r="S232" s="432"/>
      <c r="T232" s="112"/>
      <c r="U232" s="112"/>
      <c r="V232" s="112"/>
      <c r="W232" s="395"/>
      <c r="X232" s="395"/>
      <c r="Y232" s="395"/>
      <c r="Z232" s="395"/>
      <c r="AA232" s="395"/>
    </row>
    <row r="233" ht="15.75" customHeight="1">
      <c r="A233" s="112"/>
      <c r="B233" s="112"/>
      <c r="C233" s="412" t="str">
        <f t="array" ref="C233">IFERROR(INDEX(#REF!,MATCH($B233,Fornecedores!$B$8:$B$200,0)),"")</f>
        <v/>
      </c>
      <c r="D233" s="112"/>
      <c r="E233" s="112"/>
      <c r="F233" s="432"/>
      <c r="G233" s="433"/>
      <c r="H233" s="434" t="str">
        <f t="array" ref="H233">IFERROR(IF($A233="Medição",IFERROR(INDEX(#REF!,MATCH($B233,Fornecedores!$B$8:$B$200,0)),""),""),"")</f>
        <v/>
      </c>
      <c r="I233" s="435" t="str">
        <f t="shared" si="1"/>
        <v/>
      </c>
      <c r="J233" s="436"/>
      <c r="K233" s="437" t="str">
        <f t="array" ref="K233">IFERROR(IF($A233="Medição",IFERROR(INDEX(#REF!,MATCH($B233,Fornecedores!$B$8:$B$200,0)),0),""),"")</f>
        <v/>
      </c>
      <c r="L233" s="438" t="str">
        <f t="shared" si="2"/>
        <v/>
      </c>
      <c r="M233" s="439"/>
      <c r="N233" s="440" t="str">
        <f t="shared" si="3"/>
        <v/>
      </c>
      <c r="O233" s="432"/>
      <c r="P233" s="112"/>
      <c r="Q233" s="112"/>
      <c r="R233" s="112"/>
      <c r="S233" s="432"/>
      <c r="T233" s="112"/>
      <c r="U233" s="112"/>
      <c r="V233" s="112"/>
      <c r="W233" s="395"/>
      <c r="X233" s="395"/>
      <c r="Y233" s="395"/>
      <c r="Z233" s="395"/>
      <c r="AA233" s="395"/>
    </row>
    <row r="234" ht="15.75" customHeight="1">
      <c r="A234" s="112"/>
      <c r="B234" s="112"/>
      <c r="C234" s="412" t="str">
        <f t="array" ref="C234">IFERROR(INDEX(#REF!,MATCH($B234,Fornecedores!$B$8:$B$200,0)),"")</f>
        <v/>
      </c>
      <c r="D234" s="112"/>
      <c r="E234" s="112"/>
      <c r="F234" s="432"/>
      <c r="G234" s="433"/>
      <c r="H234" s="434" t="str">
        <f t="array" ref="H234">IFERROR(IF($A234="Medição",IFERROR(INDEX(#REF!,MATCH($B234,Fornecedores!$B$8:$B$200,0)),""),""),"")</f>
        <v/>
      </c>
      <c r="I234" s="435" t="str">
        <f t="shared" si="1"/>
        <v/>
      </c>
      <c r="J234" s="436"/>
      <c r="K234" s="437" t="str">
        <f t="array" ref="K234">IFERROR(IF($A234="Medição",IFERROR(INDEX(#REF!,MATCH($B234,Fornecedores!$B$8:$B$200,0)),0),""),"")</f>
        <v/>
      </c>
      <c r="L234" s="438" t="str">
        <f t="shared" si="2"/>
        <v/>
      </c>
      <c r="M234" s="439"/>
      <c r="N234" s="440" t="str">
        <f t="shared" si="3"/>
        <v/>
      </c>
      <c r="O234" s="432"/>
      <c r="P234" s="112"/>
      <c r="Q234" s="112"/>
      <c r="R234" s="112"/>
      <c r="S234" s="432"/>
      <c r="T234" s="112"/>
      <c r="U234" s="112"/>
      <c r="V234" s="112"/>
      <c r="W234" s="395"/>
      <c r="X234" s="395"/>
      <c r="Y234" s="395"/>
      <c r="Z234" s="395"/>
      <c r="AA234" s="395"/>
    </row>
    <row r="235" ht="15.75" customHeight="1">
      <c r="A235" s="112"/>
      <c r="B235" s="112"/>
      <c r="C235" s="412" t="str">
        <f t="array" ref="C235">IFERROR(INDEX(#REF!,MATCH($B235,Fornecedores!$B$8:$B$200,0)),"")</f>
        <v/>
      </c>
      <c r="D235" s="112"/>
      <c r="E235" s="112"/>
      <c r="F235" s="432"/>
      <c r="G235" s="433"/>
      <c r="H235" s="434" t="str">
        <f t="array" ref="H235">IFERROR(IF($A235="Medição",IFERROR(INDEX(#REF!,MATCH($B235,Fornecedores!$B$8:$B$200,0)),""),""),"")</f>
        <v/>
      </c>
      <c r="I235" s="435" t="str">
        <f t="shared" si="1"/>
        <v/>
      </c>
      <c r="J235" s="436"/>
      <c r="K235" s="437" t="str">
        <f t="array" ref="K235">IFERROR(IF($A235="Medição",IFERROR(INDEX(#REF!,MATCH($B235,Fornecedores!$B$8:$B$200,0)),0),""),"")</f>
        <v/>
      </c>
      <c r="L235" s="438" t="str">
        <f t="shared" si="2"/>
        <v/>
      </c>
      <c r="M235" s="439"/>
      <c r="N235" s="440" t="str">
        <f t="shared" si="3"/>
        <v/>
      </c>
      <c r="O235" s="432"/>
      <c r="P235" s="112"/>
      <c r="Q235" s="112"/>
      <c r="R235" s="112"/>
      <c r="S235" s="432"/>
      <c r="T235" s="112"/>
      <c r="U235" s="112"/>
      <c r="V235" s="112"/>
      <c r="W235" s="395"/>
      <c r="X235" s="395"/>
      <c r="Y235" s="395"/>
      <c r="Z235" s="395"/>
      <c r="AA235" s="395"/>
    </row>
    <row r="236" ht="15.75" customHeight="1">
      <c r="A236" s="112"/>
      <c r="B236" s="112"/>
      <c r="C236" s="412" t="str">
        <f t="array" ref="C236">IFERROR(INDEX(#REF!,MATCH($B236,Fornecedores!$B$8:$B$200,0)),"")</f>
        <v/>
      </c>
      <c r="D236" s="112"/>
      <c r="E236" s="112"/>
      <c r="F236" s="432"/>
      <c r="G236" s="433"/>
      <c r="H236" s="434" t="str">
        <f t="array" ref="H236">IFERROR(IF($A236="Medição",IFERROR(INDEX(#REF!,MATCH($B236,Fornecedores!$B$8:$B$200,0)),""),""),"")</f>
        <v/>
      </c>
      <c r="I236" s="435" t="str">
        <f t="shared" si="1"/>
        <v/>
      </c>
      <c r="J236" s="436"/>
      <c r="K236" s="437" t="str">
        <f t="array" ref="K236">IFERROR(IF($A236="Medição",IFERROR(INDEX(#REF!,MATCH($B236,Fornecedores!$B$8:$B$200,0)),0),""),"")</f>
        <v/>
      </c>
      <c r="L236" s="438" t="str">
        <f t="shared" si="2"/>
        <v/>
      </c>
      <c r="M236" s="439"/>
      <c r="N236" s="440" t="str">
        <f t="shared" si="3"/>
        <v/>
      </c>
      <c r="O236" s="432"/>
      <c r="P236" s="112"/>
      <c r="Q236" s="112"/>
      <c r="R236" s="112"/>
      <c r="S236" s="432"/>
      <c r="T236" s="112"/>
      <c r="U236" s="112"/>
      <c r="V236" s="112"/>
      <c r="W236" s="395"/>
      <c r="X236" s="395"/>
      <c r="Y236" s="395"/>
      <c r="Z236" s="395"/>
      <c r="AA236" s="395"/>
    </row>
    <row r="237" ht="15.75" customHeight="1">
      <c r="A237" s="112"/>
      <c r="B237" s="112"/>
      <c r="C237" s="412" t="str">
        <f t="array" ref="C237">IFERROR(INDEX(#REF!,MATCH($B237,Fornecedores!$B$8:$B$200,0)),"")</f>
        <v/>
      </c>
      <c r="D237" s="112"/>
      <c r="E237" s="112"/>
      <c r="F237" s="432"/>
      <c r="G237" s="433"/>
      <c r="H237" s="434" t="str">
        <f t="array" ref="H237">IFERROR(IF($A237="Medição",IFERROR(INDEX(#REF!,MATCH($B237,Fornecedores!$B$8:$B$200,0)),""),""),"")</f>
        <v/>
      </c>
      <c r="I237" s="435" t="str">
        <f t="shared" si="1"/>
        <v/>
      </c>
      <c r="J237" s="436"/>
      <c r="K237" s="437" t="str">
        <f t="array" ref="K237">IFERROR(IF($A237="Medição",IFERROR(INDEX(#REF!,MATCH($B237,Fornecedores!$B$8:$B$200,0)),0),""),"")</f>
        <v/>
      </c>
      <c r="L237" s="438" t="str">
        <f t="shared" si="2"/>
        <v/>
      </c>
      <c r="M237" s="439"/>
      <c r="N237" s="440" t="str">
        <f t="shared" si="3"/>
        <v/>
      </c>
      <c r="O237" s="432"/>
      <c r="P237" s="112"/>
      <c r="Q237" s="112"/>
      <c r="R237" s="112"/>
      <c r="S237" s="432"/>
      <c r="T237" s="112"/>
      <c r="U237" s="112"/>
      <c r="V237" s="112"/>
      <c r="W237" s="395"/>
      <c r="X237" s="395"/>
      <c r="Y237" s="395"/>
      <c r="Z237" s="395"/>
      <c r="AA237" s="395"/>
    </row>
    <row r="238" ht="15.75" customHeight="1">
      <c r="A238" s="112"/>
      <c r="B238" s="112"/>
      <c r="C238" s="412" t="str">
        <f t="array" ref="C238">IFERROR(INDEX(#REF!,MATCH($B238,Fornecedores!$B$8:$B$200,0)),"")</f>
        <v/>
      </c>
      <c r="D238" s="112"/>
      <c r="E238" s="112"/>
      <c r="F238" s="432"/>
      <c r="G238" s="433"/>
      <c r="H238" s="434" t="str">
        <f t="array" ref="H238">IFERROR(IF($A238="Medição",IFERROR(INDEX(#REF!,MATCH($B238,Fornecedores!$B$8:$B$200,0)),""),""),"")</f>
        <v/>
      </c>
      <c r="I238" s="435" t="str">
        <f t="shared" si="1"/>
        <v/>
      </c>
      <c r="J238" s="436"/>
      <c r="K238" s="437" t="str">
        <f t="array" ref="K238">IFERROR(IF($A238="Medição",IFERROR(INDEX(#REF!,MATCH($B238,Fornecedores!$B$8:$B$200,0)),0),""),"")</f>
        <v/>
      </c>
      <c r="L238" s="438" t="str">
        <f t="shared" si="2"/>
        <v/>
      </c>
      <c r="M238" s="439"/>
      <c r="N238" s="440" t="str">
        <f t="shared" si="3"/>
        <v/>
      </c>
      <c r="O238" s="432"/>
      <c r="P238" s="112"/>
      <c r="Q238" s="112"/>
      <c r="R238" s="112"/>
      <c r="S238" s="432"/>
      <c r="T238" s="112"/>
      <c r="U238" s="112"/>
      <c r="V238" s="112"/>
      <c r="W238" s="395"/>
      <c r="X238" s="395"/>
      <c r="Y238" s="395"/>
      <c r="Z238" s="395"/>
      <c r="AA238" s="395"/>
    </row>
    <row r="239" ht="15.75" customHeight="1">
      <c r="A239" s="112"/>
      <c r="B239" s="112"/>
      <c r="C239" s="412" t="str">
        <f t="array" ref="C239">IFERROR(INDEX(#REF!,MATCH($B239,Fornecedores!$B$8:$B$200,0)),"")</f>
        <v/>
      </c>
      <c r="D239" s="112"/>
      <c r="E239" s="112"/>
      <c r="F239" s="432"/>
      <c r="G239" s="433"/>
      <c r="H239" s="434" t="str">
        <f t="array" ref="H239">IFERROR(IF($A239="Medição",IFERROR(INDEX(#REF!,MATCH($B239,Fornecedores!$B$8:$B$200,0)),""),""),"")</f>
        <v/>
      </c>
      <c r="I239" s="435" t="str">
        <f t="shared" si="1"/>
        <v/>
      </c>
      <c r="J239" s="436"/>
      <c r="K239" s="437" t="str">
        <f t="array" ref="K239">IFERROR(IF($A239="Medição",IFERROR(INDEX(#REF!,MATCH($B239,Fornecedores!$B$8:$B$200,0)),0),""),"")</f>
        <v/>
      </c>
      <c r="L239" s="438" t="str">
        <f t="shared" si="2"/>
        <v/>
      </c>
      <c r="M239" s="439"/>
      <c r="N239" s="440" t="str">
        <f t="shared" si="3"/>
        <v/>
      </c>
      <c r="O239" s="432"/>
      <c r="P239" s="112"/>
      <c r="Q239" s="112"/>
      <c r="R239" s="112"/>
      <c r="S239" s="432"/>
      <c r="T239" s="112"/>
      <c r="U239" s="112"/>
      <c r="V239" s="112"/>
      <c r="W239" s="395"/>
      <c r="X239" s="395"/>
      <c r="Y239" s="395"/>
      <c r="Z239" s="395"/>
      <c r="AA239" s="395"/>
    </row>
    <row r="240" ht="15.75" customHeight="1">
      <c r="A240" s="112"/>
      <c r="B240" s="112"/>
      <c r="C240" s="412" t="str">
        <f t="array" ref="C240">IFERROR(INDEX(#REF!,MATCH($B240,Fornecedores!$B$8:$B$200,0)),"")</f>
        <v/>
      </c>
      <c r="D240" s="112"/>
      <c r="E240" s="112"/>
      <c r="F240" s="432"/>
      <c r="G240" s="433"/>
      <c r="H240" s="434" t="str">
        <f t="array" ref="H240">IFERROR(IF($A240="Medição",IFERROR(INDEX(#REF!,MATCH($B240,Fornecedores!$B$8:$B$200,0)),""),""),"")</f>
        <v/>
      </c>
      <c r="I240" s="435" t="str">
        <f t="shared" si="1"/>
        <v/>
      </c>
      <c r="J240" s="436"/>
      <c r="K240" s="437" t="str">
        <f t="array" ref="K240">IFERROR(IF($A240="Medição",IFERROR(INDEX(#REF!,MATCH($B240,Fornecedores!$B$8:$B$200,0)),0),""),"")</f>
        <v/>
      </c>
      <c r="L240" s="438" t="str">
        <f t="shared" si="2"/>
        <v/>
      </c>
      <c r="M240" s="439"/>
      <c r="N240" s="440" t="str">
        <f t="shared" si="3"/>
        <v/>
      </c>
      <c r="O240" s="432"/>
      <c r="P240" s="112"/>
      <c r="Q240" s="112"/>
      <c r="R240" s="112"/>
      <c r="S240" s="432"/>
      <c r="T240" s="112"/>
      <c r="U240" s="112"/>
      <c r="V240" s="112"/>
      <c r="W240" s="395"/>
      <c r="X240" s="395"/>
      <c r="Y240" s="395"/>
      <c r="Z240" s="395"/>
      <c r="AA240" s="395"/>
    </row>
    <row r="241" ht="15.75" customHeight="1">
      <c r="A241" s="112"/>
      <c r="B241" s="112"/>
      <c r="C241" s="412" t="str">
        <f t="array" ref="C241">IFERROR(INDEX(#REF!,MATCH($B241,Fornecedores!$B$8:$B$200,0)),"")</f>
        <v/>
      </c>
      <c r="D241" s="112"/>
      <c r="E241" s="112"/>
      <c r="F241" s="432"/>
      <c r="G241" s="433"/>
      <c r="H241" s="434" t="str">
        <f t="array" ref="H241">IFERROR(IF($A241="Medição",IFERROR(INDEX(#REF!,MATCH($B241,Fornecedores!$B$8:$B$200,0)),""),""),"")</f>
        <v/>
      </c>
      <c r="I241" s="435" t="str">
        <f t="shared" si="1"/>
        <v/>
      </c>
      <c r="J241" s="436"/>
      <c r="K241" s="437" t="str">
        <f t="array" ref="K241">IFERROR(IF($A241="Medição",IFERROR(INDEX(#REF!,MATCH($B241,Fornecedores!$B$8:$B$200,0)),0),""),"")</f>
        <v/>
      </c>
      <c r="L241" s="438" t="str">
        <f t="shared" si="2"/>
        <v/>
      </c>
      <c r="M241" s="439"/>
      <c r="N241" s="440" t="str">
        <f t="shared" si="3"/>
        <v/>
      </c>
      <c r="O241" s="432"/>
      <c r="P241" s="112"/>
      <c r="Q241" s="112"/>
      <c r="R241" s="112"/>
      <c r="S241" s="432"/>
      <c r="T241" s="112"/>
      <c r="U241" s="112"/>
      <c r="V241" s="112"/>
      <c r="W241" s="395"/>
      <c r="X241" s="395"/>
      <c r="Y241" s="395"/>
      <c r="Z241" s="395"/>
      <c r="AA241" s="395"/>
    </row>
    <row r="242" ht="15.75" customHeight="1">
      <c r="A242" s="112"/>
      <c r="B242" s="112"/>
      <c r="C242" s="412" t="str">
        <f t="array" ref="C242">IFERROR(INDEX(#REF!,MATCH($B242,Fornecedores!$B$8:$B$200,0)),"")</f>
        <v/>
      </c>
      <c r="D242" s="112"/>
      <c r="E242" s="112"/>
      <c r="F242" s="432"/>
      <c r="G242" s="433"/>
      <c r="H242" s="434" t="str">
        <f t="array" ref="H242">IFERROR(IF($A242="Medição",IFERROR(INDEX(#REF!,MATCH($B242,Fornecedores!$B$8:$B$200,0)),""),""),"")</f>
        <v/>
      </c>
      <c r="I242" s="435" t="str">
        <f t="shared" si="1"/>
        <v/>
      </c>
      <c r="J242" s="436"/>
      <c r="K242" s="437" t="str">
        <f t="array" ref="K242">IFERROR(IF($A242="Medição",IFERROR(INDEX(#REF!,MATCH($B242,Fornecedores!$B$8:$B$200,0)),0),""),"")</f>
        <v/>
      </c>
      <c r="L242" s="438" t="str">
        <f t="shared" si="2"/>
        <v/>
      </c>
      <c r="M242" s="439"/>
      <c r="N242" s="440" t="str">
        <f t="shared" si="3"/>
        <v/>
      </c>
      <c r="O242" s="432"/>
      <c r="P242" s="112"/>
      <c r="Q242" s="112"/>
      <c r="R242" s="112"/>
      <c r="S242" s="432"/>
      <c r="T242" s="112"/>
      <c r="U242" s="112"/>
      <c r="V242" s="112"/>
      <c r="W242" s="395"/>
      <c r="X242" s="395"/>
      <c r="Y242" s="395"/>
      <c r="Z242" s="395"/>
      <c r="AA242" s="395"/>
    </row>
    <row r="243" ht="15.75" customHeight="1">
      <c r="A243" s="112"/>
      <c r="B243" s="112"/>
      <c r="C243" s="412" t="str">
        <f t="array" ref="C243">IFERROR(INDEX(#REF!,MATCH($B243,Fornecedores!$B$8:$B$200,0)),"")</f>
        <v/>
      </c>
      <c r="D243" s="112"/>
      <c r="E243" s="112"/>
      <c r="F243" s="432"/>
      <c r="G243" s="433"/>
      <c r="H243" s="434" t="str">
        <f t="array" ref="H243">IFERROR(IF($A243="Medição",IFERROR(INDEX(#REF!,MATCH($B243,Fornecedores!$B$8:$B$200,0)),""),""),"")</f>
        <v/>
      </c>
      <c r="I243" s="435" t="str">
        <f t="shared" si="1"/>
        <v/>
      </c>
      <c r="J243" s="436"/>
      <c r="K243" s="437" t="str">
        <f t="array" ref="K243">IFERROR(IF($A243="Medição",IFERROR(INDEX(#REF!,MATCH($B243,Fornecedores!$B$8:$B$200,0)),0),""),"")</f>
        <v/>
      </c>
      <c r="L243" s="438" t="str">
        <f t="shared" si="2"/>
        <v/>
      </c>
      <c r="M243" s="439"/>
      <c r="N243" s="440" t="str">
        <f t="shared" si="3"/>
        <v/>
      </c>
      <c r="O243" s="432"/>
      <c r="P243" s="112"/>
      <c r="Q243" s="112"/>
      <c r="R243" s="112"/>
      <c r="S243" s="432"/>
      <c r="T243" s="112"/>
      <c r="U243" s="112"/>
      <c r="V243" s="112"/>
      <c r="W243" s="395"/>
      <c r="X243" s="395"/>
      <c r="Y243" s="395"/>
      <c r="Z243" s="395"/>
      <c r="AA243" s="395"/>
    </row>
    <row r="244" ht="15.75" customHeight="1">
      <c r="A244" s="112"/>
      <c r="B244" s="112"/>
      <c r="C244" s="412" t="str">
        <f t="array" ref="C244">IFERROR(INDEX(#REF!,MATCH($B244,Fornecedores!$B$8:$B$200,0)),"")</f>
        <v/>
      </c>
      <c r="D244" s="112"/>
      <c r="E244" s="112"/>
      <c r="F244" s="432"/>
      <c r="G244" s="433"/>
      <c r="H244" s="434" t="str">
        <f t="array" ref="H244">IFERROR(IF($A244="Medição",IFERROR(INDEX(#REF!,MATCH($B244,Fornecedores!$B$8:$B$200,0)),""),""),"")</f>
        <v/>
      </c>
      <c r="I244" s="435" t="str">
        <f t="shared" si="1"/>
        <v/>
      </c>
      <c r="J244" s="436"/>
      <c r="K244" s="437" t="str">
        <f t="array" ref="K244">IFERROR(IF($A244="Medição",IFERROR(INDEX(#REF!,MATCH($B244,Fornecedores!$B$8:$B$200,0)),0),""),"")</f>
        <v/>
      </c>
      <c r="L244" s="438" t="str">
        <f t="shared" si="2"/>
        <v/>
      </c>
      <c r="M244" s="439"/>
      <c r="N244" s="440" t="str">
        <f t="shared" si="3"/>
        <v/>
      </c>
      <c r="O244" s="432"/>
      <c r="P244" s="112"/>
      <c r="Q244" s="112"/>
      <c r="R244" s="112"/>
      <c r="S244" s="432"/>
      <c r="T244" s="112"/>
      <c r="U244" s="112"/>
      <c r="V244" s="112"/>
      <c r="W244" s="395"/>
      <c r="X244" s="395"/>
      <c r="Y244" s="395"/>
      <c r="Z244" s="395"/>
      <c r="AA244" s="395"/>
    </row>
    <row r="245" ht="15.75" customHeight="1">
      <c r="A245" s="112"/>
      <c r="B245" s="112"/>
      <c r="C245" s="412" t="str">
        <f t="array" ref="C245">IFERROR(INDEX(#REF!,MATCH($B245,Fornecedores!$B$8:$B$200,0)),"")</f>
        <v/>
      </c>
      <c r="D245" s="112"/>
      <c r="E245" s="112"/>
      <c r="F245" s="432"/>
      <c r="G245" s="433"/>
      <c r="H245" s="434" t="str">
        <f t="array" ref="H245">IFERROR(IF($A245="Medição",IFERROR(INDEX(#REF!,MATCH($B245,Fornecedores!$B$8:$B$200,0)),""),""),"")</f>
        <v/>
      </c>
      <c r="I245" s="435" t="str">
        <f t="shared" si="1"/>
        <v/>
      </c>
      <c r="J245" s="436"/>
      <c r="K245" s="437" t="str">
        <f t="array" ref="K245">IFERROR(IF($A245="Medição",IFERROR(INDEX(#REF!,MATCH($B245,Fornecedores!$B$8:$B$200,0)),0),""),"")</f>
        <v/>
      </c>
      <c r="L245" s="438" t="str">
        <f t="shared" si="2"/>
        <v/>
      </c>
      <c r="M245" s="439"/>
      <c r="N245" s="440" t="str">
        <f t="shared" si="3"/>
        <v/>
      </c>
      <c r="O245" s="432"/>
      <c r="P245" s="112"/>
      <c r="Q245" s="112"/>
      <c r="R245" s="112"/>
      <c r="S245" s="432"/>
      <c r="T245" s="112"/>
      <c r="U245" s="112"/>
      <c r="V245" s="112"/>
      <c r="W245" s="395"/>
      <c r="X245" s="395"/>
      <c r="Y245" s="395"/>
      <c r="Z245" s="395"/>
      <c r="AA245" s="395"/>
    </row>
    <row r="246" ht="15.75" customHeight="1">
      <c r="A246" s="112"/>
      <c r="B246" s="112"/>
      <c r="C246" s="412" t="str">
        <f t="array" ref="C246">IFERROR(INDEX(#REF!,MATCH($B246,Fornecedores!$B$8:$B$200,0)),"")</f>
        <v/>
      </c>
      <c r="D246" s="112"/>
      <c r="E246" s="112"/>
      <c r="F246" s="432"/>
      <c r="G246" s="433"/>
      <c r="H246" s="434" t="str">
        <f t="array" ref="H246">IFERROR(IF($A246="Medição",IFERROR(INDEX(#REF!,MATCH($B246,Fornecedores!$B$8:$B$200,0)),""),""),"")</f>
        <v/>
      </c>
      <c r="I246" s="435" t="str">
        <f t="shared" si="1"/>
        <v/>
      </c>
      <c r="J246" s="436"/>
      <c r="K246" s="437" t="str">
        <f t="array" ref="K246">IFERROR(IF($A246="Medição",IFERROR(INDEX(#REF!,MATCH($B246,Fornecedores!$B$8:$B$200,0)),0),""),"")</f>
        <v/>
      </c>
      <c r="L246" s="438" t="str">
        <f t="shared" si="2"/>
        <v/>
      </c>
      <c r="M246" s="439"/>
      <c r="N246" s="440" t="str">
        <f t="shared" si="3"/>
        <v/>
      </c>
      <c r="O246" s="432"/>
      <c r="P246" s="112"/>
      <c r="Q246" s="112"/>
      <c r="R246" s="112"/>
      <c r="S246" s="432"/>
      <c r="T246" s="112"/>
      <c r="U246" s="112"/>
      <c r="V246" s="112"/>
      <c r="W246" s="395"/>
      <c r="X246" s="395"/>
      <c r="Y246" s="395"/>
      <c r="Z246" s="395"/>
      <c r="AA246" s="395"/>
    </row>
    <row r="247" ht="15.75" customHeight="1">
      <c r="A247" s="112"/>
      <c r="B247" s="112"/>
      <c r="C247" s="412" t="str">
        <f t="array" ref="C247">IFERROR(INDEX(#REF!,MATCH($B247,Fornecedores!$B$8:$B$200,0)),"")</f>
        <v/>
      </c>
      <c r="D247" s="112"/>
      <c r="E247" s="112"/>
      <c r="F247" s="432"/>
      <c r="G247" s="433"/>
      <c r="H247" s="434" t="str">
        <f t="array" ref="H247">IFERROR(IF($A247="Medição",IFERROR(INDEX(#REF!,MATCH($B247,Fornecedores!$B$8:$B$200,0)),""),""),"")</f>
        <v/>
      </c>
      <c r="I247" s="435" t="str">
        <f t="shared" si="1"/>
        <v/>
      </c>
      <c r="J247" s="436"/>
      <c r="K247" s="437" t="str">
        <f t="array" ref="K247">IFERROR(IF($A247="Medição",IFERROR(INDEX(#REF!,MATCH($B247,Fornecedores!$B$8:$B$200,0)),0),""),"")</f>
        <v/>
      </c>
      <c r="L247" s="438" t="str">
        <f t="shared" si="2"/>
        <v/>
      </c>
      <c r="M247" s="439"/>
      <c r="N247" s="440" t="str">
        <f t="shared" si="3"/>
        <v/>
      </c>
      <c r="O247" s="432"/>
      <c r="P247" s="112"/>
      <c r="Q247" s="112"/>
      <c r="R247" s="112"/>
      <c r="S247" s="432"/>
      <c r="T247" s="112"/>
      <c r="U247" s="112"/>
      <c r="V247" s="112"/>
      <c r="W247" s="395"/>
      <c r="X247" s="395"/>
      <c r="Y247" s="395"/>
      <c r="Z247" s="395"/>
      <c r="AA247" s="395"/>
    </row>
    <row r="248" ht="15.75" customHeight="1">
      <c r="A248" s="112"/>
      <c r="B248" s="112"/>
      <c r="C248" s="412" t="str">
        <f t="array" ref="C248">IFERROR(INDEX(#REF!,MATCH($B248,Fornecedores!$B$8:$B$200,0)),"")</f>
        <v/>
      </c>
      <c r="D248" s="112"/>
      <c r="E248" s="112"/>
      <c r="F248" s="432"/>
      <c r="G248" s="433"/>
      <c r="H248" s="434" t="str">
        <f t="array" ref="H248">IFERROR(IF($A248="Medição",IFERROR(INDEX(#REF!,MATCH($B248,Fornecedores!$B$8:$B$200,0)),""),""),"")</f>
        <v/>
      </c>
      <c r="I248" s="435" t="str">
        <f t="shared" si="1"/>
        <v/>
      </c>
      <c r="J248" s="436"/>
      <c r="K248" s="437" t="str">
        <f t="array" ref="K248">IFERROR(IF($A248="Medição",IFERROR(INDEX(#REF!,MATCH($B248,Fornecedores!$B$8:$B$200,0)),0),""),"")</f>
        <v/>
      </c>
      <c r="L248" s="438" t="str">
        <f t="shared" si="2"/>
        <v/>
      </c>
      <c r="M248" s="439"/>
      <c r="N248" s="440" t="str">
        <f t="shared" si="3"/>
        <v/>
      </c>
      <c r="O248" s="432"/>
      <c r="P248" s="112"/>
      <c r="Q248" s="112"/>
      <c r="R248" s="112"/>
      <c r="S248" s="432"/>
      <c r="T248" s="112"/>
      <c r="U248" s="112"/>
      <c r="V248" s="112"/>
      <c r="W248" s="395"/>
      <c r="X248" s="395"/>
      <c r="Y248" s="395"/>
      <c r="Z248" s="395"/>
      <c r="AA248" s="395"/>
    </row>
    <row r="249" ht="15.75" customHeight="1">
      <c r="A249" s="112"/>
      <c r="B249" s="112"/>
      <c r="C249" s="412" t="str">
        <f t="array" ref="C249">IFERROR(INDEX(#REF!,MATCH($B249,Fornecedores!$B$8:$B$200,0)),"")</f>
        <v/>
      </c>
      <c r="D249" s="112"/>
      <c r="E249" s="112"/>
      <c r="F249" s="432"/>
      <c r="G249" s="433"/>
      <c r="H249" s="434" t="str">
        <f t="array" ref="H249">IFERROR(IF($A249="Medição",IFERROR(INDEX(#REF!,MATCH($B249,Fornecedores!$B$8:$B$200,0)),""),""),"")</f>
        <v/>
      </c>
      <c r="I249" s="435" t="str">
        <f t="shared" si="1"/>
        <v/>
      </c>
      <c r="J249" s="436"/>
      <c r="K249" s="437" t="str">
        <f t="array" ref="K249">IFERROR(IF($A249="Medição",IFERROR(INDEX(#REF!,MATCH($B249,Fornecedores!$B$8:$B$200,0)),0),""),"")</f>
        <v/>
      </c>
      <c r="L249" s="438" t="str">
        <f t="shared" si="2"/>
        <v/>
      </c>
      <c r="M249" s="439"/>
      <c r="N249" s="440" t="str">
        <f t="shared" si="3"/>
        <v/>
      </c>
      <c r="O249" s="432"/>
      <c r="P249" s="112"/>
      <c r="Q249" s="112"/>
      <c r="R249" s="112"/>
      <c r="S249" s="432"/>
      <c r="T249" s="112"/>
      <c r="U249" s="112"/>
      <c r="V249" s="112"/>
      <c r="W249" s="395"/>
      <c r="X249" s="395"/>
      <c r="Y249" s="395"/>
      <c r="Z249" s="395"/>
      <c r="AA249" s="395"/>
    </row>
    <row r="250" ht="15.75" customHeight="1">
      <c r="A250" s="112"/>
      <c r="B250" s="112"/>
      <c r="C250" s="412" t="str">
        <f t="array" ref="C250">IFERROR(INDEX(#REF!,MATCH($B250,Fornecedores!$B$8:$B$200,0)),"")</f>
        <v/>
      </c>
      <c r="D250" s="112"/>
      <c r="E250" s="112"/>
      <c r="F250" s="432"/>
      <c r="G250" s="433"/>
      <c r="H250" s="434" t="str">
        <f t="array" ref="H250">IFERROR(IF($A250="Medição",IFERROR(INDEX(#REF!,MATCH($B250,Fornecedores!$B$8:$B$200,0)),""),""),"")</f>
        <v/>
      </c>
      <c r="I250" s="435" t="str">
        <f t="shared" si="1"/>
        <v/>
      </c>
      <c r="J250" s="436"/>
      <c r="K250" s="437" t="str">
        <f t="array" ref="K250">IFERROR(IF($A250="Medição",IFERROR(INDEX(#REF!,MATCH($B250,Fornecedores!$B$8:$B$200,0)),0),""),"")</f>
        <v/>
      </c>
      <c r="L250" s="438" t="str">
        <f t="shared" si="2"/>
        <v/>
      </c>
      <c r="M250" s="439"/>
      <c r="N250" s="440" t="str">
        <f t="shared" si="3"/>
        <v/>
      </c>
      <c r="O250" s="432"/>
      <c r="P250" s="112"/>
      <c r="Q250" s="112"/>
      <c r="R250" s="112"/>
      <c r="S250" s="432"/>
      <c r="T250" s="112"/>
      <c r="U250" s="112"/>
      <c r="V250" s="112"/>
      <c r="W250" s="395"/>
      <c r="X250" s="395"/>
      <c r="Y250" s="395"/>
      <c r="Z250" s="395"/>
      <c r="AA250" s="395"/>
    </row>
    <row r="251" ht="15.75" customHeight="1">
      <c r="A251" s="112"/>
      <c r="B251" s="112"/>
      <c r="C251" s="412" t="str">
        <f t="array" ref="C251">IFERROR(INDEX(#REF!,MATCH($B251,Fornecedores!$B$8:$B$200,0)),"")</f>
        <v/>
      </c>
      <c r="D251" s="112"/>
      <c r="E251" s="112"/>
      <c r="F251" s="432"/>
      <c r="G251" s="433"/>
      <c r="H251" s="434" t="str">
        <f t="array" ref="H251">IFERROR(IF($A251="Medição",IFERROR(INDEX(#REF!,MATCH($B251,Fornecedores!$B$8:$B$200,0)),""),""),"")</f>
        <v/>
      </c>
      <c r="I251" s="435" t="str">
        <f t="shared" si="1"/>
        <v/>
      </c>
      <c r="J251" s="436"/>
      <c r="K251" s="437" t="str">
        <f t="array" ref="K251">IFERROR(IF($A251="Medição",IFERROR(INDEX(#REF!,MATCH($B251,Fornecedores!$B$8:$B$200,0)),0),""),"")</f>
        <v/>
      </c>
      <c r="L251" s="438" t="str">
        <f t="shared" si="2"/>
        <v/>
      </c>
      <c r="M251" s="439"/>
      <c r="N251" s="440" t="str">
        <f t="shared" si="3"/>
        <v/>
      </c>
      <c r="O251" s="432"/>
      <c r="P251" s="112"/>
      <c r="Q251" s="112"/>
      <c r="R251" s="112"/>
      <c r="S251" s="432"/>
      <c r="T251" s="112"/>
      <c r="U251" s="112"/>
      <c r="V251" s="112"/>
      <c r="W251" s="395"/>
      <c r="X251" s="395"/>
      <c r="Y251" s="395"/>
      <c r="Z251" s="395"/>
      <c r="AA251" s="395"/>
    </row>
    <row r="252" ht="15.75" customHeight="1">
      <c r="A252" s="112"/>
      <c r="B252" s="112"/>
      <c r="C252" s="412" t="str">
        <f t="array" ref="C252">IFERROR(INDEX(#REF!,MATCH($B252,Fornecedores!$B$8:$B$200,0)),"")</f>
        <v/>
      </c>
      <c r="D252" s="112"/>
      <c r="E252" s="112"/>
      <c r="F252" s="432"/>
      <c r="G252" s="433"/>
      <c r="H252" s="434" t="str">
        <f t="array" ref="H252">IFERROR(IF($A252="Medição",IFERROR(INDEX(#REF!,MATCH($B252,Fornecedores!$B$8:$B$200,0)),""),""),"")</f>
        <v/>
      </c>
      <c r="I252" s="435" t="str">
        <f t="shared" si="1"/>
        <v/>
      </c>
      <c r="J252" s="436"/>
      <c r="K252" s="437" t="str">
        <f t="array" ref="K252">IFERROR(IF($A252="Medição",IFERROR(INDEX(#REF!,MATCH($B252,Fornecedores!$B$8:$B$200,0)),0),""),"")</f>
        <v/>
      </c>
      <c r="L252" s="438" t="str">
        <f t="shared" si="2"/>
        <v/>
      </c>
      <c r="M252" s="439"/>
      <c r="N252" s="440" t="str">
        <f t="shared" si="3"/>
        <v/>
      </c>
      <c r="O252" s="432"/>
      <c r="P252" s="112"/>
      <c r="Q252" s="112"/>
      <c r="R252" s="112"/>
      <c r="S252" s="432"/>
      <c r="T252" s="112"/>
      <c r="U252" s="112"/>
      <c r="V252" s="112"/>
      <c r="W252" s="395"/>
      <c r="X252" s="395"/>
      <c r="Y252" s="395"/>
      <c r="Z252" s="395"/>
      <c r="AA252" s="395"/>
    </row>
    <row r="253" ht="15.75" customHeight="1">
      <c r="A253" s="112"/>
      <c r="B253" s="112"/>
      <c r="C253" s="412" t="str">
        <f t="array" ref="C253">IFERROR(INDEX(#REF!,MATCH($B253,Fornecedores!$B$8:$B$200,0)),"")</f>
        <v/>
      </c>
      <c r="D253" s="112"/>
      <c r="E253" s="112"/>
      <c r="F253" s="432"/>
      <c r="G253" s="433"/>
      <c r="H253" s="434" t="str">
        <f t="array" ref="H253">IFERROR(IF($A253="Medição",IFERROR(INDEX(#REF!,MATCH($B253,Fornecedores!$B$8:$B$200,0)),""),""),"")</f>
        <v/>
      </c>
      <c r="I253" s="435" t="str">
        <f t="shared" si="1"/>
        <v/>
      </c>
      <c r="J253" s="436"/>
      <c r="K253" s="437" t="str">
        <f t="array" ref="K253">IFERROR(IF($A253="Medição",IFERROR(INDEX(#REF!,MATCH($B253,Fornecedores!$B$8:$B$200,0)),0),""),"")</f>
        <v/>
      </c>
      <c r="L253" s="438" t="str">
        <f t="shared" si="2"/>
        <v/>
      </c>
      <c r="M253" s="439"/>
      <c r="N253" s="440" t="str">
        <f t="shared" si="3"/>
        <v/>
      </c>
      <c r="O253" s="432"/>
      <c r="P253" s="112"/>
      <c r="Q253" s="112"/>
      <c r="R253" s="112"/>
      <c r="S253" s="432"/>
      <c r="T253" s="112"/>
      <c r="U253" s="112"/>
      <c r="V253" s="112"/>
      <c r="W253" s="395"/>
      <c r="X253" s="395"/>
      <c r="Y253" s="395"/>
      <c r="Z253" s="395"/>
      <c r="AA253" s="395"/>
    </row>
    <row r="254" ht="15.75" customHeight="1">
      <c r="A254" s="112"/>
      <c r="B254" s="112"/>
      <c r="C254" s="412" t="str">
        <f t="array" ref="C254">IFERROR(INDEX(#REF!,MATCH($B254,Fornecedores!$B$8:$B$200,0)),"")</f>
        <v/>
      </c>
      <c r="D254" s="112"/>
      <c r="E254" s="112"/>
      <c r="F254" s="432"/>
      <c r="G254" s="433"/>
      <c r="H254" s="434" t="str">
        <f t="array" ref="H254">IFERROR(IF($A254="Medição",IFERROR(INDEX(#REF!,MATCH($B254,Fornecedores!$B$8:$B$200,0)),""),""),"")</f>
        <v/>
      </c>
      <c r="I254" s="435" t="str">
        <f t="shared" si="1"/>
        <v/>
      </c>
      <c r="J254" s="436"/>
      <c r="K254" s="437" t="str">
        <f t="array" ref="K254">IFERROR(IF($A254="Medição",IFERROR(INDEX(#REF!,MATCH($B254,Fornecedores!$B$8:$B$200,0)),0),""),"")</f>
        <v/>
      </c>
      <c r="L254" s="438" t="str">
        <f t="shared" si="2"/>
        <v/>
      </c>
      <c r="M254" s="439"/>
      <c r="N254" s="440" t="str">
        <f t="shared" si="3"/>
        <v/>
      </c>
      <c r="O254" s="432"/>
      <c r="P254" s="112"/>
      <c r="Q254" s="112"/>
      <c r="R254" s="112"/>
      <c r="S254" s="432"/>
      <c r="T254" s="112"/>
      <c r="U254" s="112"/>
      <c r="V254" s="112"/>
      <c r="W254" s="395"/>
      <c r="X254" s="395"/>
      <c r="Y254" s="395"/>
      <c r="Z254" s="395"/>
      <c r="AA254" s="395"/>
    </row>
    <row r="255" ht="15.75" customHeight="1">
      <c r="A255" s="112"/>
      <c r="B255" s="112"/>
      <c r="C255" s="412" t="str">
        <f t="array" ref="C255">IFERROR(INDEX(#REF!,MATCH($B255,Fornecedores!$B$8:$B$200,0)),"")</f>
        <v/>
      </c>
      <c r="D255" s="112"/>
      <c r="E255" s="112"/>
      <c r="F255" s="432"/>
      <c r="G255" s="433"/>
      <c r="H255" s="434" t="str">
        <f t="array" ref="H255">IFERROR(IF($A255="Medição",IFERROR(INDEX(#REF!,MATCH($B255,Fornecedores!$B$8:$B$200,0)),""),""),"")</f>
        <v/>
      </c>
      <c r="I255" s="435" t="str">
        <f t="shared" si="1"/>
        <v/>
      </c>
      <c r="J255" s="436"/>
      <c r="K255" s="437" t="str">
        <f t="array" ref="K255">IFERROR(IF($A255="Medição",IFERROR(INDEX(#REF!,MATCH($B255,Fornecedores!$B$8:$B$200,0)),0),""),"")</f>
        <v/>
      </c>
      <c r="L255" s="438" t="str">
        <f t="shared" si="2"/>
        <v/>
      </c>
      <c r="M255" s="439"/>
      <c r="N255" s="440" t="str">
        <f t="shared" si="3"/>
        <v/>
      </c>
      <c r="O255" s="432"/>
      <c r="P255" s="112"/>
      <c r="Q255" s="112"/>
      <c r="R255" s="112"/>
      <c r="S255" s="432"/>
      <c r="T255" s="112"/>
      <c r="U255" s="112"/>
      <c r="V255" s="112"/>
      <c r="W255" s="395"/>
      <c r="X255" s="395"/>
      <c r="Y255" s="395"/>
      <c r="Z255" s="395"/>
      <c r="AA255" s="395"/>
    </row>
    <row r="256" ht="15.75" customHeight="1">
      <c r="A256" s="112"/>
      <c r="B256" s="112"/>
      <c r="C256" s="412" t="str">
        <f t="array" ref="C256">IFERROR(INDEX(#REF!,MATCH($B256,Fornecedores!$B$8:$B$200,0)),"")</f>
        <v/>
      </c>
      <c r="D256" s="112"/>
      <c r="E256" s="112"/>
      <c r="F256" s="432"/>
      <c r="G256" s="433"/>
      <c r="H256" s="434" t="str">
        <f t="array" ref="H256">IFERROR(IF($A256="Medição",IFERROR(INDEX(#REF!,MATCH($B256,Fornecedores!$B$8:$B$200,0)),""),""),"")</f>
        <v/>
      </c>
      <c r="I256" s="435" t="str">
        <f t="shared" si="1"/>
        <v/>
      </c>
      <c r="J256" s="436"/>
      <c r="K256" s="437" t="str">
        <f t="array" ref="K256">IFERROR(IF($A256="Medição",IFERROR(INDEX(#REF!,MATCH($B256,Fornecedores!$B$8:$B$200,0)),0),""),"")</f>
        <v/>
      </c>
      <c r="L256" s="438" t="str">
        <f t="shared" si="2"/>
        <v/>
      </c>
      <c r="M256" s="439"/>
      <c r="N256" s="440" t="str">
        <f t="shared" si="3"/>
        <v/>
      </c>
      <c r="O256" s="432"/>
      <c r="P256" s="112"/>
      <c r="Q256" s="112"/>
      <c r="R256" s="112"/>
      <c r="S256" s="432"/>
      <c r="T256" s="112"/>
      <c r="U256" s="112"/>
      <c r="V256" s="112"/>
      <c r="W256" s="395"/>
      <c r="X256" s="395"/>
      <c r="Y256" s="395"/>
      <c r="Z256" s="395"/>
      <c r="AA256" s="395"/>
    </row>
    <row r="257" ht="15.75" customHeight="1">
      <c r="A257" s="112"/>
      <c r="B257" s="112"/>
      <c r="C257" s="412" t="str">
        <f t="array" ref="C257">IFERROR(INDEX(#REF!,MATCH($B257,Fornecedores!$B$8:$B$200,0)),"")</f>
        <v/>
      </c>
      <c r="D257" s="112"/>
      <c r="E257" s="112"/>
      <c r="F257" s="432"/>
      <c r="G257" s="433"/>
      <c r="H257" s="434" t="str">
        <f t="array" ref="H257">IFERROR(IF($A257="Medição",IFERROR(INDEX(#REF!,MATCH($B257,Fornecedores!$B$8:$B$200,0)),""),""),"")</f>
        <v/>
      </c>
      <c r="I257" s="435" t="str">
        <f t="shared" si="1"/>
        <v/>
      </c>
      <c r="J257" s="436"/>
      <c r="K257" s="437" t="str">
        <f t="array" ref="K257">IFERROR(IF($A257="Medição",IFERROR(INDEX(#REF!,MATCH($B257,Fornecedores!$B$8:$B$200,0)),0),""),"")</f>
        <v/>
      </c>
      <c r="L257" s="438" t="str">
        <f t="shared" si="2"/>
        <v/>
      </c>
      <c r="M257" s="439"/>
      <c r="N257" s="440" t="str">
        <f t="shared" si="3"/>
        <v/>
      </c>
      <c r="O257" s="432"/>
      <c r="P257" s="112"/>
      <c r="Q257" s="112"/>
      <c r="R257" s="112"/>
      <c r="S257" s="432"/>
      <c r="T257" s="112"/>
      <c r="U257" s="112"/>
      <c r="V257" s="112"/>
      <c r="W257" s="395"/>
      <c r="X257" s="395"/>
      <c r="Y257" s="395"/>
      <c r="Z257" s="395"/>
      <c r="AA257" s="395"/>
    </row>
    <row r="258" ht="15.75" customHeight="1">
      <c r="A258" s="112"/>
      <c r="B258" s="112"/>
      <c r="C258" s="412" t="str">
        <f t="array" ref="C258">IFERROR(INDEX(#REF!,MATCH($B258,Fornecedores!$B$8:$B$200,0)),"")</f>
        <v/>
      </c>
      <c r="D258" s="112"/>
      <c r="E258" s="112"/>
      <c r="F258" s="432"/>
      <c r="G258" s="433"/>
      <c r="H258" s="434" t="str">
        <f t="array" ref="H258">IFERROR(IF($A258="Medição",IFERROR(INDEX(#REF!,MATCH($B258,Fornecedores!$B$8:$B$200,0)),""),""),"")</f>
        <v/>
      </c>
      <c r="I258" s="435" t="str">
        <f t="shared" si="1"/>
        <v/>
      </c>
      <c r="J258" s="436"/>
      <c r="K258" s="437" t="str">
        <f t="array" ref="K258">IFERROR(IF($A258="Medição",IFERROR(INDEX(#REF!,MATCH($B258,Fornecedores!$B$8:$B$200,0)),0),""),"")</f>
        <v/>
      </c>
      <c r="L258" s="438" t="str">
        <f t="shared" si="2"/>
        <v/>
      </c>
      <c r="M258" s="439"/>
      <c r="N258" s="440" t="str">
        <f t="shared" si="3"/>
        <v/>
      </c>
      <c r="O258" s="432"/>
      <c r="P258" s="112"/>
      <c r="Q258" s="112"/>
      <c r="R258" s="112"/>
      <c r="S258" s="432"/>
      <c r="T258" s="112"/>
      <c r="U258" s="112"/>
      <c r="V258" s="112"/>
      <c r="W258" s="395"/>
      <c r="X258" s="395"/>
      <c r="Y258" s="395"/>
      <c r="Z258" s="395"/>
      <c r="AA258" s="395"/>
    </row>
    <row r="259" ht="15.75" customHeight="1">
      <c r="A259" s="112"/>
      <c r="B259" s="112"/>
      <c r="C259" s="412" t="str">
        <f t="array" ref="C259">IFERROR(INDEX(#REF!,MATCH($B259,Fornecedores!$B$8:$B$200,0)),"")</f>
        <v/>
      </c>
      <c r="D259" s="112"/>
      <c r="E259" s="112"/>
      <c r="F259" s="432"/>
      <c r="G259" s="433"/>
      <c r="H259" s="434" t="str">
        <f t="array" ref="H259">IFERROR(IF($A259="Medição",IFERROR(INDEX(#REF!,MATCH($B259,Fornecedores!$B$8:$B$200,0)),""),""),"")</f>
        <v/>
      </c>
      <c r="I259" s="435" t="str">
        <f t="shared" si="1"/>
        <v/>
      </c>
      <c r="J259" s="436"/>
      <c r="K259" s="437" t="str">
        <f t="array" ref="K259">IFERROR(IF($A259="Medição",IFERROR(INDEX(#REF!,MATCH($B259,Fornecedores!$B$8:$B$200,0)),0),""),"")</f>
        <v/>
      </c>
      <c r="L259" s="438" t="str">
        <f t="shared" si="2"/>
        <v/>
      </c>
      <c r="M259" s="439"/>
      <c r="N259" s="440" t="str">
        <f t="shared" si="3"/>
        <v/>
      </c>
      <c r="O259" s="432"/>
      <c r="P259" s="112"/>
      <c r="Q259" s="112"/>
      <c r="R259" s="112"/>
      <c r="S259" s="432"/>
      <c r="T259" s="112"/>
      <c r="U259" s="112"/>
      <c r="V259" s="112"/>
      <c r="W259" s="395"/>
      <c r="X259" s="395"/>
      <c r="Y259" s="395"/>
      <c r="Z259" s="395"/>
      <c r="AA259" s="395"/>
    </row>
    <row r="260" ht="15.75" customHeight="1">
      <c r="A260" s="112"/>
      <c r="B260" s="112"/>
      <c r="C260" s="412" t="str">
        <f t="array" ref="C260">IFERROR(INDEX(#REF!,MATCH($B260,Fornecedores!$B$8:$B$200,0)),"")</f>
        <v/>
      </c>
      <c r="D260" s="112"/>
      <c r="E260" s="112"/>
      <c r="F260" s="432"/>
      <c r="G260" s="433"/>
      <c r="H260" s="434" t="str">
        <f t="array" ref="H260">IFERROR(IF($A260="Medição",IFERROR(INDEX(#REF!,MATCH($B260,Fornecedores!$B$8:$B$200,0)),""),""),"")</f>
        <v/>
      </c>
      <c r="I260" s="435" t="str">
        <f t="shared" si="1"/>
        <v/>
      </c>
      <c r="J260" s="436"/>
      <c r="K260" s="437" t="str">
        <f t="array" ref="K260">IFERROR(IF($A260="Medição",IFERROR(INDEX(#REF!,MATCH($B260,Fornecedores!$B$8:$B$200,0)),0),""),"")</f>
        <v/>
      </c>
      <c r="L260" s="438" t="str">
        <f t="shared" si="2"/>
        <v/>
      </c>
      <c r="M260" s="439"/>
      <c r="N260" s="440" t="str">
        <f t="shared" si="3"/>
        <v/>
      </c>
      <c r="O260" s="432"/>
      <c r="P260" s="112"/>
      <c r="Q260" s="112"/>
      <c r="R260" s="112"/>
      <c r="S260" s="432"/>
      <c r="T260" s="112"/>
      <c r="U260" s="112"/>
      <c r="V260" s="112"/>
      <c r="W260" s="395"/>
      <c r="X260" s="395"/>
      <c r="Y260" s="395"/>
      <c r="Z260" s="395"/>
      <c r="AA260" s="395"/>
    </row>
    <row r="261" ht="15.75" customHeight="1">
      <c r="A261" s="112"/>
      <c r="B261" s="112"/>
      <c r="C261" s="412" t="str">
        <f t="array" ref="C261">IFERROR(INDEX(#REF!,MATCH($B261,Fornecedores!$B$8:$B$200,0)),"")</f>
        <v/>
      </c>
      <c r="D261" s="112"/>
      <c r="E261" s="112"/>
      <c r="F261" s="432"/>
      <c r="G261" s="433"/>
      <c r="H261" s="434" t="str">
        <f t="array" ref="H261">IFERROR(IF($A261="Medição",IFERROR(INDEX(#REF!,MATCH($B261,Fornecedores!$B$8:$B$200,0)),""),""),"")</f>
        <v/>
      </c>
      <c r="I261" s="435" t="str">
        <f t="shared" si="1"/>
        <v/>
      </c>
      <c r="J261" s="436"/>
      <c r="K261" s="437" t="str">
        <f t="array" ref="K261">IFERROR(IF($A261="Medição",IFERROR(INDEX(#REF!,MATCH($B261,Fornecedores!$B$8:$B$200,0)),0),""),"")</f>
        <v/>
      </c>
      <c r="L261" s="438" t="str">
        <f t="shared" si="2"/>
        <v/>
      </c>
      <c r="M261" s="439"/>
      <c r="N261" s="440" t="str">
        <f t="shared" si="3"/>
        <v/>
      </c>
      <c r="O261" s="432"/>
      <c r="P261" s="112"/>
      <c r="Q261" s="112"/>
      <c r="R261" s="112"/>
      <c r="S261" s="432"/>
      <c r="T261" s="112"/>
      <c r="U261" s="112"/>
      <c r="V261" s="112"/>
      <c r="W261" s="395"/>
      <c r="X261" s="395"/>
      <c r="Y261" s="395"/>
      <c r="Z261" s="395"/>
      <c r="AA261" s="395"/>
    </row>
    <row r="262" ht="15.75" customHeight="1">
      <c r="A262" s="112"/>
      <c r="B262" s="112"/>
      <c r="C262" s="412" t="str">
        <f t="array" ref="C262">IFERROR(INDEX(#REF!,MATCH($B262,Fornecedores!$B$8:$B$200,0)),"")</f>
        <v/>
      </c>
      <c r="D262" s="112"/>
      <c r="E262" s="112"/>
      <c r="F262" s="432"/>
      <c r="G262" s="433"/>
      <c r="H262" s="434" t="str">
        <f t="array" ref="H262">IFERROR(IF($A262="Medição",IFERROR(INDEX(#REF!,MATCH($B262,Fornecedores!$B$8:$B$200,0)),""),""),"")</f>
        <v/>
      </c>
      <c r="I262" s="435" t="str">
        <f t="shared" si="1"/>
        <v/>
      </c>
      <c r="J262" s="436"/>
      <c r="K262" s="437" t="str">
        <f t="array" ref="K262">IFERROR(IF($A262="Medição",IFERROR(INDEX(#REF!,MATCH($B262,Fornecedores!$B$8:$B$200,0)),0),""),"")</f>
        <v/>
      </c>
      <c r="L262" s="438" t="str">
        <f t="shared" si="2"/>
        <v/>
      </c>
      <c r="M262" s="439"/>
      <c r="N262" s="440" t="str">
        <f t="shared" si="3"/>
        <v/>
      </c>
      <c r="O262" s="432"/>
      <c r="P262" s="112"/>
      <c r="Q262" s="112"/>
      <c r="R262" s="112"/>
      <c r="S262" s="432"/>
      <c r="T262" s="112"/>
      <c r="U262" s="112"/>
      <c r="V262" s="112"/>
      <c r="W262" s="395"/>
      <c r="X262" s="395"/>
      <c r="Y262" s="395"/>
      <c r="Z262" s="395"/>
      <c r="AA262" s="395"/>
    </row>
    <row r="263" ht="15.75" customHeight="1">
      <c r="A263" s="112"/>
      <c r="B263" s="112"/>
      <c r="C263" s="412" t="str">
        <f t="array" ref="C263">IFERROR(INDEX(#REF!,MATCH($B263,Fornecedores!$B$8:$B$200,0)),"")</f>
        <v/>
      </c>
      <c r="D263" s="112"/>
      <c r="E263" s="112"/>
      <c r="F263" s="432"/>
      <c r="G263" s="433"/>
      <c r="H263" s="434" t="str">
        <f t="array" ref="H263">IFERROR(IF($A263="Medição",IFERROR(INDEX(#REF!,MATCH($B263,Fornecedores!$B$8:$B$200,0)),""),""),"")</f>
        <v/>
      </c>
      <c r="I263" s="435" t="str">
        <f t="shared" si="1"/>
        <v/>
      </c>
      <c r="J263" s="436"/>
      <c r="K263" s="437" t="str">
        <f t="array" ref="K263">IFERROR(IF($A263="Medição",IFERROR(INDEX(#REF!,MATCH($B263,Fornecedores!$B$8:$B$200,0)),0),""),"")</f>
        <v/>
      </c>
      <c r="L263" s="438" t="str">
        <f t="shared" si="2"/>
        <v/>
      </c>
      <c r="M263" s="439"/>
      <c r="N263" s="440" t="str">
        <f t="shared" si="3"/>
        <v/>
      </c>
      <c r="O263" s="432"/>
      <c r="P263" s="112"/>
      <c r="Q263" s="112"/>
      <c r="R263" s="112"/>
      <c r="S263" s="432"/>
      <c r="T263" s="112"/>
      <c r="U263" s="112"/>
      <c r="V263" s="112"/>
      <c r="W263" s="395"/>
      <c r="X263" s="395"/>
      <c r="Y263" s="395"/>
      <c r="Z263" s="395"/>
      <c r="AA263" s="395"/>
    </row>
    <row r="264" ht="15.75" customHeight="1">
      <c r="A264" s="112"/>
      <c r="B264" s="112"/>
      <c r="C264" s="412" t="str">
        <f t="array" ref="C264">IFERROR(INDEX(#REF!,MATCH($B264,Fornecedores!$B$8:$B$200,0)),"")</f>
        <v/>
      </c>
      <c r="D264" s="112"/>
      <c r="E264" s="112"/>
      <c r="F264" s="432"/>
      <c r="G264" s="433"/>
      <c r="H264" s="434" t="str">
        <f t="array" ref="H264">IFERROR(IF($A264="Medição",IFERROR(INDEX(#REF!,MATCH($B264,Fornecedores!$B$8:$B$200,0)),""),""),"")</f>
        <v/>
      </c>
      <c r="I264" s="435" t="str">
        <f t="shared" si="1"/>
        <v/>
      </c>
      <c r="J264" s="436"/>
      <c r="K264" s="437" t="str">
        <f t="array" ref="K264">IFERROR(IF($A264="Medição",IFERROR(INDEX(#REF!,MATCH($B264,Fornecedores!$B$8:$B$200,0)),0),""),"")</f>
        <v/>
      </c>
      <c r="L264" s="438" t="str">
        <f t="shared" si="2"/>
        <v/>
      </c>
      <c r="M264" s="439"/>
      <c r="N264" s="440" t="str">
        <f t="shared" si="3"/>
        <v/>
      </c>
      <c r="O264" s="432"/>
      <c r="P264" s="112"/>
      <c r="Q264" s="112"/>
      <c r="R264" s="112"/>
      <c r="S264" s="432"/>
      <c r="T264" s="112"/>
      <c r="U264" s="112"/>
      <c r="V264" s="112"/>
      <c r="W264" s="395"/>
      <c r="X264" s="395"/>
      <c r="Y264" s="395"/>
      <c r="Z264" s="395"/>
      <c r="AA264" s="395"/>
    </row>
    <row r="265" ht="15.75" customHeight="1">
      <c r="A265" s="112"/>
      <c r="B265" s="112"/>
      <c r="C265" s="412" t="str">
        <f t="array" ref="C265">IFERROR(INDEX(#REF!,MATCH($B265,Fornecedores!$B$8:$B$200,0)),"")</f>
        <v/>
      </c>
      <c r="D265" s="112"/>
      <c r="E265" s="112"/>
      <c r="F265" s="432"/>
      <c r="G265" s="433"/>
      <c r="H265" s="434" t="str">
        <f t="array" ref="H265">IFERROR(IF($A265="Medição",IFERROR(INDEX(#REF!,MATCH($B265,Fornecedores!$B$8:$B$200,0)),""),""),"")</f>
        <v/>
      </c>
      <c r="I265" s="435" t="str">
        <f t="shared" si="1"/>
        <v/>
      </c>
      <c r="J265" s="436"/>
      <c r="K265" s="437" t="str">
        <f t="array" ref="K265">IFERROR(IF($A265="Medição",IFERROR(INDEX(#REF!,MATCH($B265,Fornecedores!$B$8:$B$200,0)),0),""),"")</f>
        <v/>
      </c>
      <c r="L265" s="438" t="str">
        <f t="shared" si="2"/>
        <v/>
      </c>
      <c r="M265" s="439"/>
      <c r="N265" s="440" t="str">
        <f t="shared" si="3"/>
        <v/>
      </c>
      <c r="O265" s="432"/>
      <c r="P265" s="112"/>
      <c r="Q265" s="112"/>
      <c r="R265" s="112"/>
      <c r="S265" s="432"/>
      <c r="T265" s="112"/>
      <c r="U265" s="112"/>
      <c r="V265" s="112"/>
      <c r="W265" s="395"/>
      <c r="X265" s="395"/>
      <c r="Y265" s="395"/>
      <c r="Z265" s="395"/>
      <c r="AA265" s="395"/>
    </row>
    <row r="266" ht="15.75" customHeight="1">
      <c r="A266" s="112"/>
      <c r="B266" s="112"/>
      <c r="C266" s="412" t="str">
        <f t="array" ref="C266">IFERROR(INDEX(#REF!,MATCH($B266,Fornecedores!$B$8:$B$200,0)),"")</f>
        <v/>
      </c>
      <c r="D266" s="112"/>
      <c r="E266" s="112"/>
      <c r="F266" s="432"/>
      <c r="G266" s="433"/>
      <c r="H266" s="434" t="str">
        <f t="array" ref="H266">IFERROR(IF($A266="Medição",IFERROR(INDEX(#REF!,MATCH($B266,Fornecedores!$B$8:$B$200,0)),""),""),"")</f>
        <v/>
      </c>
      <c r="I266" s="435" t="str">
        <f t="shared" si="1"/>
        <v/>
      </c>
      <c r="J266" s="436"/>
      <c r="K266" s="437" t="str">
        <f t="array" ref="K266">IFERROR(IF($A266="Medição",IFERROR(INDEX(#REF!,MATCH($B266,Fornecedores!$B$8:$B$200,0)),0),""),"")</f>
        <v/>
      </c>
      <c r="L266" s="438" t="str">
        <f t="shared" si="2"/>
        <v/>
      </c>
      <c r="M266" s="439"/>
      <c r="N266" s="440" t="str">
        <f t="shared" si="3"/>
        <v/>
      </c>
      <c r="O266" s="432"/>
      <c r="P266" s="112"/>
      <c r="Q266" s="112"/>
      <c r="R266" s="112"/>
      <c r="S266" s="432"/>
      <c r="T266" s="112"/>
      <c r="U266" s="112"/>
      <c r="V266" s="112"/>
      <c r="W266" s="395"/>
      <c r="X266" s="395"/>
      <c r="Y266" s="395"/>
      <c r="Z266" s="395"/>
      <c r="AA266" s="395"/>
    </row>
    <row r="267" ht="15.75" customHeight="1">
      <c r="A267" s="112"/>
      <c r="B267" s="112"/>
      <c r="C267" s="412" t="str">
        <f t="array" ref="C267">IFERROR(INDEX(#REF!,MATCH($B267,Fornecedores!$B$8:$B$200,0)),"")</f>
        <v/>
      </c>
      <c r="D267" s="112"/>
      <c r="E267" s="112"/>
      <c r="F267" s="432"/>
      <c r="G267" s="433"/>
      <c r="H267" s="434" t="str">
        <f t="array" ref="H267">IFERROR(IF($A267="Medição",IFERROR(INDEX(#REF!,MATCH($B267,Fornecedores!$B$8:$B$200,0)),""),""),"")</f>
        <v/>
      </c>
      <c r="I267" s="435" t="str">
        <f t="shared" si="1"/>
        <v/>
      </c>
      <c r="J267" s="436"/>
      <c r="K267" s="437" t="str">
        <f t="array" ref="K267">IFERROR(IF($A267="Medição",IFERROR(INDEX(#REF!,MATCH($B267,Fornecedores!$B$8:$B$200,0)),0),""),"")</f>
        <v/>
      </c>
      <c r="L267" s="438" t="str">
        <f t="shared" si="2"/>
        <v/>
      </c>
      <c r="M267" s="439"/>
      <c r="N267" s="440" t="str">
        <f t="shared" si="3"/>
        <v/>
      </c>
      <c r="O267" s="432"/>
      <c r="P267" s="112"/>
      <c r="Q267" s="112"/>
      <c r="R267" s="112"/>
      <c r="S267" s="432"/>
      <c r="T267" s="112"/>
      <c r="U267" s="112"/>
      <c r="V267" s="112"/>
      <c r="W267" s="395"/>
      <c r="X267" s="395"/>
      <c r="Y267" s="395"/>
      <c r="Z267" s="395"/>
      <c r="AA267" s="395"/>
    </row>
    <row r="268" ht="15.75" customHeight="1">
      <c r="A268" s="112"/>
      <c r="B268" s="112"/>
      <c r="C268" s="412" t="str">
        <f t="array" ref="C268">IFERROR(INDEX(#REF!,MATCH($B268,Fornecedores!$B$8:$B$200,0)),"")</f>
        <v/>
      </c>
      <c r="D268" s="112"/>
      <c r="E268" s="112"/>
      <c r="F268" s="432"/>
      <c r="G268" s="433"/>
      <c r="H268" s="434" t="str">
        <f t="array" ref="H268">IFERROR(IF($A268="Medição",IFERROR(INDEX(#REF!,MATCH($B268,Fornecedores!$B$8:$B$200,0)),""),""),"")</f>
        <v/>
      </c>
      <c r="I268" s="435" t="str">
        <f t="shared" si="1"/>
        <v/>
      </c>
      <c r="J268" s="436"/>
      <c r="K268" s="437" t="str">
        <f t="array" ref="K268">IFERROR(IF($A268="Medição",IFERROR(INDEX(#REF!,MATCH($B268,Fornecedores!$B$8:$B$200,0)),0),""),"")</f>
        <v/>
      </c>
      <c r="L268" s="438" t="str">
        <f t="shared" si="2"/>
        <v/>
      </c>
      <c r="M268" s="439"/>
      <c r="N268" s="440" t="str">
        <f t="shared" si="3"/>
        <v/>
      </c>
      <c r="O268" s="432"/>
      <c r="P268" s="112"/>
      <c r="Q268" s="112"/>
      <c r="R268" s="112"/>
      <c r="S268" s="432"/>
      <c r="T268" s="112"/>
      <c r="U268" s="112"/>
      <c r="V268" s="112"/>
      <c r="W268" s="395"/>
      <c r="X268" s="395"/>
      <c r="Y268" s="395"/>
      <c r="Z268" s="395"/>
      <c r="AA268" s="395"/>
    </row>
    <row r="269" ht="15.75" customHeight="1">
      <c r="A269" s="112"/>
      <c r="B269" s="112"/>
      <c r="C269" s="412" t="str">
        <f t="array" ref="C269">IFERROR(INDEX(#REF!,MATCH($B269,Fornecedores!$B$8:$B$200,0)),"")</f>
        <v/>
      </c>
      <c r="D269" s="112"/>
      <c r="E269" s="112"/>
      <c r="F269" s="432"/>
      <c r="G269" s="433"/>
      <c r="H269" s="434" t="str">
        <f t="array" ref="H269">IFERROR(IF($A269="Medição",IFERROR(INDEX(#REF!,MATCH($B269,Fornecedores!$B$8:$B$200,0)),""),""),"")</f>
        <v/>
      </c>
      <c r="I269" s="435" t="str">
        <f t="shared" si="1"/>
        <v/>
      </c>
      <c r="J269" s="436"/>
      <c r="K269" s="437" t="str">
        <f t="array" ref="K269">IFERROR(IF($A269="Medição",IFERROR(INDEX(#REF!,MATCH($B269,Fornecedores!$B$8:$B$200,0)),0),""),"")</f>
        <v/>
      </c>
      <c r="L269" s="438" t="str">
        <f t="shared" si="2"/>
        <v/>
      </c>
      <c r="M269" s="439"/>
      <c r="N269" s="440" t="str">
        <f t="shared" si="3"/>
        <v/>
      </c>
      <c r="O269" s="432"/>
      <c r="P269" s="112"/>
      <c r="Q269" s="112"/>
      <c r="R269" s="112"/>
      <c r="S269" s="432"/>
      <c r="T269" s="112"/>
      <c r="U269" s="112"/>
      <c r="V269" s="112"/>
      <c r="W269" s="395"/>
      <c r="X269" s="395"/>
      <c r="Y269" s="395"/>
      <c r="Z269" s="395"/>
      <c r="AA269" s="395"/>
    </row>
    <row r="270" ht="15.75" customHeight="1">
      <c r="A270" s="112"/>
      <c r="B270" s="112"/>
      <c r="C270" s="412" t="str">
        <f t="array" ref="C270">IFERROR(INDEX(#REF!,MATCH($B270,Fornecedores!$B$8:$B$200,0)),"")</f>
        <v/>
      </c>
      <c r="D270" s="112"/>
      <c r="E270" s="112"/>
      <c r="F270" s="432"/>
      <c r="G270" s="433"/>
      <c r="H270" s="434" t="str">
        <f t="array" ref="H270">IFERROR(IF($A270="Medição",IFERROR(INDEX(#REF!,MATCH($B270,Fornecedores!$B$8:$B$200,0)),""),""),"")</f>
        <v/>
      </c>
      <c r="I270" s="435" t="str">
        <f t="shared" si="1"/>
        <v/>
      </c>
      <c r="J270" s="436"/>
      <c r="K270" s="437" t="str">
        <f t="array" ref="K270">IFERROR(IF($A270="Medição",IFERROR(INDEX(#REF!,MATCH($B270,Fornecedores!$B$8:$B$200,0)),0),""),"")</f>
        <v/>
      </c>
      <c r="L270" s="438" t="str">
        <f t="shared" si="2"/>
        <v/>
      </c>
      <c r="M270" s="439"/>
      <c r="N270" s="440" t="str">
        <f t="shared" si="3"/>
        <v/>
      </c>
      <c r="O270" s="432"/>
      <c r="P270" s="112"/>
      <c r="Q270" s="112"/>
      <c r="R270" s="112"/>
      <c r="S270" s="432"/>
      <c r="T270" s="112"/>
      <c r="U270" s="112"/>
      <c r="V270" s="112"/>
      <c r="W270" s="395"/>
      <c r="X270" s="395"/>
      <c r="Y270" s="395"/>
      <c r="Z270" s="395"/>
      <c r="AA270" s="395"/>
    </row>
    <row r="271" ht="15.75" customHeight="1">
      <c r="A271" s="112"/>
      <c r="B271" s="112"/>
      <c r="C271" s="412" t="str">
        <f t="array" ref="C271">IFERROR(INDEX(#REF!,MATCH($B271,Fornecedores!$B$8:$B$200,0)),"")</f>
        <v/>
      </c>
      <c r="D271" s="112"/>
      <c r="E271" s="112"/>
      <c r="F271" s="432"/>
      <c r="G271" s="433"/>
      <c r="H271" s="434" t="str">
        <f t="array" ref="H271">IFERROR(IF($A271="Medição",IFERROR(INDEX(#REF!,MATCH($B271,Fornecedores!$B$8:$B$200,0)),""),""),"")</f>
        <v/>
      </c>
      <c r="I271" s="435" t="str">
        <f t="shared" si="1"/>
        <v/>
      </c>
      <c r="J271" s="436"/>
      <c r="K271" s="437" t="str">
        <f t="array" ref="K271">IFERROR(IF($A271="Medição",IFERROR(INDEX(#REF!,MATCH($B271,Fornecedores!$B$8:$B$200,0)),0),""),"")</f>
        <v/>
      </c>
      <c r="L271" s="438" t="str">
        <f t="shared" si="2"/>
        <v/>
      </c>
      <c r="M271" s="439"/>
      <c r="N271" s="440" t="str">
        <f t="shared" si="3"/>
        <v/>
      </c>
      <c r="O271" s="432"/>
      <c r="P271" s="112"/>
      <c r="Q271" s="112"/>
      <c r="R271" s="112"/>
      <c r="S271" s="432"/>
      <c r="T271" s="112"/>
      <c r="U271" s="112"/>
      <c r="V271" s="112"/>
      <c r="W271" s="395"/>
      <c r="X271" s="395"/>
      <c r="Y271" s="395"/>
      <c r="Z271" s="395"/>
      <c r="AA271" s="395"/>
    </row>
    <row r="272" ht="15.75" customHeight="1">
      <c r="A272" s="112"/>
      <c r="B272" s="112"/>
      <c r="C272" s="412" t="str">
        <f t="array" ref="C272">IFERROR(INDEX(#REF!,MATCH($B272,Fornecedores!$B$8:$B$200,0)),"")</f>
        <v/>
      </c>
      <c r="D272" s="112"/>
      <c r="E272" s="112"/>
      <c r="F272" s="432"/>
      <c r="G272" s="433"/>
      <c r="H272" s="434" t="str">
        <f t="array" ref="H272">IFERROR(IF($A272="Medição",IFERROR(INDEX(#REF!,MATCH($B272,Fornecedores!$B$8:$B$200,0)),""),""),"")</f>
        <v/>
      </c>
      <c r="I272" s="435" t="str">
        <f t="shared" si="1"/>
        <v/>
      </c>
      <c r="J272" s="436"/>
      <c r="K272" s="437" t="str">
        <f t="array" ref="K272">IFERROR(IF($A272="Medição",IFERROR(INDEX(#REF!,MATCH($B272,Fornecedores!$B$8:$B$200,0)),0),""),"")</f>
        <v/>
      </c>
      <c r="L272" s="438" t="str">
        <f t="shared" si="2"/>
        <v/>
      </c>
      <c r="M272" s="439"/>
      <c r="N272" s="440" t="str">
        <f t="shared" si="3"/>
        <v/>
      </c>
      <c r="O272" s="432"/>
      <c r="P272" s="112"/>
      <c r="Q272" s="112"/>
      <c r="R272" s="112"/>
      <c r="S272" s="432"/>
      <c r="T272" s="112"/>
      <c r="U272" s="112"/>
      <c r="V272" s="112"/>
      <c r="W272" s="395"/>
      <c r="X272" s="395"/>
      <c r="Y272" s="395"/>
      <c r="Z272" s="395"/>
      <c r="AA272" s="395"/>
    </row>
    <row r="273" ht="15.75" customHeight="1">
      <c r="A273" s="112"/>
      <c r="B273" s="112"/>
      <c r="C273" s="412" t="str">
        <f t="array" ref="C273">IFERROR(INDEX(#REF!,MATCH($B273,Fornecedores!$B$8:$B$200,0)),"")</f>
        <v/>
      </c>
      <c r="D273" s="112"/>
      <c r="E273" s="112"/>
      <c r="F273" s="432"/>
      <c r="G273" s="433"/>
      <c r="H273" s="434" t="str">
        <f t="array" ref="H273">IFERROR(IF($A273="Medição",IFERROR(INDEX(#REF!,MATCH($B273,Fornecedores!$B$8:$B$200,0)),""),""),"")</f>
        <v/>
      </c>
      <c r="I273" s="435" t="str">
        <f t="shared" si="1"/>
        <v/>
      </c>
      <c r="J273" s="436"/>
      <c r="K273" s="437" t="str">
        <f t="array" ref="K273">IFERROR(IF($A273="Medição",IFERROR(INDEX(#REF!,MATCH($B273,Fornecedores!$B$8:$B$200,0)),0),""),"")</f>
        <v/>
      </c>
      <c r="L273" s="438" t="str">
        <f t="shared" si="2"/>
        <v/>
      </c>
      <c r="M273" s="439"/>
      <c r="N273" s="440" t="str">
        <f t="shared" si="3"/>
        <v/>
      </c>
      <c r="O273" s="432"/>
      <c r="P273" s="112"/>
      <c r="Q273" s="112"/>
      <c r="R273" s="112"/>
      <c r="S273" s="432"/>
      <c r="T273" s="112"/>
      <c r="U273" s="112"/>
      <c r="V273" s="112"/>
      <c r="W273" s="395"/>
      <c r="X273" s="395"/>
      <c r="Y273" s="395"/>
      <c r="Z273" s="395"/>
      <c r="AA273" s="395"/>
    </row>
    <row r="274" ht="15.75" customHeight="1">
      <c r="A274" s="112"/>
      <c r="B274" s="112"/>
      <c r="C274" s="412" t="str">
        <f t="array" ref="C274">IFERROR(INDEX(#REF!,MATCH($B274,Fornecedores!$B$8:$B$200,0)),"")</f>
        <v/>
      </c>
      <c r="D274" s="112"/>
      <c r="E274" s="112"/>
      <c r="F274" s="432"/>
      <c r="G274" s="433"/>
      <c r="H274" s="434" t="str">
        <f t="array" ref="H274">IFERROR(IF($A274="Medição",IFERROR(INDEX(#REF!,MATCH($B274,Fornecedores!$B$8:$B$200,0)),""),""),"")</f>
        <v/>
      </c>
      <c r="I274" s="435" t="str">
        <f t="shared" si="1"/>
        <v/>
      </c>
      <c r="J274" s="436"/>
      <c r="K274" s="437" t="str">
        <f t="array" ref="K274">IFERROR(IF($A274="Medição",IFERROR(INDEX(#REF!,MATCH($B274,Fornecedores!$B$8:$B$200,0)),0),""),"")</f>
        <v/>
      </c>
      <c r="L274" s="438" t="str">
        <f t="shared" si="2"/>
        <v/>
      </c>
      <c r="M274" s="439"/>
      <c r="N274" s="440" t="str">
        <f t="shared" si="3"/>
        <v/>
      </c>
      <c r="O274" s="432"/>
      <c r="P274" s="112"/>
      <c r="Q274" s="112"/>
      <c r="R274" s="112"/>
      <c r="S274" s="432"/>
      <c r="T274" s="112"/>
      <c r="U274" s="112"/>
      <c r="V274" s="112"/>
      <c r="W274" s="395"/>
      <c r="X274" s="395"/>
      <c r="Y274" s="395"/>
      <c r="Z274" s="395"/>
      <c r="AA274" s="395"/>
    </row>
    <row r="275" ht="15.75" customHeight="1">
      <c r="A275" s="112"/>
      <c r="B275" s="112"/>
      <c r="C275" s="412" t="str">
        <f t="array" ref="C275">IFERROR(INDEX(#REF!,MATCH($B275,Fornecedores!$B$8:$B$200,0)),"")</f>
        <v/>
      </c>
      <c r="D275" s="112"/>
      <c r="E275" s="112"/>
      <c r="F275" s="432"/>
      <c r="G275" s="433"/>
      <c r="H275" s="434" t="str">
        <f t="array" ref="H275">IFERROR(IF($A275="Medição",IFERROR(INDEX(#REF!,MATCH($B275,Fornecedores!$B$8:$B$200,0)),""),""),"")</f>
        <v/>
      </c>
      <c r="I275" s="435" t="str">
        <f t="shared" si="1"/>
        <v/>
      </c>
      <c r="J275" s="436"/>
      <c r="K275" s="437" t="str">
        <f t="array" ref="K275">IFERROR(IF($A275="Medição",IFERROR(INDEX(#REF!,MATCH($B275,Fornecedores!$B$8:$B$200,0)),0),""),"")</f>
        <v/>
      </c>
      <c r="L275" s="438" t="str">
        <f t="shared" si="2"/>
        <v/>
      </c>
      <c r="M275" s="439"/>
      <c r="N275" s="440" t="str">
        <f t="shared" si="3"/>
        <v/>
      </c>
      <c r="O275" s="432"/>
      <c r="P275" s="112"/>
      <c r="Q275" s="112"/>
      <c r="R275" s="112"/>
      <c r="S275" s="432"/>
      <c r="T275" s="112"/>
      <c r="U275" s="112"/>
      <c r="V275" s="112"/>
      <c r="W275" s="395"/>
      <c r="X275" s="395"/>
      <c r="Y275" s="395"/>
      <c r="Z275" s="395"/>
      <c r="AA275" s="395"/>
    </row>
    <row r="276" ht="15.75" customHeight="1">
      <c r="A276" s="112"/>
      <c r="B276" s="112"/>
      <c r="C276" s="412" t="str">
        <f t="array" ref="C276">IFERROR(INDEX(#REF!,MATCH($B276,Fornecedores!$B$8:$B$200,0)),"")</f>
        <v/>
      </c>
      <c r="D276" s="112"/>
      <c r="E276" s="112"/>
      <c r="F276" s="432"/>
      <c r="G276" s="433"/>
      <c r="H276" s="434" t="str">
        <f t="array" ref="H276">IFERROR(IF($A276="Medição",IFERROR(INDEX(#REF!,MATCH($B276,Fornecedores!$B$8:$B$200,0)),""),""),"")</f>
        <v/>
      </c>
      <c r="I276" s="435" t="str">
        <f t="shared" si="1"/>
        <v/>
      </c>
      <c r="J276" s="436"/>
      <c r="K276" s="437" t="str">
        <f t="array" ref="K276">IFERROR(IF($A276="Medição",IFERROR(INDEX(#REF!,MATCH($B276,Fornecedores!$B$8:$B$200,0)),0),""),"")</f>
        <v/>
      </c>
      <c r="L276" s="438" t="str">
        <f t="shared" si="2"/>
        <v/>
      </c>
      <c r="M276" s="439"/>
      <c r="N276" s="440" t="str">
        <f t="shared" si="3"/>
        <v/>
      </c>
      <c r="O276" s="432"/>
      <c r="P276" s="112"/>
      <c r="Q276" s="112"/>
      <c r="R276" s="112"/>
      <c r="S276" s="432"/>
      <c r="T276" s="112"/>
      <c r="U276" s="112"/>
      <c r="V276" s="112"/>
      <c r="W276" s="395"/>
      <c r="X276" s="395"/>
      <c r="Y276" s="395"/>
      <c r="Z276" s="395"/>
      <c r="AA276" s="395"/>
    </row>
    <row r="277" ht="15.75" customHeight="1">
      <c r="A277" s="112"/>
      <c r="B277" s="112"/>
      <c r="C277" s="412" t="str">
        <f t="array" ref="C277">IFERROR(INDEX(#REF!,MATCH($B277,Fornecedores!$B$8:$B$200,0)),"")</f>
        <v/>
      </c>
      <c r="D277" s="112"/>
      <c r="E277" s="112"/>
      <c r="F277" s="432"/>
      <c r="G277" s="433"/>
      <c r="H277" s="434" t="str">
        <f t="array" ref="H277">IFERROR(IF($A277="Medição",IFERROR(INDEX(#REF!,MATCH($B277,Fornecedores!$B$8:$B$200,0)),""),""),"")</f>
        <v/>
      </c>
      <c r="I277" s="435" t="str">
        <f t="shared" si="1"/>
        <v/>
      </c>
      <c r="J277" s="436"/>
      <c r="K277" s="437" t="str">
        <f t="array" ref="K277">IFERROR(IF($A277="Medição",IFERROR(INDEX(#REF!,MATCH($B277,Fornecedores!$B$8:$B$200,0)),0),""),"")</f>
        <v/>
      </c>
      <c r="L277" s="438" t="str">
        <f t="shared" si="2"/>
        <v/>
      </c>
      <c r="M277" s="439"/>
      <c r="N277" s="440" t="str">
        <f t="shared" si="3"/>
        <v/>
      </c>
      <c r="O277" s="432"/>
      <c r="P277" s="112"/>
      <c r="Q277" s="112"/>
      <c r="R277" s="112"/>
      <c r="S277" s="432"/>
      <c r="T277" s="112"/>
      <c r="U277" s="112"/>
      <c r="V277" s="112"/>
      <c r="W277" s="395"/>
      <c r="X277" s="395"/>
      <c r="Y277" s="395"/>
      <c r="Z277" s="395"/>
      <c r="AA277" s="395"/>
    </row>
    <row r="278" ht="15.75" customHeight="1">
      <c r="A278" s="112"/>
      <c r="B278" s="112"/>
      <c r="C278" s="412" t="str">
        <f t="array" ref="C278">IFERROR(INDEX(#REF!,MATCH($B278,Fornecedores!$B$8:$B$200,0)),"")</f>
        <v/>
      </c>
      <c r="D278" s="112"/>
      <c r="E278" s="112"/>
      <c r="F278" s="432"/>
      <c r="G278" s="433"/>
      <c r="H278" s="434" t="str">
        <f t="array" ref="H278">IFERROR(IF($A278="Medição",IFERROR(INDEX(#REF!,MATCH($B278,Fornecedores!$B$8:$B$200,0)),""),""),"")</f>
        <v/>
      </c>
      <c r="I278" s="435" t="str">
        <f t="shared" si="1"/>
        <v/>
      </c>
      <c r="J278" s="436"/>
      <c r="K278" s="437" t="str">
        <f t="array" ref="K278">IFERROR(IF($A278="Medição",IFERROR(INDEX(#REF!,MATCH($B278,Fornecedores!$B$8:$B$200,0)),0),""),"")</f>
        <v/>
      </c>
      <c r="L278" s="438" t="str">
        <f t="shared" si="2"/>
        <v/>
      </c>
      <c r="M278" s="439"/>
      <c r="N278" s="440" t="str">
        <f t="shared" si="3"/>
        <v/>
      </c>
      <c r="O278" s="432"/>
      <c r="P278" s="112"/>
      <c r="Q278" s="112"/>
      <c r="R278" s="112"/>
      <c r="S278" s="432"/>
      <c r="T278" s="112"/>
      <c r="U278" s="112"/>
      <c r="V278" s="112"/>
      <c r="W278" s="395"/>
      <c r="X278" s="395"/>
      <c r="Y278" s="395"/>
      <c r="Z278" s="395"/>
      <c r="AA278" s="395"/>
    </row>
    <row r="279" ht="15.75" customHeight="1">
      <c r="A279" s="112"/>
      <c r="B279" s="112"/>
      <c r="C279" s="412" t="str">
        <f t="array" ref="C279">IFERROR(INDEX(#REF!,MATCH($B279,Fornecedores!$B$8:$B$200,0)),"")</f>
        <v/>
      </c>
      <c r="D279" s="112"/>
      <c r="E279" s="112"/>
      <c r="F279" s="432"/>
      <c r="G279" s="433"/>
      <c r="H279" s="434" t="str">
        <f t="array" ref="H279">IFERROR(IF($A279="Medição",IFERROR(INDEX(#REF!,MATCH($B279,Fornecedores!$B$8:$B$200,0)),""),""),"")</f>
        <v/>
      </c>
      <c r="I279" s="435" t="str">
        <f t="shared" si="1"/>
        <v/>
      </c>
      <c r="J279" s="436"/>
      <c r="K279" s="437" t="str">
        <f t="array" ref="K279">IFERROR(IF($A279="Medição",IFERROR(INDEX(#REF!,MATCH($B279,Fornecedores!$B$8:$B$200,0)),0),""),"")</f>
        <v/>
      </c>
      <c r="L279" s="438" t="str">
        <f t="shared" si="2"/>
        <v/>
      </c>
      <c r="M279" s="439"/>
      <c r="N279" s="440" t="str">
        <f t="shared" si="3"/>
        <v/>
      </c>
      <c r="O279" s="432"/>
      <c r="P279" s="112"/>
      <c r="Q279" s="112"/>
      <c r="R279" s="112"/>
      <c r="S279" s="432"/>
      <c r="T279" s="112"/>
      <c r="U279" s="112"/>
      <c r="V279" s="112"/>
      <c r="W279" s="395"/>
      <c r="X279" s="395"/>
      <c r="Y279" s="395"/>
      <c r="Z279" s="395"/>
      <c r="AA279" s="395"/>
    </row>
    <row r="280" ht="15.75" customHeight="1">
      <c r="A280" s="112"/>
      <c r="B280" s="112"/>
      <c r="C280" s="412" t="str">
        <f t="array" ref="C280">IFERROR(INDEX(#REF!,MATCH($B280,Fornecedores!$B$8:$B$200,0)),"")</f>
        <v/>
      </c>
      <c r="D280" s="112"/>
      <c r="E280" s="112"/>
      <c r="F280" s="432"/>
      <c r="G280" s="433"/>
      <c r="H280" s="434" t="str">
        <f t="array" ref="H280">IFERROR(IF($A280="Medição",IFERROR(INDEX(#REF!,MATCH($B280,Fornecedores!$B$8:$B$200,0)),""),""),"")</f>
        <v/>
      </c>
      <c r="I280" s="435" t="str">
        <f t="shared" si="1"/>
        <v/>
      </c>
      <c r="J280" s="436"/>
      <c r="K280" s="437" t="str">
        <f t="array" ref="K280">IFERROR(IF($A280="Medição",IFERROR(INDEX(#REF!,MATCH($B280,Fornecedores!$B$8:$B$200,0)),0),""),"")</f>
        <v/>
      </c>
      <c r="L280" s="438" t="str">
        <f t="shared" si="2"/>
        <v/>
      </c>
      <c r="M280" s="439"/>
      <c r="N280" s="440" t="str">
        <f t="shared" si="3"/>
        <v/>
      </c>
      <c r="O280" s="432"/>
      <c r="P280" s="112"/>
      <c r="Q280" s="112"/>
      <c r="R280" s="112"/>
      <c r="S280" s="432"/>
      <c r="T280" s="112"/>
      <c r="U280" s="112"/>
      <c r="V280" s="112"/>
      <c r="W280" s="395"/>
      <c r="X280" s="395"/>
      <c r="Y280" s="395"/>
      <c r="Z280" s="395"/>
      <c r="AA280" s="395"/>
    </row>
    <row r="281" ht="15.75" customHeight="1">
      <c r="A281" s="112"/>
      <c r="B281" s="112"/>
      <c r="C281" s="412" t="str">
        <f t="array" ref="C281">IFERROR(INDEX(#REF!,MATCH($B281,Fornecedores!$B$8:$B$200,0)),"")</f>
        <v/>
      </c>
      <c r="D281" s="112"/>
      <c r="E281" s="112"/>
      <c r="F281" s="432"/>
      <c r="G281" s="433"/>
      <c r="H281" s="434" t="str">
        <f t="array" ref="H281">IFERROR(IF($A281="Medição",IFERROR(INDEX(#REF!,MATCH($B281,Fornecedores!$B$8:$B$200,0)),""),""),"")</f>
        <v/>
      </c>
      <c r="I281" s="435" t="str">
        <f t="shared" si="1"/>
        <v/>
      </c>
      <c r="J281" s="436"/>
      <c r="K281" s="437" t="str">
        <f t="array" ref="K281">IFERROR(IF($A281="Medição",IFERROR(INDEX(#REF!,MATCH($B281,Fornecedores!$B$8:$B$200,0)),0),""),"")</f>
        <v/>
      </c>
      <c r="L281" s="438" t="str">
        <f t="shared" si="2"/>
        <v/>
      </c>
      <c r="M281" s="439"/>
      <c r="N281" s="440" t="str">
        <f t="shared" si="3"/>
        <v/>
      </c>
      <c r="O281" s="432"/>
      <c r="P281" s="112"/>
      <c r="Q281" s="112"/>
      <c r="R281" s="112"/>
      <c r="S281" s="432"/>
      <c r="T281" s="112"/>
      <c r="U281" s="112"/>
      <c r="V281" s="112"/>
      <c r="W281" s="395"/>
      <c r="X281" s="395"/>
      <c r="Y281" s="395"/>
      <c r="Z281" s="395"/>
      <c r="AA281" s="395"/>
    </row>
    <row r="282" ht="15.75" customHeight="1">
      <c r="A282" s="112"/>
      <c r="B282" s="112"/>
      <c r="C282" s="412" t="str">
        <f t="array" ref="C282">IFERROR(INDEX(#REF!,MATCH($B282,Fornecedores!$B$8:$B$200,0)),"")</f>
        <v/>
      </c>
      <c r="D282" s="112"/>
      <c r="E282" s="112"/>
      <c r="F282" s="432"/>
      <c r="G282" s="433"/>
      <c r="H282" s="434" t="str">
        <f t="array" ref="H282">IFERROR(IF($A282="Medição",IFERROR(INDEX(#REF!,MATCH($B282,Fornecedores!$B$8:$B$200,0)),""),""),"")</f>
        <v/>
      </c>
      <c r="I282" s="435" t="str">
        <f t="shared" si="1"/>
        <v/>
      </c>
      <c r="J282" s="436"/>
      <c r="K282" s="437" t="str">
        <f t="array" ref="K282">IFERROR(IF($A282="Medição",IFERROR(INDEX(#REF!,MATCH($B282,Fornecedores!$B$8:$B$200,0)),0),""),"")</f>
        <v/>
      </c>
      <c r="L282" s="438" t="str">
        <f t="shared" si="2"/>
        <v/>
      </c>
      <c r="M282" s="439"/>
      <c r="N282" s="440" t="str">
        <f t="shared" si="3"/>
        <v/>
      </c>
      <c r="O282" s="432"/>
      <c r="P282" s="112"/>
      <c r="Q282" s="112"/>
      <c r="R282" s="112"/>
      <c r="S282" s="432"/>
      <c r="T282" s="112"/>
      <c r="U282" s="112"/>
      <c r="V282" s="112"/>
      <c r="W282" s="395"/>
      <c r="X282" s="395"/>
      <c r="Y282" s="395"/>
      <c r="Z282" s="395"/>
      <c r="AA282" s="395"/>
    </row>
    <row r="283" ht="15.75" customHeight="1">
      <c r="A283" s="112"/>
      <c r="B283" s="112"/>
      <c r="C283" s="412" t="str">
        <f t="array" ref="C283">IFERROR(INDEX(#REF!,MATCH($B283,Fornecedores!$B$8:$B$200,0)),"")</f>
        <v/>
      </c>
      <c r="D283" s="112"/>
      <c r="E283" s="112"/>
      <c r="F283" s="432"/>
      <c r="G283" s="433"/>
      <c r="H283" s="434" t="str">
        <f t="array" ref="H283">IFERROR(IF($A283="Medição",IFERROR(INDEX(#REF!,MATCH($B283,Fornecedores!$B$8:$B$200,0)),""),""),"")</f>
        <v/>
      </c>
      <c r="I283" s="435" t="str">
        <f t="shared" si="1"/>
        <v/>
      </c>
      <c r="J283" s="436"/>
      <c r="K283" s="437" t="str">
        <f t="array" ref="K283">IFERROR(IF($A283="Medição",IFERROR(INDEX(#REF!,MATCH($B283,Fornecedores!$B$8:$B$200,0)),0),""),"")</f>
        <v/>
      </c>
      <c r="L283" s="438" t="str">
        <f t="shared" si="2"/>
        <v/>
      </c>
      <c r="M283" s="439"/>
      <c r="N283" s="440" t="str">
        <f t="shared" si="3"/>
        <v/>
      </c>
      <c r="O283" s="432"/>
      <c r="P283" s="112"/>
      <c r="Q283" s="112"/>
      <c r="R283" s="112"/>
      <c r="S283" s="432"/>
      <c r="T283" s="112"/>
      <c r="U283" s="112"/>
      <c r="V283" s="112"/>
      <c r="W283" s="395"/>
      <c r="X283" s="395"/>
      <c r="Y283" s="395"/>
      <c r="Z283" s="395"/>
      <c r="AA283" s="395"/>
    </row>
    <row r="284" ht="15.75" customHeight="1">
      <c r="A284" s="112"/>
      <c r="B284" s="112"/>
      <c r="C284" s="412" t="str">
        <f t="array" ref="C284">IFERROR(INDEX(#REF!,MATCH($B284,Fornecedores!$B$8:$B$200,0)),"")</f>
        <v/>
      </c>
      <c r="D284" s="112"/>
      <c r="E284" s="112"/>
      <c r="F284" s="432"/>
      <c r="G284" s="433"/>
      <c r="H284" s="434" t="str">
        <f t="array" ref="H284">IFERROR(IF($A284="Medição",IFERROR(INDEX(#REF!,MATCH($B284,Fornecedores!$B$8:$B$200,0)),""),""),"")</f>
        <v/>
      </c>
      <c r="I284" s="435" t="str">
        <f t="shared" si="1"/>
        <v/>
      </c>
      <c r="J284" s="436"/>
      <c r="K284" s="437" t="str">
        <f t="array" ref="K284">IFERROR(IF($A284="Medição",IFERROR(INDEX(#REF!,MATCH($B284,Fornecedores!$B$8:$B$200,0)),0),""),"")</f>
        <v/>
      </c>
      <c r="L284" s="438" t="str">
        <f t="shared" si="2"/>
        <v/>
      </c>
      <c r="M284" s="439"/>
      <c r="N284" s="440" t="str">
        <f t="shared" si="3"/>
        <v/>
      </c>
      <c r="O284" s="432"/>
      <c r="P284" s="112"/>
      <c r="Q284" s="112"/>
      <c r="R284" s="112"/>
      <c r="S284" s="432"/>
      <c r="T284" s="112"/>
      <c r="U284" s="112"/>
      <c r="V284" s="112"/>
      <c r="W284" s="395"/>
      <c r="X284" s="395"/>
      <c r="Y284" s="395"/>
      <c r="Z284" s="395"/>
      <c r="AA284" s="395"/>
    </row>
    <row r="285" ht="15.75" customHeight="1">
      <c r="A285" s="112"/>
      <c r="B285" s="112"/>
      <c r="C285" s="412" t="str">
        <f t="array" ref="C285">IFERROR(INDEX(#REF!,MATCH($B285,Fornecedores!$B$8:$B$200,0)),"")</f>
        <v/>
      </c>
      <c r="D285" s="112"/>
      <c r="E285" s="112"/>
      <c r="F285" s="432"/>
      <c r="G285" s="433"/>
      <c r="H285" s="434" t="str">
        <f t="array" ref="H285">IFERROR(IF($A285="Medição",IFERROR(INDEX(#REF!,MATCH($B285,Fornecedores!$B$8:$B$200,0)),""),""),"")</f>
        <v/>
      </c>
      <c r="I285" s="435" t="str">
        <f t="shared" si="1"/>
        <v/>
      </c>
      <c r="J285" s="436"/>
      <c r="K285" s="437" t="str">
        <f t="array" ref="K285">IFERROR(IF($A285="Medição",IFERROR(INDEX(#REF!,MATCH($B285,Fornecedores!$B$8:$B$200,0)),0),""),"")</f>
        <v/>
      </c>
      <c r="L285" s="438" t="str">
        <f t="shared" si="2"/>
        <v/>
      </c>
      <c r="M285" s="439"/>
      <c r="N285" s="440" t="str">
        <f t="shared" si="3"/>
        <v/>
      </c>
      <c r="O285" s="432"/>
      <c r="P285" s="112"/>
      <c r="Q285" s="112"/>
      <c r="R285" s="112"/>
      <c r="S285" s="432"/>
      <c r="T285" s="112"/>
      <c r="U285" s="112"/>
      <c r="V285" s="112"/>
      <c r="W285" s="395"/>
      <c r="X285" s="395"/>
      <c r="Y285" s="395"/>
      <c r="Z285" s="395"/>
      <c r="AA285" s="395"/>
    </row>
    <row r="286" ht="15.75" customHeight="1">
      <c r="A286" s="112"/>
      <c r="B286" s="112"/>
      <c r="C286" s="412" t="str">
        <f t="array" ref="C286">IFERROR(INDEX(#REF!,MATCH($B286,Fornecedores!$B$8:$B$200,0)),"")</f>
        <v/>
      </c>
      <c r="D286" s="112"/>
      <c r="E286" s="112"/>
      <c r="F286" s="432"/>
      <c r="G286" s="433"/>
      <c r="H286" s="434" t="str">
        <f t="array" ref="H286">IFERROR(IF($A286="Medição",IFERROR(INDEX(#REF!,MATCH($B286,Fornecedores!$B$8:$B$200,0)),""),""),"")</f>
        <v/>
      </c>
      <c r="I286" s="435" t="str">
        <f t="shared" si="1"/>
        <v/>
      </c>
      <c r="J286" s="436"/>
      <c r="K286" s="437" t="str">
        <f t="array" ref="K286">IFERROR(IF($A286="Medição",IFERROR(INDEX(#REF!,MATCH($B286,Fornecedores!$B$8:$B$200,0)),0),""),"")</f>
        <v/>
      </c>
      <c r="L286" s="438" t="str">
        <f t="shared" si="2"/>
        <v/>
      </c>
      <c r="M286" s="439"/>
      <c r="N286" s="440" t="str">
        <f t="shared" si="3"/>
        <v/>
      </c>
      <c r="O286" s="432"/>
      <c r="P286" s="112"/>
      <c r="Q286" s="112"/>
      <c r="R286" s="112"/>
      <c r="S286" s="432"/>
      <c r="T286" s="112"/>
      <c r="U286" s="112"/>
      <c r="V286" s="112"/>
      <c r="W286" s="395"/>
      <c r="X286" s="395"/>
      <c r="Y286" s="395"/>
      <c r="Z286" s="395"/>
      <c r="AA286" s="395"/>
    </row>
    <row r="287" ht="15.75" customHeight="1">
      <c r="A287" s="112"/>
      <c r="B287" s="112"/>
      <c r="C287" s="412" t="str">
        <f t="array" ref="C287">IFERROR(INDEX(#REF!,MATCH($B287,Fornecedores!$B$8:$B$200,0)),"")</f>
        <v/>
      </c>
      <c r="D287" s="112"/>
      <c r="E287" s="112"/>
      <c r="F287" s="432"/>
      <c r="G287" s="433"/>
      <c r="H287" s="434" t="str">
        <f t="array" ref="H287">IFERROR(IF($A287="Medição",IFERROR(INDEX(#REF!,MATCH($B287,Fornecedores!$B$8:$B$200,0)),""),""),"")</f>
        <v/>
      </c>
      <c r="I287" s="435" t="str">
        <f t="shared" si="1"/>
        <v/>
      </c>
      <c r="J287" s="436"/>
      <c r="K287" s="437" t="str">
        <f t="array" ref="K287">IFERROR(IF($A287="Medição",IFERROR(INDEX(#REF!,MATCH($B287,Fornecedores!$B$8:$B$200,0)),0),""),"")</f>
        <v/>
      </c>
      <c r="L287" s="438" t="str">
        <f t="shared" si="2"/>
        <v/>
      </c>
      <c r="M287" s="439"/>
      <c r="N287" s="440" t="str">
        <f t="shared" si="3"/>
        <v/>
      </c>
      <c r="O287" s="432"/>
      <c r="P287" s="112"/>
      <c r="Q287" s="112"/>
      <c r="R287" s="112"/>
      <c r="S287" s="432"/>
      <c r="T287" s="112"/>
      <c r="U287" s="112"/>
      <c r="V287" s="112"/>
      <c r="W287" s="395"/>
      <c r="X287" s="395"/>
      <c r="Y287" s="395"/>
      <c r="Z287" s="395"/>
      <c r="AA287" s="395"/>
    </row>
    <row r="288" ht="15.75" customHeight="1">
      <c r="A288" s="112"/>
      <c r="B288" s="112"/>
      <c r="C288" s="412" t="str">
        <f t="array" ref="C288">IFERROR(INDEX(#REF!,MATCH($B288,Fornecedores!$B$8:$B$200,0)),"")</f>
        <v/>
      </c>
      <c r="D288" s="112"/>
      <c r="E288" s="112"/>
      <c r="F288" s="432"/>
      <c r="G288" s="433"/>
      <c r="H288" s="434" t="str">
        <f t="array" ref="H288">IFERROR(IF($A288="Medição",IFERROR(INDEX(#REF!,MATCH($B288,Fornecedores!$B$8:$B$200,0)),""),""),"")</f>
        <v/>
      </c>
      <c r="I288" s="435" t="str">
        <f t="shared" si="1"/>
        <v/>
      </c>
      <c r="J288" s="436"/>
      <c r="K288" s="437" t="str">
        <f t="array" ref="K288">IFERROR(IF($A288="Medição",IFERROR(INDEX(#REF!,MATCH($B288,Fornecedores!$B$8:$B$200,0)),0),""),"")</f>
        <v/>
      </c>
      <c r="L288" s="438" t="str">
        <f t="shared" si="2"/>
        <v/>
      </c>
      <c r="M288" s="439"/>
      <c r="N288" s="440" t="str">
        <f t="shared" si="3"/>
        <v/>
      </c>
      <c r="O288" s="432"/>
      <c r="P288" s="112"/>
      <c r="Q288" s="112"/>
      <c r="R288" s="112"/>
      <c r="S288" s="432"/>
      <c r="T288" s="112"/>
      <c r="U288" s="112"/>
      <c r="V288" s="112"/>
      <c r="W288" s="395"/>
      <c r="X288" s="395"/>
      <c r="Y288" s="395"/>
      <c r="Z288" s="395"/>
      <c r="AA288" s="395"/>
    </row>
    <row r="289" ht="15.75" customHeight="1">
      <c r="A289" s="112"/>
      <c r="B289" s="112"/>
      <c r="C289" s="412" t="str">
        <f t="array" ref="C289">IFERROR(INDEX(#REF!,MATCH($B289,Fornecedores!$B$8:$B$200,0)),"")</f>
        <v/>
      </c>
      <c r="D289" s="112"/>
      <c r="E289" s="112"/>
      <c r="F289" s="432"/>
      <c r="G289" s="433"/>
      <c r="H289" s="434" t="str">
        <f t="array" ref="H289">IFERROR(IF($A289="Medição",IFERROR(INDEX(#REF!,MATCH($B289,Fornecedores!$B$8:$B$200,0)),""),""),"")</f>
        <v/>
      </c>
      <c r="I289" s="435" t="str">
        <f t="shared" si="1"/>
        <v/>
      </c>
      <c r="J289" s="436"/>
      <c r="K289" s="437" t="str">
        <f t="array" ref="K289">IFERROR(IF($A289="Medição",IFERROR(INDEX(#REF!,MATCH($B289,Fornecedores!$B$8:$B$200,0)),0),""),"")</f>
        <v/>
      </c>
      <c r="L289" s="438" t="str">
        <f t="shared" si="2"/>
        <v/>
      </c>
      <c r="M289" s="439"/>
      <c r="N289" s="440" t="str">
        <f t="shared" si="3"/>
        <v/>
      </c>
      <c r="O289" s="432"/>
      <c r="P289" s="112"/>
      <c r="Q289" s="112"/>
      <c r="R289" s="112"/>
      <c r="S289" s="432"/>
      <c r="T289" s="112"/>
      <c r="U289" s="112"/>
      <c r="V289" s="112"/>
      <c r="W289" s="395"/>
      <c r="X289" s="395"/>
      <c r="Y289" s="395"/>
      <c r="Z289" s="395"/>
      <c r="AA289" s="395"/>
    </row>
    <row r="290" ht="15.75" customHeight="1">
      <c r="A290" s="112"/>
      <c r="B290" s="112"/>
      <c r="C290" s="412" t="str">
        <f t="array" ref="C290">IFERROR(INDEX(#REF!,MATCH($B290,Fornecedores!$B$8:$B$200,0)),"")</f>
        <v/>
      </c>
      <c r="D290" s="112"/>
      <c r="E290" s="112"/>
      <c r="F290" s="432"/>
      <c r="G290" s="433"/>
      <c r="H290" s="434" t="str">
        <f t="array" ref="H290">IFERROR(IF($A290="Medição",IFERROR(INDEX(#REF!,MATCH($B290,Fornecedores!$B$8:$B$200,0)),""),""),"")</f>
        <v/>
      </c>
      <c r="I290" s="435" t="str">
        <f t="shared" si="1"/>
        <v/>
      </c>
      <c r="J290" s="436"/>
      <c r="K290" s="437" t="str">
        <f t="array" ref="K290">IFERROR(IF($A290="Medição",IFERROR(INDEX(#REF!,MATCH($B290,Fornecedores!$B$8:$B$200,0)),0),""),"")</f>
        <v/>
      </c>
      <c r="L290" s="438" t="str">
        <f t="shared" si="2"/>
        <v/>
      </c>
      <c r="M290" s="439"/>
      <c r="N290" s="440" t="str">
        <f t="shared" si="3"/>
        <v/>
      </c>
      <c r="O290" s="432"/>
      <c r="P290" s="112"/>
      <c r="Q290" s="112"/>
      <c r="R290" s="112"/>
      <c r="S290" s="432"/>
      <c r="T290" s="112"/>
      <c r="U290" s="112"/>
      <c r="V290" s="112"/>
      <c r="W290" s="395"/>
      <c r="X290" s="395"/>
      <c r="Y290" s="395"/>
      <c r="Z290" s="395"/>
      <c r="AA290" s="395"/>
    </row>
    <row r="291" ht="15.75" customHeight="1">
      <c r="A291" s="112"/>
      <c r="B291" s="112"/>
      <c r="C291" s="412" t="str">
        <f t="array" ref="C291">IFERROR(INDEX(#REF!,MATCH($B291,Fornecedores!$B$8:$B$200,0)),"")</f>
        <v/>
      </c>
      <c r="D291" s="112"/>
      <c r="E291" s="112"/>
      <c r="F291" s="432"/>
      <c r="G291" s="433"/>
      <c r="H291" s="434" t="str">
        <f t="array" ref="H291">IFERROR(IF($A291="Medição",IFERROR(INDEX(#REF!,MATCH($B291,Fornecedores!$B$8:$B$200,0)),""),""),"")</f>
        <v/>
      </c>
      <c r="I291" s="435" t="str">
        <f t="shared" si="1"/>
        <v/>
      </c>
      <c r="J291" s="436"/>
      <c r="K291" s="437" t="str">
        <f t="array" ref="K291">IFERROR(IF($A291="Medição",IFERROR(INDEX(#REF!,MATCH($B291,Fornecedores!$B$8:$B$200,0)),0),""),"")</f>
        <v/>
      </c>
      <c r="L291" s="438" t="str">
        <f t="shared" si="2"/>
        <v/>
      </c>
      <c r="M291" s="439"/>
      <c r="N291" s="440" t="str">
        <f t="shared" si="3"/>
        <v/>
      </c>
      <c r="O291" s="432"/>
      <c r="P291" s="112"/>
      <c r="Q291" s="112"/>
      <c r="R291" s="112"/>
      <c r="S291" s="432"/>
      <c r="T291" s="112"/>
      <c r="U291" s="112"/>
      <c r="V291" s="112"/>
      <c r="W291" s="395"/>
      <c r="X291" s="395"/>
      <c r="Y291" s="395"/>
      <c r="Z291" s="395"/>
      <c r="AA291" s="395"/>
    </row>
    <row r="292" ht="15.75" customHeight="1">
      <c r="A292" s="112"/>
      <c r="B292" s="112"/>
      <c r="C292" s="412" t="str">
        <f t="array" ref="C292">IFERROR(INDEX(#REF!,MATCH($B292,Fornecedores!$B$8:$B$200,0)),"")</f>
        <v/>
      </c>
      <c r="D292" s="112"/>
      <c r="E292" s="112"/>
      <c r="F292" s="432"/>
      <c r="G292" s="433"/>
      <c r="H292" s="434" t="str">
        <f t="array" ref="H292">IFERROR(IF($A292="Medição",IFERROR(INDEX(#REF!,MATCH($B292,Fornecedores!$B$8:$B$200,0)),""),""),"")</f>
        <v/>
      </c>
      <c r="I292" s="435" t="str">
        <f t="shared" si="1"/>
        <v/>
      </c>
      <c r="J292" s="436"/>
      <c r="K292" s="437" t="str">
        <f t="array" ref="K292">IFERROR(IF($A292="Medição",IFERROR(INDEX(#REF!,MATCH($B292,Fornecedores!$B$8:$B$200,0)),0),""),"")</f>
        <v/>
      </c>
      <c r="L292" s="438" t="str">
        <f t="shared" si="2"/>
        <v/>
      </c>
      <c r="M292" s="439"/>
      <c r="N292" s="440" t="str">
        <f t="shared" si="3"/>
        <v/>
      </c>
      <c r="O292" s="432"/>
      <c r="P292" s="112"/>
      <c r="Q292" s="112"/>
      <c r="R292" s="112"/>
      <c r="S292" s="432"/>
      <c r="T292" s="112"/>
      <c r="U292" s="112"/>
      <c r="V292" s="112"/>
      <c r="W292" s="395"/>
      <c r="X292" s="395"/>
      <c r="Y292" s="395"/>
      <c r="Z292" s="395"/>
      <c r="AA292" s="395"/>
    </row>
    <row r="293" ht="15.75" customHeight="1">
      <c r="A293" s="112"/>
      <c r="B293" s="112"/>
      <c r="C293" s="412" t="str">
        <f t="array" ref="C293">IFERROR(INDEX(#REF!,MATCH($B293,Fornecedores!$B$8:$B$200,0)),"")</f>
        <v/>
      </c>
      <c r="D293" s="112"/>
      <c r="E293" s="112"/>
      <c r="F293" s="432"/>
      <c r="G293" s="433"/>
      <c r="H293" s="434" t="str">
        <f t="array" ref="H293">IFERROR(IF($A293="Medição",IFERROR(INDEX(#REF!,MATCH($B293,Fornecedores!$B$8:$B$200,0)),""),""),"")</f>
        <v/>
      </c>
      <c r="I293" s="435" t="str">
        <f t="shared" si="1"/>
        <v/>
      </c>
      <c r="J293" s="436"/>
      <c r="K293" s="437" t="str">
        <f t="array" ref="K293">IFERROR(IF($A293="Medição",IFERROR(INDEX(#REF!,MATCH($B293,Fornecedores!$B$8:$B$200,0)),0),""),"")</f>
        <v/>
      </c>
      <c r="L293" s="438" t="str">
        <f t="shared" si="2"/>
        <v/>
      </c>
      <c r="M293" s="439"/>
      <c r="N293" s="440" t="str">
        <f t="shared" si="3"/>
        <v/>
      </c>
      <c r="O293" s="432"/>
      <c r="P293" s="112"/>
      <c r="Q293" s="112"/>
      <c r="R293" s="112"/>
      <c r="S293" s="432"/>
      <c r="T293" s="112"/>
      <c r="U293" s="112"/>
      <c r="V293" s="112"/>
      <c r="W293" s="395"/>
      <c r="X293" s="395"/>
      <c r="Y293" s="395"/>
      <c r="Z293" s="395"/>
      <c r="AA293" s="395"/>
    </row>
    <row r="294" ht="15.75" customHeight="1">
      <c r="A294" s="112"/>
      <c r="B294" s="112"/>
      <c r="C294" s="412" t="str">
        <f t="array" ref="C294">IFERROR(INDEX(#REF!,MATCH($B294,Fornecedores!$B$8:$B$200,0)),"")</f>
        <v/>
      </c>
      <c r="D294" s="112"/>
      <c r="E294" s="112"/>
      <c r="F294" s="432"/>
      <c r="G294" s="433"/>
      <c r="H294" s="434" t="str">
        <f t="array" ref="H294">IFERROR(IF($A294="Medição",IFERROR(INDEX(#REF!,MATCH($B294,Fornecedores!$B$8:$B$200,0)),""),""),"")</f>
        <v/>
      </c>
      <c r="I294" s="435" t="str">
        <f t="shared" si="1"/>
        <v/>
      </c>
      <c r="J294" s="436"/>
      <c r="K294" s="437" t="str">
        <f t="array" ref="K294">IFERROR(IF($A294="Medição",IFERROR(INDEX(#REF!,MATCH($B294,Fornecedores!$B$8:$B$200,0)),0),""),"")</f>
        <v/>
      </c>
      <c r="L294" s="438" t="str">
        <f t="shared" si="2"/>
        <v/>
      </c>
      <c r="M294" s="439"/>
      <c r="N294" s="440" t="str">
        <f t="shared" si="3"/>
        <v/>
      </c>
      <c r="O294" s="432"/>
      <c r="P294" s="112"/>
      <c r="Q294" s="112"/>
      <c r="R294" s="112"/>
      <c r="S294" s="432"/>
      <c r="T294" s="112"/>
      <c r="U294" s="112"/>
      <c r="V294" s="112"/>
      <c r="W294" s="395"/>
      <c r="X294" s="395"/>
      <c r="Y294" s="395"/>
      <c r="Z294" s="395"/>
      <c r="AA294" s="395"/>
    </row>
    <row r="295" ht="15.75" customHeight="1">
      <c r="A295" s="112"/>
      <c r="B295" s="112"/>
      <c r="C295" s="412" t="str">
        <f t="array" ref="C295">IFERROR(INDEX(#REF!,MATCH($B295,Fornecedores!$B$8:$B$200,0)),"")</f>
        <v/>
      </c>
      <c r="D295" s="112"/>
      <c r="E295" s="112"/>
      <c r="F295" s="432"/>
      <c r="G295" s="433"/>
      <c r="H295" s="434" t="str">
        <f t="array" ref="H295">IFERROR(IF($A295="Medição",IFERROR(INDEX(#REF!,MATCH($B295,Fornecedores!$B$8:$B$200,0)),""),""),"")</f>
        <v/>
      </c>
      <c r="I295" s="435" t="str">
        <f t="shared" si="1"/>
        <v/>
      </c>
      <c r="J295" s="436"/>
      <c r="K295" s="437" t="str">
        <f t="array" ref="K295">IFERROR(IF($A295="Medição",IFERROR(INDEX(#REF!,MATCH($B295,Fornecedores!$B$8:$B$200,0)),0),""),"")</f>
        <v/>
      </c>
      <c r="L295" s="438" t="str">
        <f t="shared" si="2"/>
        <v/>
      </c>
      <c r="M295" s="439"/>
      <c r="N295" s="440" t="str">
        <f t="shared" si="3"/>
        <v/>
      </c>
      <c r="O295" s="432"/>
      <c r="P295" s="112"/>
      <c r="Q295" s="112"/>
      <c r="R295" s="112"/>
      <c r="S295" s="432"/>
      <c r="T295" s="112"/>
      <c r="U295" s="112"/>
      <c r="V295" s="112"/>
      <c r="W295" s="395"/>
      <c r="X295" s="395"/>
      <c r="Y295" s="395"/>
      <c r="Z295" s="395"/>
      <c r="AA295" s="395"/>
    </row>
    <row r="296" ht="15.75" customHeight="1">
      <c r="A296" s="112"/>
      <c r="B296" s="112"/>
      <c r="C296" s="412" t="str">
        <f t="array" ref="C296">IFERROR(INDEX(#REF!,MATCH($B296,Fornecedores!$B$8:$B$200,0)),"")</f>
        <v/>
      </c>
      <c r="D296" s="112"/>
      <c r="E296" s="112"/>
      <c r="F296" s="432"/>
      <c r="G296" s="433"/>
      <c r="H296" s="434" t="str">
        <f t="array" ref="H296">IFERROR(IF($A296="Medição",IFERROR(INDEX(#REF!,MATCH($B296,Fornecedores!$B$8:$B$200,0)),""),""),"")</f>
        <v/>
      </c>
      <c r="I296" s="435" t="str">
        <f t="shared" si="1"/>
        <v/>
      </c>
      <c r="J296" s="436"/>
      <c r="K296" s="437" t="str">
        <f t="array" ref="K296">IFERROR(IF($A296="Medição",IFERROR(INDEX(#REF!,MATCH($B296,Fornecedores!$B$8:$B$200,0)),0),""),"")</f>
        <v/>
      </c>
      <c r="L296" s="438" t="str">
        <f t="shared" si="2"/>
        <v/>
      </c>
      <c r="M296" s="439"/>
      <c r="N296" s="440" t="str">
        <f t="shared" si="3"/>
        <v/>
      </c>
      <c r="O296" s="432"/>
      <c r="P296" s="112"/>
      <c r="Q296" s="112"/>
      <c r="R296" s="112"/>
      <c r="S296" s="432"/>
      <c r="T296" s="112"/>
      <c r="U296" s="112"/>
      <c r="V296" s="112"/>
      <c r="W296" s="395"/>
      <c r="X296" s="395"/>
      <c r="Y296" s="395"/>
      <c r="Z296" s="395"/>
      <c r="AA296" s="395"/>
    </row>
    <row r="297" ht="15.75" customHeight="1">
      <c r="A297" s="112"/>
      <c r="B297" s="112"/>
      <c r="C297" s="412" t="str">
        <f t="array" ref="C297">IFERROR(INDEX(#REF!,MATCH($B297,Fornecedores!$B$8:$B$200,0)),"")</f>
        <v/>
      </c>
      <c r="D297" s="112"/>
      <c r="E297" s="112"/>
      <c r="F297" s="432"/>
      <c r="G297" s="433"/>
      <c r="H297" s="434" t="str">
        <f t="array" ref="H297">IFERROR(IF($A297="Medição",IFERROR(INDEX(#REF!,MATCH($B297,Fornecedores!$B$8:$B$200,0)),""),""),"")</f>
        <v/>
      </c>
      <c r="I297" s="435" t="str">
        <f t="shared" si="1"/>
        <v/>
      </c>
      <c r="J297" s="436"/>
      <c r="K297" s="437" t="str">
        <f t="array" ref="K297">IFERROR(IF($A297="Medição",IFERROR(INDEX(#REF!,MATCH($B297,Fornecedores!$B$8:$B$200,0)),0),""),"")</f>
        <v/>
      </c>
      <c r="L297" s="438" t="str">
        <f t="shared" si="2"/>
        <v/>
      </c>
      <c r="M297" s="439"/>
      <c r="N297" s="440" t="str">
        <f t="shared" si="3"/>
        <v/>
      </c>
      <c r="O297" s="432"/>
      <c r="P297" s="112"/>
      <c r="Q297" s="112"/>
      <c r="R297" s="112"/>
      <c r="S297" s="432"/>
      <c r="T297" s="112"/>
      <c r="U297" s="112"/>
      <c r="V297" s="112"/>
      <c r="W297" s="395"/>
      <c r="X297" s="395"/>
      <c r="Y297" s="395"/>
      <c r="Z297" s="395"/>
      <c r="AA297" s="395"/>
    </row>
    <row r="298" ht="15.75" customHeight="1">
      <c r="A298" s="112"/>
      <c r="B298" s="112"/>
      <c r="C298" s="412" t="str">
        <f t="array" ref="C298">IFERROR(INDEX(#REF!,MATCH($B298,Fornecedores!$B$8:$B$200,0)),"")</f>
        <v/>
      </c>
      <c r="D298" s="112"/>
      <c r="E298" s="112"/>
      <c r="F298" s="432"/>
      <c r="G298" s="433"/>
      <c r="H298" s="434" t="str">
        <f t="array" ref="H298">IFERROR(IF($A298="Medição",IFERROR(INDEX(#REF!,MATCH($B298,Fornecedores!$B$8:$B$200,0)),""),""),"")</f>
        <v/>
      </c>
      <c r="I298" s="435" t="str">
        <f t="shared" si="1"/>
        <v/>
      </c>
      <c r="J298" s="436"/>
      <c r="K298" s="437" t="str">
        <f t="array" ref="K298">IFERROR(IF($A298="Medição",IFERROR(INDEX(#REF!,MATCH($B298,Fornecedores!$B$8:$B$200,0)),0),""),"")</f>
        <v/>
      </c>
      <c r="L298" s="438" t="str">
        <f t="shared" si="2"/>
        <v/>
      </c>
      <c r="M298" s="439"/>
      <c r="N298" s="440" t="str">
        <f t="shared" si="3"/>
        <v/>
      </c>
      <c r="O298" s="432"/>
      <c r="P298" s="112"/>
      <c r="Q298" s="112"/>
      <c r="R298" s="112"/>
      <c r="S298" s="432"/>
      <c r="T298" s="112"/>
      <c r="U298" s="112"/>
      <c r="V298" s="112"/>
      <c r="W298" s="395"/>
      <c r="X298" s="395"/>
      <c r="Y298" s="395"/>
      <c r="Z298" s="395"/>
      <c r="AA298" s="395"/>
    </row>
    <row r="299" ht="15.75" customHeight="1">
      <c r="A299" s="112"/>
      <c r="B299" s="112"/>
      <c r="C299" s="412" t="str">
        <f t="array" ref="C299">IFERROR(INDEX(#REF!,MATCH($B299,Fornecedores!$B$8:$B$200,0)),"")</f>
        <v/>
      </c>
      <c r="D299" s="112"/>
      <c r="E299" s="112"/>
      <c r="F299" s="432"/>
      <c r="G299" s="433"/>
      <c r="H299" s="434" t="str">
        <f t="array" ref="H299">IFERROR(IF($A299="Medição",IFERROR(INDEX(#REF!,MATCH($B299,Fornecedores!$B$8:$B$200,0)),""),""),"")</f>
        <v/>
      </c>
      <c r="I299" s="435" t="str">
        <f t="shared" si="1"/>
        <v/>
      </c>
      <c r="J299" s="436"/>
      <c r="K299" s="437" t="str">
        <f t="array" ref="K299">IFERROR(IF($A299="Medição",IFERROR(INDEX(#REF!,MATCH($B299,Fornecedores!$B$8:$B$200,0)),0),""),"")</f>
        <v/>
      </c>
      <c r="L299" s="438" t="str">
        <f t="shared" si="2"/>
        <v/>
      </c>
      <c r="M299" s="439"/>
      <c r="N299" s="440" t="str">
        <f t="shared" si="3"/>
        <v/>
      </c>
      <c r="O299" s="432"/>
      <c r="P299" s="112"/>
      <c r="Q299" s="112"/>
      <c r="R299" s="112"/>
      <c r="S299" s="432"/>
      <c r="T299" s="112"/>
      <c r="U299" s="112"/>
      <c r="V299" s="112"/>
      <c r="W299" s="395"/>
      <c r="X299" s="395"/>
      <c r="Y299" s="395"/>
      <c r="Z299" s="395"/>
      <c r="AA299" s="395"/>
    </row>
    <row r="300" ht="15.75" customHeight="1">
      <c r="A300" s="112"/>
      <c r="B300" s="112"/>
      <c r="C300" s="412" t="str">
        <f t="array" ref="C300">IFERROR(INDEX(#REF!,MATCH($B300,Fornecedores!$B$8:$B$200,0)),"")</f>
        <v/>
      </c>
      <c r="D300" s="112"/>
      <c r="E300" s="112"/>
      <c r="F300" s="432"/>
      <c r="G300" s="433"/>
      <c r="H300" s="434" t="str">
        <f t="array" ref="H300">IFERROR(IF($A300="Medição",IFERROR(INDEX(#REF!,MATCH($B300,Fornecedores!$B$8:$B$200,0)),""),""),"")</f>
        <v/>
      </c>
      <c r="I300" s="435" t="str">
        <f t="shared" si="1"/>
        <v/>
      </c>
      <c r="J300" s="436"/>
      <c r="K300" s="437" t="str">
        <f t="array" ref="K300">IFERROR(IF($A300="Medição",IFERROR(INDEX(#REF!,MATCH($B300,Fornecedores!$B$8:$B$200,0)),0),""),"")</f>
        <v/>
      </c>
      <c r="L300" s="438" t="str">
        <f t="shared" si="2"/>
        <v/>
      </c>
      <c r="M300" s="439"/>
      <c r="N300" s="440" t="str">
        <f t="shared" si="3"/>
        <v/>
      </c>
      <c r="O300" s="432"/>
      <c r="P300" s="112"/>
      <c r="Q300" s="112"/>
      <c r="R300" s="112"/>
      <c r="S300" s="432"/>
      <c r="T300" s="112"/>
      <c r="U300" s="112"/>
      <c r="V300" s="112"/>
      <c r="W300" s="395"/>
      <c r="X300" s="395"/>
      <c r="Y300" s="395"/>
      <c r="Z300" s="395"/>
      <c r="AA300" s="395"/>
    </row>
    <row r="301" ht="15.75" customHeight="1">
      <c r="A301" s="112"/>
      <c r="B301" s="112"/>
      <c r="C301" s="412" t="str">
        <f t="array" ref="C301">IFERROR(INDEX(#REF!,MATCH($B301,Fornecedores!$B$8:$B$200,0)),"")</f>
        <v/>
      </c>
      <c r="D301" s="112"/>
      <c r="E301" s="112"/>
      <c r="F301" s="432"/>
      <c r="G301" s="433"/>
      <c r="H301" s="434" t="str">
        <f t="array" ref="H301">IFERROR(IF($A301="Medição",IFERROR(INDEX(#REF!,MATCH($B301,Fornecedores!$B$8:$B$200,0)),""),""),"")</f>
        <v/>
      </c>
      <c r="I301" s="435" t="str">
        <f t="shared" si="1"/>
        <v/>
      </c>
      <c r="J301" s="436"/>
      <c r="K301" s="437" t="str">
        <f t="array" ref="K301">IFERROR(IF($A301="Medição",IFERROR(INDEX(#REF!,MATCH($B301,Fornecedores!$B$8:$B$200,0)),0),""),"")</f>
        <v/>
      </c>
      <c r="L301" s="438" t="str">
        <f t="shared" si="2"/>
        <v/>
      </c>
      <c r="M301" s="439"/>
      <c r="N301" s="440" t="str">
        <f t="shared" si="3"/>
        <v/>
      </c>
      <c r="O301" s="432"/>
      <c r="P301" s="112"/>
      <c r="Q301" s="112"/>
      <c r="R301" s="112"/>
      <c r="S301" s="432"/>
      <c r="T301" s="112"/>
      <c r="U301" s="112"/>
      <c r="V301" s="112"/>
      <c r="W301" s="395"/>
      <c r="X301" s="395"/>
      <c r="Y301" s="395"/>
      <c r="Z301" s="395"/>
      <c r="AA301" s="395"/>
    </row>
    <row r="302" ht="15.75" customHeight="1">
      <c r="A302" s="112"/>
      <c r="B302" s="112"/>
      <c r="C302" s="412" t="str">
        <f t="array" ref="C302">IFERROR(INDEX(#REF!,MATCH($B302,Fornecedores!$B$8:$B$200,0)),"")</f>
        <v/>
      </c>
      <c r="D302" s="112"/>
      <c r="E302" s="112"/>
      <c r="F302" s="432"/>
      <c r="G302" s="433"/>
      <c r="H302" s="434" t="str">
        <f t="array" ref="H302">IFERROR(IF($A302="Medição",IFERROR(INDEX(#REF!,MATCH($B302,Fornecedores!$B$8:$B$200,0)),""),""),"")</f>
        <v/>
      </c>
      <c r="I302" s="435" t="str">
        <f t="shared" si="1"/>
        <v/>
      </c>
      <c r="J302" s="436"/>
      <c r="K302" s="437" t="str">
        <f t="array" ref="K302">IFERROR(IF($A302="Medição",IFERROR(INDEX(#REF!,MATCH($B302,Fornecedores!$B$8:$B$200,0)),0),""),"")</f>
        <v/>
      </c>
      <c r="L302" s="438" t="str">
        <f t="shared" si="2"/>
        <v/>
      </c>
      <c r="M302" s="439"/>
      <c r="N302" s="440" t="str">
        <f t="shared" si="3"/>
        <v/>
      </c>
      <c r="O302" s="432"/>
      <c r="P302" s="112"/>
      <c r="Q302" s="112"/>
      <c r="R302" s="112"/>
      <c r="S302" s="432"/>
      <c r="T302" s="112"/>
      <c r="U302" s="112"/>
      <c r="V302" s="112"/>
      <c r="W302" s="395"/>
      <c r="X302" s="395"/>
      <c r="Y302" s="395"/>
      <c r="Z302" s="395"/>
      <c r="AA302" s="395"/>
    </row>
    <row r="303" ht="15.75" customHeight="1">
      <c r="A303" s="112"/>
      <c r="B303" s="112"/>
      <c r="C303" s="412" t="str">
        <f t="array" ref="C303">IFERROR(INDEX(#REF!,MATCH($B303,Fornecedores!$B$8:$B$200,0)),"")</f>
        <v/>
      </c>
      <c r="D303" s="112"/>
      <c r="E303" s="112"/>
      <c r="F303" s="432"/>
      <c r="G303" s="433"/>
      <c r="H303" s="434" t="str">
        <f t="array" ref="H303">IFERROR(IF($A303="Medição",IFERROR(INDEX(#REF!,MATCH($B303,Fornecedores!$B$8:$B$200,0)),""),""),"")</f>
        <v/>
      </c>
      <c r="I303" s="435" t="str">
        <f t="shared" si="1"/>
        <v/>
      </c>
      <c r="J303" s="436"/>
      <c r="K303" s="437" t="str">
        <f t="array" ref="K303">IFERROR(IF($A303="Medição",IFERROR(INDEX(#REF!,MATCH($B303,Fornecedores!$B$8:$B$200,0)),0),""),"")</f>
        <v/>
      </c>
      <c r="L303" s="438" t="str">
        <f t="shared" si="2"/>
        <v/>
      </c>
      <c r="M303" s="439"/>
      <c r="N303" s="440" t="str">
        <f t="shared" si="3"/>
        <v/>
      </c>
      <c r="O303" s="432"/>
      <c r="P303" s="112"/>
      <c r="Q303" s="112"/>
      <c r="R303" s="112"/>
      <c r="S303" s="432"/>
      <c r="T303" s="112"/>
      <c r="U303" s="112"/>
      <c r="V303" s="112"/>
      <c r="W303" s="395"/>
      <c r="X303" s="395"/>
      <c r="Y303" s="395"/>
      <c r="Z303" s="395"/>
      <c r="AA303" s="395"/>
    </row>
    <row r="304" ht="15.75" customHeight="1">
      <c r="A304" s="112"/>
      <c r="B304" s="112"/>
      <c r="C304" s="412" t="str">
        <f t="array" ref="C304">IFERROR(INDEX(#REF!,MATCH($B304,Fornecedores!$B$8:$B$200,0)),"")</f>
        <v/>
      </c>
      <c r="D304" s="112"/>
      <c r="E304" s="112"/>
      <c r="F304" s="432"/>
      <c r="G304" s="433"/>
      <c r="H304" s="434" t="str">
        <f t="array" ref="H304">IFERROR(IF($A304="Medição",IFERROR(INDEX(#REF!,MATCH($B304,Fornecedores!$B$8:$B$200,0)),""),""),"")</f>
        <v/>
      </c>
      <c r="I304" s="435" t="str">
        <f t="shared" si="1"/>
        <v/>
      </c>
      <c r="J304" s="436"/>
      <c r="K304" s="437" t="str">
        <f t="array" ref="K304">IFERROR(IF($A304="Medição",IFERROR(INDEX(#REF!,MATCH($B304,Fornecedores!$B$8:$B$200,0)),0),""),"")</f>
        <v/>
      </c>
      <c r="L304" s="438" t="str">
        <f t="shared" si="2"/>
        <v/>
      </c>
      <c r="M304" s="439"/>
      <c r="N304" s="440" t="str">
        <f t="shared" si="3"/>
        <v/>
      </c>
      <c r="O304" s="432"/>
      <c r="P304" s="112"/>
      <c r="Q304" s="112"/>
      <c r="R304" s="112"/>
      <c r="S304" s="432"/>
      <c r="T304" s="112"/>
      <c r="U304" s="112"/>
      <c r="V304" s="112"/>
      <c r="W304" s="395"/>
      <c r="X304" s="395"/>
      <c r="Y304" s="395"/>
      <c r="Z304" s="395"/>
      <c r="AA304" s="395"/>
    </row>
    <row r="305" ht="15.75" customHeight="1">
      <c r="A305" s="112"/>
      <c r="B305" s="112"/>
      <c r="C305" s="412" t="str">
        <f t="array" ref="C305">IFERROR(INDEX(#REF!,MATCH($B305,Fornecedores!$B$8:$B$200,0)),"")</f>
        <v/>
      </c>
      <c r="D305" s="112"/>
      <c r="E305" s="112"/>
      <c r="F305" s="432"/>
      <c r="G305" s="433"/>
      <c r="H305" s="434" t="str">
        <f t="array" ref="H305">IFERROR(IF($A305="Medição",IFERROR(INDEX(#REF!,MATCH($B305,Fornecedores!$B$8:$B$200,0)),""),""),"")</f>
        <v/>
      </c>
      <c r="I305" s="435" t="str">
        <f t="shared" si="1"/>
        <v/>
      </c>
      <c r="J305" s="436"/>
      <c r="K305" s="437" t="str">
        <f t="array" ref="K305">IFERROR(IF($A305="Medição",IFERROR(INDEX(#REF!,MATCH($B305,Fornecedores!$B$8:$B$200,0)),0),""),"")</f>
        <v/>
      </c>
      <c r="L305" s="438" t="str">
        <f t="shared" si="2"/>
        <v/>
      </c>
      <c r="M305" s="439"/>
      <c r="N305" s="440" t="str">
        <f t="shared" si="3"/>
        <v/>
      </c>
      <c r="O305" s="432"/>
      <c r="P305" s="112"/>
      <c r="Q305" s="112"/>
      <c r="R305" s="112"/>
      <c r="S305" s="432"/>
      <c r="T305" s="112"/>
      <c r="U305" s="112"/>
      <c r="V305" s="112"/>
      <c r="W305" s="395"/>
      <c r="X305" s="395"/>
      <c r="Y305" s="395"/>
      <c r="Z305" s="395"/>
      <c r="AA305" s="395"/>
    </row>
    <row r="306" ht="15.75" customHeight="1">
      <c r="A306" s="112"/>
      <c r="B306" s="112"/>
      <c r="C306" s="412" t="str">
        <f t="array" ref="C306">IFERROR(INDEX(#REF!,MATCH($B306,Fornecedores!$B$8:$B$200,0)),"")</f>
        <v/>
      </c>
      <c r="D306" s="112"/>
      <c r="E306" s="112"/>
      <c r="F306" s="432"/>
      <c r="G306" s="433"/>
      <c r="H306" s="434" t="str">
        <f t="array" ref="H306">IFERROR(IF($A306="Medição",IFERROR(INDEX(#REF!,MATCH($B306,Fornecedores!$B$8:$B$200,0)),""),""),"")</f>
        <v/>
      </c>
      <c r="I306" s="435" t="str">
        <f t="shared" si="1"/>
        <v/>
      </c>
      <c r="J306" s="436"/>
      <c r="K306" s="437" t="str">
        <f t="array" ref="K306">IFERROR(IF($A306="Medição",IFERROR(INDEX(#REF!,MATCH($B306,Fornecedores!$B$8:$B$200,0)),0),""),"")</f>
        <v/>
      </c>
      <c r="L306" s="438" t="str">
        <f t="shared" si="2"/>
        <v/>
      </c>
      <c r="M306" s="439"/>
      <c r="N306" s="440" t="str">
        <f t="shared" si="3"/>
        <v/>
      </c>
      <c r="O306" s="432"/>
      <c r="P306" s="112"/>
      <c r="Q306" s="112"/>
      <c r="R306" s="112"/>
      <c r="S306" s="432"/>
      <c r="T306" s="112"/>
      <c r="U306" s="112"/>
      <c r="V306" s="112"/>
      <c r="W306" s="395"/>
      <c r="X306" s="395"/>
      <c r="Y306" s="395"/>
      <c r="Z306" s="395"/>
      <c r="AA306" s="395"/>
    </row>
    <row r="307" ht="15.75" customHeight="1">
      <c r="A307" s="112"/>
      <c r="B307" s="112"/>
      <c r="C307" s="412" t="str">
        <f t="array" ref="C307">IFERROR(INDEX(#REF!,MATCH($B307,Fornecedores!$B$8:$B$200,0)),"")</f>
        <v/>
      </c>
      <c r="D307" s="112"/>
      <c r="E307" s="112"/>
      <c r="F307" s="432"/>
      <c r="G307" s="433"/>
      <c r="H307" s="434" t="str">
        <f t="array" ref="H307">IFERROR(IF($A307="Medição",IFERROR(INDEX(#REF!,MATCH($B307,Fornecedores!$B$8:$B$200,0)),""),""),"")</f>
        <v/>
      </c>
      <c r="I307" s="435" t="str">
        <f t="shared" si="1"/>
        <v/>
      </c>
      <c r="J307" s="436"/>
      <c r="K307" s="437" t="str">
        <f t="array" ref="K307">IFERROR(IF($A307="Medição",IFERROR(INDEX(#REF!,MATCH($B307,Fornecedores!$B$8:$B$200,0)),0),""),"")</f>
        <v/>
      </c>
      <c r="L307" s="438" t="str">
        <f t="shared" si="2"/>
        <v/>
      </c>
      <c r="M307" s="439"/>
      <c r="N307" s="440" t="str">
        <f t="shared" si="3"/>
        <v/>
      </c>
      <c r="O307" s="432"/>
      <c r="P307" s="112"/>
      <c r="Q307" s="112"/>
      <c r="R307" s="112"/>
      <c r="S307" s="432"/>
      <c r="T307" s="112"/>
      <c r="U307" s="112"/>
      <c r="V307" s="112"/>
      <c r="W307" s="395"/>
      <c r="X307" s="395"/>
      <c r="Y307" s="395"/>
      <c r="Z307" s="395"/>
      <c r="AA307" s="395"/>
    </row>
    <row r="308" ht="15.75" customHeight="1">
      <c r="A308" s="112"/>
      <c r="B308" s="112"/>
      <c r="C308" s="412" t="str">
        <f t="array" ref="C308">IFERROR(INDEX(#REF!,MATCH($B308,Fornecedores!$B$8:$B$200,0)),"")</f>
        <v/>
      </c>
      <c r="D308" s="112"/>
      <c r="E308" s="112"/>
      <c r="F308" s="432"/>
      <c r="G308" s="433"/>
      <c r="H308" s="434" t="str">
        <f t="array" ref="H308">IFERROR(IF($A308="Medição",IFERROR(INDEX(#REF!,MATCH($B308,Fornecedores!$B$8:$B$200,0)),""),""),"")</f>
        <v/>
      </c>
      <c r="I308" s="435" t="str">
        <f t="shared" si="1"/>
        <v/>
      </c>
      <c r="J308" s="436"/>
      <c r="K308" s="437" t="str">
        <f t="array" ref="K308">IFERROR(IF($A308="Medição",IFERROR(INDEX(#REF!,MATCH($B308,Fornecedores!$B$8:$B$200,0)),0),""),"")</f>
        <v/>
      </c>
      <c r="L308" s="438" t="str">
        <f t="shared" si="2"/>
        <v/>
      </c>
      <c r="M308" s="439"/>
      <c r="N308" s="440" t="str">
        <f t="shared" si="3"/>
        <v/>
      </c>
      <c r="O308" s="432"/>
      <c r="P308" s="112"/>
      <c r="Q308" s="112"/>
      <c r="R308" s="112"/>
      <c r="S308" s="432"/>
      <c r="T308" s="112"/>
      <c r="U308" s="112"/>
      <c r="V308" s="112"/>
      <c r="W308" s="395"/>
      <c r="X308" s="395"/>
      <c r="Y308" s="395"/>
      <c r="Z308" s="395"/>
      <c r="AA308" s="395"/>
    </row>
    <row r="309" ht="15.75" customHeight="1">
      <c r="A309" s="112"/>
      <c r="B309" s="112"/>
      <c r="C309" s="412" t="str">
        <f t="array" ref="C309">IFERROR(INDEX(#REF!,MATCH($B309,Fornecedores!$B$8:$B$200,0)),"")</f>
        <v/>
      </c>
      <c r="D309" s="112"/>
      <c r="E309" s="112"/>
      <c r="F309" s="432"/>
      <c r="G309" s="433"/>
      <c r="H309" s="434" t="str">
        <f t="array" ref="H309">IFERROR(IF($A309="Medição",IFERROR(INDEX(#REF!,MATCH($B309,Fornecedores!$B$8:$B$200,0)),""),""),"")</f>
        <v/>
      </c>
      <c r="I309" s="435" t="str">
        <f t="shared" si="1"/>
        <v/>
      </c>
      <c r="J309" s="436"/>
      <c r="K309" s="437" t="str">
        <f t="array" ref="K309">IFERROR(IF($A309="Medição",IFERROR(INDEX(#REF!,MATCH($B309,Fornecedores!$B$8:$B$200,0)),0),""),"")</f>
        <v/>
      </c>
      <c r="L309" s="438" t="str">
        <f t="shared" si="2"/>
        <v/>
      </c>
      <c r="M309" s="439"/>
      <c r="N309" s="440" t="str">
        <f t="shared" si="3"/>
        <v/>
      </c>
      <c r="O309" s="432"/>
      <c r="P309" s="112"/>
      <c r="Q309" s="112"/>
      <c r="R309" s="112"/>
      <c r="S309" s="432"/>
      <c r="T309" s="112"/>
      <c r="U309" s="112"/>
      <c r="V309" s="112"/>
      <c r="W309" s="395"/>
      <c r="X309" s="395"/>
      <c r="Y309" s="395"/>
      <c r="Z309" s="395"/>
      <c r="AA309" s="395"/>
    </row>
    <row r="310" ht="15.75" customHeight="1">
      <c r="A310" s="112"/>
      <c r="B310" s="112"/>
      <c r="C310" s="412" t="str">
        <f t="array" ref="C310">IFERROR(INDEX(#REF!,MATCH($B310,Fornecedores!$B$8:$B$200,0)),"")</f>
        <v/>
      </c>
      <c r="D310" s="112"/>
      <c r="E310" s="112"/>
      <c r="F310" s="432"/>
      <c r="G310" s="433"/>
      <c r="H310" s="434" t="str">
        <f t="array" ref="H310">IFERROR(IF($A310="Medição",IFERROR(INDEX(#REF!,MATCH($B310,Fornecedores!$B$8:$B$200,0)),""),""),"")</f>
        <v/>
      </c>
      <c r="I310" s="435" t="str">
        <f t="shared" si="1"/>
        <v/>
      </c>
      <c r="J310" s="436"/>
      <c r="K310" s="437" t="str">
        <f t="array" ref="K310">IFERROR(IF($A310="Medição",IFERROR(INDEX(#REF!,MATCH($B310,Fornecedores!$B$8:$B$200,0)),0),""),"")</f>
        <v/>
      </c>
      <c r="L310" s="438" t="str">
        <f t="shared" si="2"/>
        <v/>
      </c>
      <c r="M310" s="439"/>
      <c r="N310" s="440" t="str">
        <f t="shared" si="3"/>
        <v/>
      </c>
      <c r="O310" s="432"/>
      <c r="P310" s="112"/>
      <c r="Q310" s="112"/>
      <c r="R310" s="112"/>
      <c r="S310" s="432"/>
      <c r="T310" s="112"/>
      <c r="U310" s="112"/>
      <c r="V310" s="112"/>
      <c r="W310" s="395"/>
      <c r="X310" s="395"/>
      <c r="Y310" s="395"/>
      <c r="Z310" s="395"/>
      <c r="AA310" s="395"/>
    </row>
    <row r="311" ht="15.75" customHeight="1">
      <c r="A311" s="112"/>
      <c r="B311" s="112"/>
      <c r="C311" s="412" t="str">
        <f t="array" ref="C311">IFERROR(INDEX(#REF!,MATCH($B311,Fornecedores!$B$8:$B$200,0)),"")</f>
        <v/>
      </c>
      <c r="D311" s="112"/>
      <c r="E311" s="112"/>
      <c r="F311" s="432"/>
      <c r="G311" s="433"/>
      <c r="H311" s="434" t="str">
        <f t="array" ref="H311">IFERROR(IF($A311="Medição",IFERROR(INDEX(#REF!,MATCH($B311,Fornecedores!$B$8:$B$200,0)),""),""),"")</f>
        <v/>
      </c>
      <c r="I311" s="435" t="str">
        <f t="shared" si="1"/>
        <v/>
      </c>
      <c r="J311" s="436"/>
      <c r="K311" s="437" t="str">
        <f t="array" ref="K311">IFERROR(IF($A311="Medição",IFERROR(INDEX(#REF!,MATCH($B311,Fornecedores!$B$8:$B$200,0)),0),""),"")</f>
        <v/>
      </c>
      <c r="L311" s="438" t="str">
        <f t="shared" si="2"/>
        <v/>
      </c>
      <c r="M311" s="439"/>
      <c r="N311" s="440" t="str">
        <f t="shared" si="3"/>
        <v/>
      </c>
      <c r="O311" s="432"/>
      <c r="P311" s="112"/>
      <c r="Q311" s="112"/>
      <c r="R311" s="112"/>
      <c r="S311" s="432"/>
      <c r="T311" s="112"/>
      <c r="U311" s="112"/>
      <c r="V311" s="112"/>
      <c r="W311" s="395"/>
      <c r="X311" s="395"/>
      <c r="Y311" s="395"/>
      <c r="Z311" s="395"/>
      <c r="AA311" s="395"/>
    </row>
    <row r="312" ht="15.75" customHeight="1">
      <c r="A312" s="112"/>
      <c r="B312" s="112"/>
      <c r="C312" s="412" t="str">
        <f t="array" ref="C312">IFERROR(INDEX(#REF!,MATCH($B312,Fornecedores!$B$8:$B$200,0)),"")</f>
        <v/>
      </c>
      <c r="D312" s="112"/>
      <c r="E312" s="112"/>
      <c r="F312" s="432"/>
      <c r="G312" s="433"/>
      <c r="H312" s="434" t="str">
        <f t="array" ref="H312">IFERROR(IF($A312="Medição",IFERROR(INDEX(#REF!,MATCH($B312,Fornecedores!$B$8:$B$200,0)),""),""),"")</f>
        <v/>
      </c>
      <c r="I312" s="435" t="str">
        <f t="shared" si="1"/>
        <v/>
      </c>
      <c r="J312" s="436"/>
      <c r="K312" s="437" t="str">
        <f t="array" ref="K312">IFERROR(IF($A312="Medição",IFERROR(INDEX(#REF!,MATCH($B312,Fornecedores!$B$8:$B$200,0)),0),""),"")</f>
        <v/>
      </c>
      <c r="L312" s="438" t="str">
        <f t="shared" si="2"/>
        <v/>
      </c>
      <c r="M312" s="439"/>
      <c r="N312" s="440" t="str">
        <f t="shared" si="3"/>
        <v/>
      </c>
      <c r="O312" s="432"/>
      <c r="P312" s="112"/>
      <c r="Q312" s="112"/>
      <c r="R312" s="112"/>
      <c r="S312" s="432"/>
      <c r="T312" s="112"/>
      <c r="U312" s="112"/>
      <c r="V312" s="112"/>
      <c r="W312" s="395"/>
      <c r="X312" s="395"/>
      <c r="Y312" s="395"/>
      <c r="Z312" s="395"/>
      <c r="AA312" s="395"/>
    </row>
    <row r="313" ht="15.75" customHeight="1">
      <c r="A313" s="112"/>
      <c r="B313" s="112"/>
      <c r="C313" s="412" t="str">
        <f t="array" ref="C313">IFERROR(INDEX(#REF!,MATCH($B313,Fornecedores!$B$8:$B$200,0)),"")</f>
        <v/>
      </c>
      <c r="D313" s="112"/>
      <c r="E313" s="112"/>
      <c r="F313" s="432"/>
      <c r="G313" s="433"/>
      <c r="H313" s="434" t="str">
        <f t="array" ref="H313">IFERROR(IF($A313="Medição",IFERROR(INDEX(#REF!,MATCH($B313,Fornecedores!$B$8:$B$200,0)),""),""),"")</f>
        <v/>
      </c>
      <c r="I313" s="435" t="str">
        <f t="shared" si="1"/>
        <v/>
      </c>
      <c r="J313" s="436"/>
      <c r="K313" s="437" t="str">
        <f t="array" ref="K313">IFERROR(IF($A313="Medição",IFERROR(INDEX(#REF!,MATCH($B313,Fornecedores!$B$8:$B$200,0)),0),""),"")</f>
        <v/>
      </c>
      <c r="L313" s="438" t="str">
        <f t="shared" si="2"/>
        <v/>
      </c>
      <c r="M313" s="439"/>
      <c r="N313" s="440" t="str">
        <f t="shared" si="3"/>
        <v/>
      </c>
      <c r="O313" s="432"/>
      <c r="P313" s="112"/>
      <c r="Q313" s="112"/>
      <c r="R313" s="112"/>
      <c r="S313" s="432"/>
      <c r="T313" s="112"/>
      <c r="U313" s="112"/>
      <c r="V313" s="112"/>
      <c r="W313" s="395"/>
      <c r="X313" s="395"/>
      <c r="Y313" s="395"/>
      <c r="Z313" s="395"/>
      <c r="AA313" s="395"/>
    </row>
    <row r="314" ht="15.75" customHeight="1">
      <c r="A314" s="112"/>
      <c r="B314" s="112"/>
      <c r="C314" s="412" t="str">
        <f t="array" ref="C314">IFERROR(INDEX(#REF!,MATCH($B314,Fornecedores!$B$8:$B$200,0)),"")</f>
        <v/>
      </c>
      <c r="D314" s="112"/>
      <c r="E314" s="112"/>
      <c r="F314" s="432"/>
      <c r="G314" s="433"/>
      <c r="H314" s="434" t="str">
        <f t="array" ref="H314">IFERROR(IF($A314="Medição",IFERROR(INDEX(#REF!,MATCH($B314,Fornecedores!$B$8:$B$200,0)),""),""),"")</f>
        <v/>
      </c>
      <c r="I314" s="435" t="str">
        <f t="shared" si="1"/>
        <v/>
      </c>
      <c r="J314" s="436"/>
      <c r="K314" s="437" t="str">
        <f t="array" ref="K314">IFERROR(IF($A314="Medição",IFERROR(INDEX(#REF!,MATCH($B314,Fornecedores!$B$8:$B$200,0)),0),""),"")</f>
        <v/>
      </c>
      <c r="L314" s="438" t="str">
        <f t="shared" si="2"/>
        <v/>
      </c>
      <c r="M314" s="439"/>
      <c r="N314" s="440" t="str">
        <f t="shared" si="3"/>
        <v/>
      </c>
      <c r="O314" s="432"/>
      <c r="P314" s="112"/>
      <c r="Q314" s="112"/>
      <c r="R314" s="112"/>
      <c r="S314" s="432"/>
      <c r="T314" s="112"/>
      <c r="U314" s="112"/>
      <c r="V314" s="112"/>
      <c r="W314" s="395"/>
      <c r="X314" s="395"/>
      <c r="Y314" s="395"/>
      <c r="Z314" s="395"/>
      <c r="AA314" s="395"/>
    </row>
    <row r="315" ht="15.75" customHeight="1">
      <c r="A315" s="112"/>
      <c r="B315" s="112"/>
      <c r="C315" s="412" t="str">
        <f t="array" ref="C315">IFERROR(INDEX(#REF!,MATCH($B315,Fornecedores!$B$8:$B$200,0)),"")</f>
        <v/>
      </c>
      <c r="D315" s="112"/>
      <c r="E315" s="112"/>
      <c r="F315" s="432"/>
      <c r="G315" s="433"/>
      <c r="H315" s="434" t="str">
        <f t="array" ref="H315">IFERROR(IF($A315="Medição",IFERROR(INDEX(#REF!,MATCH($B315,Fornecedores!$B$8:$B$200,0)),""),""),"")</f>
        <v/>
      </c>
      <c r="I315" s="435" t="str">
        <f t="shared" si="1"/>
        <v/>
      </c>
      <c r="J315" s="436"/>
      <c r="K315" s="437" t="str">
        <f t="array" ref="K315">IFERROR(IF($A315="Medição",IFERROR(INDEX(#REF!,MATCH($B315,Fornecedores!$B$8:$B$200,0)),0),""),"")</f>
        <v/>
      </c>
      <c r="L315" s="438" t="str">
        <f t="shared" si="2"/>
        <v/>
      </c>
      <c r="M315" s="439"/>
      <c r="N315" s="440" t="str">
        <f t="shared" si="3"/>
        <v/>
      </c>
      <c r="O315" s="432"/>
      <c r="P315" s="112"/>
      <c r="Q315" s="112"/>
      <c r="R315" s="112"/>
      <c r="S315" s="432"/>
      <c r="T315" s="112"/>
      <c r="U315" s="112"/>
      <c r="V315" s="112"/>
      <c r="W315" s="395"/>
      <c r="X315" s="395"/>
      <c r="Y315" s="395"/>
      <c r="Z315" s="395"/>
      <c r="AA315" s="395"/>
    </row>
    <row r="316" ht="15.75" customHeight="1">
      <c r="A316" s="112"/>
      <c r="B316" s="112"/>
      <c r="C316" s="412" t="str">
        <f t="array" ref="C316">IFERROR(INDEX(#REF!,MATCH($B316,Fornecedores!$B$8:$B$200,0)),"")</f>
        <v/>
      </c>
      <c r="D316" s="112"/>
      <c r="E316" s="112"/>
      <c r="F316" s="432"/>
      <c r="G316" s="433"/>
      <c r="H316" s="434" t="str">
        <f t="array" ref="H316">IFERROR(IF($A316="Medição",IFERROR(INDEX(#REF!,MATCH($B316,Fornecedores!$B$8:$B$200,0)),""),""),"")</f>
        <v/>
      </c>
      <c r="I316" s="435" t="str">
        <f t="shared" si="1"/>
        <v/>
      </c>
      <c r="J316" s="436"/>
      <c r="K316" s="437" t="str">
        <f t="array" ref="K316">IFERROR(IF($A316="Medição",IFERROR(INDEX(#REF!,MATCH($B316,Fornecedores!$B$8:$B$200,0)),0),""),"")</f>
        <v/>
      </c>
      <c r="L316" s="438" t="str">
        <f t="shared" si="2"/>
        <v/>
      </c>
      <c r="M316" s="439"/>
      <c r="N316" s="440" t="str">
        <f t="shared" si="3"/>
        <v/>
      </c>
      <c r="O316" s="432"/>
      <c r="P316" s="112"/>
      <c r="Q316" s="112"/>
      <c r="R316" s="112"/>
      <c r="S316" s="432"/>
      <c r="T316" s="112"/>
      <c r="U316" s="112"/>
      <c r="V316" s="112"/>
      <c r="W316" s="395"/>
      <c r="X316" s="395"/>
      <c r="Y316" s="395"/>
      <c r="Z316" s="395"/>
      <c r="AA316" s="395"/>
    </row>
    <row r="317" ht="15.75" customHeight="1">
      <c r="A317" s="112"/>
      <c r="B317" s="112"/>
      <c r="C317" s="412" t="str">
        <f t="array" ref="C317">IFERROR(INDEX(#REF!,MATCH($B317,Fornecedores!$B$8:$B$200,0)),"")</f>
        <v/>
      </c>
      <c r="D317" s="112"/>
      <c r="E317" s="112"/>
      <c r="F317" s="432"/>
      <c r="G317" s="433"/>
      <c r="H317" s="434" t="str">
        <f t="array" ref="H317">IFERROR(IF($A317="Medição",IFERROR(INDEX(#REF!,MATCH($B317,Fornecedores!$B$8:$B$200,0)),""),""),"")</f>
        <v/>
      </c>
      <c r="I317" s="435" t="str">
        <f t="shared" si="1"/>
        <v/>
      </c>
      <c r="J317" s="436"/>
      <c r="K317" s="437" t="str">
        <f t="array" ref="K317">IFERROR(IF($A317="Medição",IFERROR(INDEX(#REF!,MATCH($B317,Fornecedores!$B$8:$B$200,0)),0),""),"")</f>
        <v/>
      </c>
      <c r="L317" s="438" t="str">
        <f t="shared" si="2"/>
        <v/>
      </c>
      <c r="M317" s="439"/>
      <c r="N317" s="440" t="str">
        <f t="shared" si="3"/>
        <v/>
      </c>
      <c r="O317" s="432"/>
      <c r="P317" s="112"/>
      <c r="Q317" s="112"/>
      <c r="R317" s="112"/>
      <c r="S317" s="432"/>
      <c r="T317" s="112"/>
      <c r="U317" s="112"/>
      <c r="V317" s="112"/>
      <c r="W317" s="395"/>
      <c r="X317" s="395"/>
      <c r="Y317" s="395"/>
      <c r="Z317" s="395"/>
      <c r="AA317" s="395"/>
    </row>
    <row r="318" ht="15.75" customHeight="1">
      <c r="A318" s="112"/>
      <c r="B318" s="112"/>
      <c r="C318" s="412" t="str">
        <f t="array" ref="C318">IFERROR(INDEX(#REF!,MATCH($B318,Fornecedores!$B$8:$B$200,0)),"")</f>
        <v/>
      </c>
      <c r="D318" s="112"/>
      <c r="E318" s="112"/>
      <c r="F318" s="432"/>
      <c r="G318" s="433"/>
      <c r="H318" s="434" t="str">
        <f t="array" ref="H318">IFERROR(IF($A318="Medição",IFERROR(INDEX(#REF!,MATCH($B318,Fornecedores!$B$8:$B$200,0)),""),""),"")</f>
        <v/>
      </c>
      <c r="I318" s="435" t="str">
        <f t="shared" si="1"/>
        <v/>
      </c>
      <c r="J318" s="436"/>
      <c r="K318" s="437" t="str">
        <f t="array" ref="K318">IFERROR(IF($A318="Medição",IFERROR(INDEX(#REF!,MATCH($B318,Fornecedores!$B$8:$B$200,0)),0),""),"")</f>
        <v/>
      </c>
      <c r="L318" s="438" t="str">
        <f t="shared" si="2"/>
        <v/>
      </c>
      <c r="M318" s="439"/>
      <c r="N318" s="440" t="str">
        <f t="shared" si="3"/>
        <v/>
      </c>
      <c r="O318" s="432"/>
      <c r="P318" s="112"/>
      <c r="Q318" s="112"/>
      <c r="R318" s="112"/>
      <c r="S318" s="432"/>
      <c r="T318" s="112"/>
      <c r="U318" s="112"/>
      <c r="V318" s="112"/>
      <c r="W318" s="395"/>
      <c r="X318" s="395"/>
      <c r="Y318" s="395"/>
      <c r="Z318" s="395"/>
      <c r="AA318" s="395"/>
    </row>
    <row r="319" ht="15.75" customHeight="1">
      <c r="A319" s="112"/>
      <c r="B319" s="112"/>
      <c r="C319" s="412" t="str">
        <f t="array" ref="C319">IFERROR(INDEX(#REF!,MATCH($B319,Fornecedores!$B$8:$B$200,0)),"")</f>
        <v/>
      </c>
      <c r="D319" s="112"/>
      <c r="E319" s="112"/>
      <c r="F319" s="432"/>
      <c r="G319" s="433"/>
      <c r="H319" s="434" t="str">
        <f t="array" ref="H319">IFERROR(IF($A319="Medição",IFERROR(INDEX(#REF!,MATCH($B319,Fornecedores!$B$8:$B$200,0)),""),""),"")</f>
        <v/>
      </c>
      <c r="I319" s="435" t="str">
        <f t="shared" si="1"/>
        <v/>
      </c>
      <c r="J319" s="436"/>
      <c r="K319" s="437" t="str">
        <f t="array" ref="K319">IFERROR(IF($A319="Medição",IFERROR(INDEX(#REF!,MATCH($B319,Fornecedores!$B$8:$B$200,0)),0),""),"")</f>
        <v/>
      </c>
      <c r="L319" s="438" t="str">
        <f t="shared" si="2"/>
        <v/>
      </c>
      <c r="M319" s="439"/>
      <c r="N319" s="440" t="str">
        <f t="shared" si="3"/>
        <v/>
      </c>
      <c r="O319" s="432"/>
      <c r="P319" s="112"/>
      <c r="Q319" s="112"/>
      <c r="R319" s="112"/>
      <c r="S319" s="432"/>
      <c r="T319" s="112"/>
      <c r="U319" s="112"/>
      <c r="V319" s="112"/>
      <c r="W319" s="395"/>
      <c r="X319" s="395"/>
      <c r="Y319" s="395"/>
      <c r="Z319" s="395"/>
      <c r="AA319" s="395"/>
    </row>
    <row r="320" ht="15.75" customHeight="1">
      <c r="A320" s="112"/>
      <c r="B320" s="112"/>
      <c r="C320" s="412" t="str">
        <f t="array" ref="C320">IFERROR(INDEX(#REF!,MATCH($B320,Fornecedores!$B$8:$B$200,0)),"")</f>
        <v/>
      </c>
      <c r="D320" s="112"/>
      <c r="E320" s="112"/>
      <c r="F320" s="432"/>
      <c r="G320" s="433"/>
      <c r="H320" s="434" t="str">
        <f t="array" ref="H320">IFERROR(IF($A320="Medição",IFERROR(INDEX(#REF!,MATCH($B320,Fornecedores!$B$8:$B$200,0)),""),""),"")</f>
        <v/>
      </c>
      <c r="I320" s="435" t="str">
        <f t="shared" si="1"/>
        <v/>
      </c>
      <c r="J320" s="436"/>
      <c r="K320" s="437" t="str">
        <f t="array" ref="K320">IFERROR(IF($A320="Medição",IFERROR(INDEX(#REF!,MATCH($B320,Fornecedores!$B$8:$B$200,0)),0),""),"")</f>
        <v/>
      </c>
      <c r="L320" s="438" t="str">
        <f t="shared" si="2"/>
        <v/>
      </c>
      <c r="M320" s="439"/>
      <c r="N320" s="440" t="str">
        <f t="shared" si="3"/>
        <v/>
      </c>
      <c r="O320" s="432"/>
      <c r="P320" s="112"/>
      <c r="Q320" s="112"/>
      <c r="R320" s="112"/>
      <c r="S320" s="432"/>
      <c r="T320" s="112"/>
      <c r="U320" s="112"/>
      <c r="V320" s="112"/>
      <c r="W320" s="395"/>
      <c r="X320" s="395"/>
      <c r="Y320" s="395"/>
      <c r="Z320" s="395"/>
      <c r="AA320" s="395"/>
    </row>
    <row r="321" ht="15.75" customHeight="1">
      <c r="A321" s="112"/>
      <c r="B321" s="112"/>
      <c r="C321" s="412" t="str">
        <f t="array" ref="C321">IFERROR(INDEX(#REF!,MATCH($B321,Fornecedores!$B$8:$B$200,0)),"")</f>
        <v/>
      </c>
      <c r="D321" s="112"/>
      <c r="E321" s="112"/>
      <c r="F321" s="432"/>
      <c r="G321" s="433"/>
      <c r="H321" s="434" t="str">
        <f t="array" ref="H321">IFERROR(IF($A321="Medição",IFERROR(INDEX(#REF!,MATCH($B321,Fornecedores!$B$8:$B$200,0)),""),""),"")</f>
        <v/>
      </c>
      <c r="I321" s="435" t="str">
        <f t="shared" si="1"/>
        <v/>
      </c>
      <c r="J321" s="436"/>
      <c r="K321" s="437" t="str">
        <f t="array" ref="K321">IFERROR(IF($A321="Medição",IFERROR(INDEX(#REF!,MATCH($B321,Fornecedores!$B$8:$B$200,0)),0),""),"")</f>
        <v/>
      </c>
      <c r="L321" s="438" t="str">
        <f t="shared" si="2"/>
        <v/>
      </c>
      <c r="M321" s="439"/>
      <c r="N321" s="440" t="str">
        <f t="shared" si="3"/>
        <v/>
      </c>
      <c r="O321" s="432"/>
      <c r="P321" s="112"/>
      <c r="Q321" s="112"/>
      <c r="R321" s="112"/>
      <c r="S321" s="432"/>
      <c r="T321" s="112"/>
      <c r="U321" s="112"/>
      <c r="V321" s="112"/>
      <c r="W321" s="395"/>
      <c r="X321" s="395"/>
      <c r="Y321" s="395"/>
      <c r="Z321" s="395"/>
      <c r="AA321" s="395"/>
    </row>
    <row r="322" ht="15.75" customHeight="1">
      <c r="A322" s="112"/>
      <c r="B322" s="112"/>
      <c r="C322" s="412" t="str">
        <f t="array" ref="C322">IFERROR(INDEX(#REF!,MATCH($B322,Fornecedores!$B$8:$B$200,0)),"")</f>
        <v/>
      </c>
      <c r="D322" s="112"/>
      <c r="E322" s="112"/>
      <c r="F322" s="432"/>
      <c r="G322" s="433"/>
      <c r="H322" s="434" t="str">
        <f t="array" ref="H322">IFERROR(IF($A322="Medição",IFERROR(INDEX(#REF!,MATCH($B322,Fornecedores!$B$8:$B$200,0)),""),""),"")</f>
        <v/>
      </c>
      <c r="I322" s="435" t="str">
        <f t="shared" si="1"/>
        <v/>
      </c>
      <c r="J322" s="436"/>
      <c r="K322" s="437" t="str">
        <f t="array" ref="K322">IFERROR(IF($A322="Medição",IFERROR(INDEX(#REF!,MATCH($B322,Fornecedores!$B$8:$B$200,0)),0),""),"")</f>
        <v/>
      </c>
      <c r="L322" s="438" t="str">
        <f t="shared" si="2"/>
        <v/>
      </c>
      <c r="M322" s="439"/>
      <c r="N322" s="440" t="str">
        <f t="shared" si="3"/>
        <v/>
      </c>
      <c r="O322" s="432"/>
      <c r="P322" s="112"/>
      <c r="Q322" s="112"/>
      <c r="R322" s="112"/>
      <c r="S322" s="432"/>
      <c r="T322" s="112"/>
      <c r="U322" s="112"/>
      <c r="V322" s="112"/>
      <c r="W322" s="395"/>
      <c r="X322" s="395"/>
      <c r="Y322" s="395"/>
      <c r="Z322" s="395"/>
      <c r="AA322" s="395"/>
    </row>
    <row r="323" ht="15.75" customHeight="1">
      <c r="A323" s="112"/>
      <c r="B323" s="112"/>
      <c r="C323" s="412" t="str">
        <f t="array" ref="C323">IFERROR(INDEX(#REF!,MATCH($B323,Fornecedores!$B$8:$B$200,0)),"")</f>
        <v/>
      </c>
      <c r="D323" s="112"/>
      <c r="E323" s="112"/>
      <c r="F323" s="432"/>
      <c r="G323" s="433"/>
      <c r="H323" s="434" t="str">
        <f t="array" ref="H323">IFERROR(IF($A323="Medição",IFERROR(INDEX(#REF!,MATCH($B323,Fornecedores!$B$8:$B$200,0)),""),""),"")</f>
        <v/>
      </c>
      <c r="I323" s="435" t="str">
        <f t="shared" si="1"/>
        <v/>
      </c>
      <c r="J323" s="436"/>
      <c r="K323" s="437" t="str">
        <f t="array" ref="K323">IFERROR(IF($A323="Medição",IFERROR(INDEX(#REF!,MATCH($B323,Fornecedores!$B$8:$B$200,0)),0),""),"")</f>
        <v/>
      </c>
      <c r="L323" s="438" t="str">
        <f t="shared" si="2"/>
        <v/>
      </c>
      <c r="M323" s="439"/>
      <c r="N323" s="440" t="str">
        <f t="shared" si="3"/>
        <v/>
      </c>
      <c r="O323" s="432"/>
      <c r="P323" s="112"/>
      <c r="Q323" s="112"/>
      <c r="R323" s="112"/>
      <c r="S323" s="432"/>
      <c r="T323" s="112"/>
      <c r="U323" s="112"/>
      <c r="V323" s="112"/>
      <c r="W323" s="395"/>
      <c r="X323" s="395"/>
      <c r="Y323" s="395"/>
      <c r="Z323" s="395"/>
      <c r="AA323" s="395"/>
    </row>
    <row r="324" ht="15.75" customHeight="1">
      <c r="A324" s="112"/>
      <c r="B324" s="112"/>
      <c r="C324" s="412" t="str">
        <f t="array" ref="C324">IFERROR(INDEX(#REF!,MATCH($B324,Fornecedores!$B$8:$B$200,0)),"")</f>
        <v/>
      </c>
      <c r="D324" s="112"/>
      <c r="E324" s="112"/>
      <c r="F324" s="432"/>
      <c r="G324" s="433"/>
      <c r="H324" s="434" t="str">
        <f t="array" ref="H324">IFERROR(IF($A324="Medição",IFERROR(INDEX(#REF!,MATCH($B324,Fornecedores!$B$8:$B$200,0)),""),""),"")</f>
        <v/>
      </c>
      <c r="I324" s="435" t="str">
        <f t="shared" si="1"/>
        <v/>
      </c>
      <c r="J324" s="436"/>
      <c r="K324" s="437" t="str">
        <f t="array" ref="K324">IFERROR(IF($A324="Medição",IFERROR(INDEX(#REF!,MATCH($B324,Fornecedores!$B$8:$B$200,0)),0),""),"")</f>
        <v/>
      </c>
      <c r="L324" s="438" t="str">
        <f t="shared" si="2"/>
        <v/>
      </c>
      <c r="M324" s="439"/>
      <c r="N324" s="440" t="str">
        <f t="shared" si="3"/>
        <v/>
      </c>
      <c r="O324" s="432"/>
      <c r="P324" s="112"/>
      <c r="Q324" s="112"/>
      <c r="R324" s="112"/>
      <c r="S324" s="432"/>
      <c r="T324" s="112"/>
      <c r="U324" s="112"/>
      <c r="V324" s="112"/>
      <c r="W324" s="395"/>
      <c r="X324" s="395"/>
      <c r="Y324" s="395"/>
      <c r="Z324" s="395"/>
      <c r="AA324" s="395"/>
    </row>
    <row r="325" ht="15.75" customHeight="1">
      <c r="A325" s="112"/>
      <c r="B325" s="112"/>
      <c r="C325" s="412" t="str">
        <f t="array" ref="C325">IFERROR(INDEX(#REF!,MATCH($B325,Fornecedores!$B$8:$B$200,0)),"")</f>
        <v/>
      </c>
      <c r="D325" s="112"/>
      <c r="E325" s="112"/>
      <c r="F325" s="432"/>
      <c r="G325" s="433"/>
      <c r="H325" s="434" t="str">
        <f t="array" ref="H325">IFERROR(IF($A325="Medição",IFERROR(INDEX(#REF!,MATCH($B325,Fornecedores!$B$8:$B$200,0)),""),""),"")</f>
        <v/>
      </c>
      <c r="I325" s="435" t="str">
        <f t="shared" si="1"/>
        <v/>
      </c>
      <c r="J325" s="436"/>
      <c r="K325" s="437" t="str">
        <f t="array" ref="K325">IFERROR(IF($A325="Medição",IFERROR(INDEX(#REF!,MATCH($B325,Fornecedores!$B$8:$B$200,0)),0),""),"")</f>
        <v/>
      </c>
      <c r="L325" s="438" t="str">
        <f t="shared" si="2"/>
        <v/>
      </c>
      <c r="M325" s="439"/>
      <c r="N325" s="440" t="str">
        <f t="shared" si="3"/>
        <v/>
      </c>
      <c r="O325" s="432"/>
      <c r="P325" s="112"/>
      <c r="Q325" s="112"/>
      <c r="R325" s="112"/>
      <c r="S325" s="432"/>
      <c r="T325" s="112"/>
      <c r="U325" s="112"/>
      <c r="V325" s="112"/>
      <c r="W325" s="395"/>
      <c r="X325" s="395"/>
      <c r="Y325" s="395"/>
      <c r="Z325" s="395"/>
      <c r="AA325" s="395"/>
    </row>
    <row r="326" ht="15.75" customHeight="1">
      <c r="A326" s="112"/>
      <c r="B326" s="112"/>
      <c r="C326" s="412" t="str">
        <f t="array" ref="C326">IFERROR(INDEX(#REF!,MATCH($B326,Fornecedores!$B$8:$B$200,0)),"")</f>
        <v/>
      </c>
      <c r="D326" s="112"/>
      <c r="E326" s="112"/>
      <c r="F326" s="432"/>
      <c r="G326" s="433"/>
      <c r="H326" s="434" t="str">
        <f t="array" ref="H326">IFERROR(IF($A326="Medição",IFERROR(INDEX(#REF!,MATCH($B326,Fornecedores!$B$8:$B$200,0)),""),""),"")</f>
        <v/>
      </c>
      <c r="I326" s="435" t="str">
        <f t="shared" si="1"/>
        <v/>
      </c>
      <c r="J326" s="436"/>
      <c r="K326" s="437" t="str">
        <f t="array" ref="K326">IFERROR(IF($A326="Medição",IFERROR(INDEX(#REF!,MATCH($B326,Fornecedores!$B$8:$B$200,0)),0),""),"")</f>
        <v/>
      </c>
      <c r="L326" s="438" t="str">
        <f t="shared" si="2"/>
        <v/>
      </c>
      <c r="M326" s="439"/>
      <c r="N326" s="440" t="str">
        <f t="shared" si="3"/>
        <v/>
      </c>
      <c r="O326" s="432"/>
      <c r="P326" s="112"/>
      <c r="Q326" s="112"/>
      <c r="R326" s="112"/>
      <c r="S326" s="432"/>
      <c r="T326" s="112"/>
      <c r="U326" s="112"/>
      <c r="V326" s="112"/>
      <c r="W326" s="395"/>
      <c r="X326" s="395"/>
      <c r="Y326" s="395"/>
      <c r="Z326" s="395"/>
      <c r="AA326" s="395"/>
    </row>
    <row r="327" ht="15.75" customHeight="1">
      <c r="A327" s="112"/>
      <c r="B327" s="112"/>
      <c r="C327" s="412" t="str">
        <f t="array" ref="C327">IFERROR(INDEX(#REF!,MATCH($B327,Fornecedores!$B$8:$B$200,0)),"")</f>
        <v/>
      </c>
      <c r="D327" s="112"/>
      <c r="E327" s="112"/>
      <c r="F327" s="432"/>
      <c r="G327" s="433"/>
      <c r="H327" s="434" t="str">
        <f t="array" ref="H327">IFERROR(IF($A327="Medição",IFERROR(INDEX(#REF!,MATCH($B327,Fornecedores!$B$8:$B$200,0)),""),""),"")</f>
        <v/>
      </c>
      <c r="I327" s="435" t="str">
        <f t="shared" si="1"/>
        <v/>
      </c>
      <c r="J327" s="436"/>
      <c r="K327" s="437" t="str">
        <f t="array" ref="K327">IFERROR(IF($A327="Medição",IFERROR(INDEX(#REF!,MATCH($B327,Fornecedores!$B$8:$B$200,0)),0),""),"")</f>
        <v/>
      </c>
      <c r="L327" s="438" t="str">
        <f t="shared" si="2"/>
        <v/>
      </c>
      <c r="M327" s="439"/>
      <c r="N327" s="440" t="str">
        <f t="shared" si="3"/>
        <v/>
      </c>
      <c r="O327" s="432"/>
      <c r="P327" s="112"/>
      <c r="Q327" s="112"/>
      <c r="R327" s="112"/>
      <c r="S327" s="432"/>
      <c r="T327" s="112"/>
      <c r="U327" s="112"/>
      <c r="V327" s="112"/>
      <c r="W327" s="395"/>
      <c r="X327" s="395"/>
      <c r="Y327" s="395"/>
      <c r="Z327" s="395"/>
      <c r="AA327" s="395"/>
    </row>
    <row r="328" ht="15.75" customHeight="1">
      <c r="A328" s="112"/>
      <c r="B328" s="112"/>
      <c r="C328" s="412" t="str">
        <f t="array" ref="C328">IFERROR(INDEX(#REF!,MATCH($B328,Fornecedores!$B$8:$B$200,0)),"")</f>
        <v/>
      </c>
      <c r="D328" s="112"/>
      <c r="E328" s="112"/>
      <c r="F328" s="432"/>
      <c r="G328" s="433"/>
      <c r="H328" s="434" t="str">
        <f t="array" ref="H328">IFERROR(IF($A328="Medição",IFERROR(INDEX(#REF!,MATCH($B328,Fornecedores!$B$8:$B$200,0)),""),""),"")</f>
        <v/>
      </c>
      <c r="I328" s="435" t="str">
        <f t="shared" si="1"/>
        <v/>
      </c>
      <c r="J328" s="436"/>
      <c r="K328" s="437" t="str">
        <f t="array" ref="K328">IFERROR(IF($A328="Medição",IFERROR(INDEX(#REF!,MATCH($B328,Fornecedores!$B$8:$B$200,0)),0),""),"")</f>
        <v/>
      </c>
      <c r="L328" s="438" t="str">
        <f t="shared" si="2"/>
        <v/>
      </c>
      <c r="M328" s="439"/>
      <c r="N328" s="440" t="str">
        <f t="shared" si="3"/>
        <v/>
      </c>
      <c r="O328" s="432"/>
      <c r="P328" s="112"/>
      <c r="Q328" s="112"/>
      <c r="R328" s="112"/>
      <c r="S328" s="432"/>
      <c r="T328" s="112"/>
      <c r="U328" s="112"/>
      <c r="V328" s="112"/>
      <c r="W328" s="395"/>
      <c r="X328" s="395"/>
      <c r="Y328" s="395"/>
      <c r="Z328" s="395"/>
      <c r="AA328" s="395"/>
    </row>
    <row r="329" ht="15.75" customHeight="1">
      <c r="A329" s="112"/>
      <c r="B329" s="112"/>
      <c r="C329" s="412" t="str">
        <f t="array" ref="C329">IFERROR(INDEX(#REF!,MATCH($B329,Fornecedores!$B$8:$B$200,0)),"")</f>
        <v/>
      </c>
      <c r="D329" s="112"/>
      <c r="E329" s="112"/>
      <c r="F329" s="432"/>
      <c r="G329" s="433"/>
      <c r="H329" s="434" t="str">
        <f t="array" ref="H329">IFERROR(IF($A329="Medição",IFERROR(INDEX(#REF!,MATCH($B329,Fornecedores!$B$8:$B$200,0)),""),""),"")</f>
        <v/>
      </c>
      <c r="I329" s="435" t="str">
        <f t="shared" si="1"/>
        <v/>
      </c>
      <c r="J329" s="436"/>
      <c r="K329" s="437" t="str">
        <f t="array" ref="K329">IFERROR(IF($A329="Medição",IFERROR(INDEX(#REF!,MATCH($B329,Fornecedores!$B$8:$B$200,0)),0),""),"")</f>
        <v/>
      </c>
      <c r="L329" s="438" t="str">
        <f t="shared" si="2"/>
        <v/>
      </c>
      <c r="M329" s="439"/>
      <c r="N329" s="440" t="str">
        <f t="shared" si="3"/>
        <v/>
      </c>
      <c r="O329" s="432"/>
      <c r="P329" s="112"/>
      <c r="Q329" s="112"/>
      <c r="R329" s="112"/>
      <c r="S329" s="432"/>
      <c r="T329" s="112"/>
      <c r="U329" s="112"/>
      <c r="V329" s="112"/>
      <c r="W329" s="395"/>
      <c r="X329" s="395"/>
      <c r="Y329" s="395"/>
      <c r="Z329" s="395"/>
      <c r="AA329" s="395"/>
    </row>
    <row r="330" ht="15.75" customHeight="1">
      <c r="A330" s="112"/>
      <c r="B330" s="112"/>
      <c r="C330" s="412" t="str">
        <f t="array" ref="C330">IFERROR(INDEX(#REF!,MATCH($B330,Fornecedores!$B$8:$B$200,0)),"")</f>
        <v/>
      </c>
      <c r="D330" s="112"/>
      <c r="E330" s="112"/>
      <c r="F330" s="432"/>
      <c r="G330" s="433"/>
      <c r="H330" s="434" t="str">
        <f t="array" ref="H330">IFERROR(IF($A330="Medição",IFERROR(INDEX(#REF!,MATCH($B330,Fornecedores!$B$8:$B$200,0)),""),""),"")</f>
        <v/>
      </c>
      <c r="I330" s="435" t="str">
        <f t="shared" si="1"/>
        <v/>
      </c>
      <c r="J330" s="436"/>
      <c r="K330" s="437" t="str">
        <f t="array" ref="K330">IFERROR(IF($A330="Medição",IFERROR(INDEX(#REF!,MATCH($B330,Fornecedores!$B$8:$B$200,0)),0),""),"")</f>
        <v/>
      </c>
      <c r="L330" s="438" t="str">
        <f t="shared" si="2"/>
        <v/>
      </c>
      <c r="M330" s="439"/>
      <c r="N330" s="440" t="str">
        <f t="shared" si="3"/>
        <v/>
      </c>
      <c r="O330" s="432"/>
      <c r="P330" s="112"/>
      <c r="Q330" s="112"/>
      <c r="R330" s="112"/>
      <c r="S330" s="432"/>
      <c r="T330" s="112"/>
      <c r="U330" s="112"/>
      <c r="V330" s="112"/>
      <c r="W330" s="395"/>
      <c r="X330" s="395"/>
      <c r="Y330" s="395"/>
      <c r="Z330" s="395"/>
      <c r="AA330" s="395"/>
    </row>
    <row r="331" ht="15.75" customHeight="1">
      <c r="A331" s="112"/>
      <c r="B331" s="112"/>
      <c r="C331" s="412" t="str">
        <f t="array" ref="C331">IFERROR(INDEX(#REF!,MATCH($B331,Fornecedores!$B$8:$B$200,0)),"")</f>
        <v/>
      </c>
      <c r="D331" s="112"/>
      <c r="E331" s="112"/>
      <c r="F331" s="432"/>
      <c r="G331" s="433"/>
      <c r="H331" s="434" t="str">
        <f t="array" ref="H331">IFERROR(IF($A331="Medição",IFERROR(INDEX(#REF!,MATCH($B331,Fornecedores!$B$8:$B$200,0)),""),""),"")</f>
        <v/>
      </c>
      <c r="I331" s="435" t="str">
        <f t="shared" si="1"/>
        <v/>
      </c>
      <c r="J331" s="436"/>
      <c r="K331" s="437" t="str">
        <f t="array" ref="K331">IFERROR(IF($A331="Medição",IFERROR(INDEX(#REF!,MATCH($B331,Fornecedores!$B$8:$B$200,0)),0),""),"")</f>
        <v/>
      </c>
      <c r="L331" s="438" t="str">
        <f t="shared" si="2"/>
        <v/>
      </c>
      <c r="M331" s="439"/>
      <c r="N331" s="440" t="str">
        <f t="shared" si="3"/>
        <v/>
      </c>
      <c r="O331" s="432"/>
      <c r="P331" s="112"/>
      <c r="Q331" s="112"/>
      <c r="R331" s="112"/>
      <c r="S331" s="432"/>
      <c r="T331" s="112"/>
      <c r="U331" s="112"/>
      <c r="V331" s="112"/>
      <c r="W331" s="395"/>
      <c r="X331" s="395"/>
      <c r="Y331" s="395"/>
      <c r="Z331" s="395"/>
      <c r="AA331" s="395"/>
    </row>
    <row r="332" ht="15.75" customHeight="1">
      <c r="A332" s="112"/>
      <c r="B332" s="112"/>
      <c r="C332" s="412" t="str">
        <f t="array" ref="C332">IFERROR(INDEX(#REF!,MATCH($B332,Fornecedores!$B$8:$B$200,0)),"")</f>
        <v/>
      </c>
      <c r="D332" s="112"/>
      <c r="E332" s="112"/>
      <c r="F332" s="432"/>
      <c r="G332" s="433"/>
      <c r="H332" s="434" t="str">
        <f t="array" ref="H332">IFERROR(IF($A332="Medição",IFERROR(INDEX(#REF!,MATCH($B332,Fornecedores!$B$8:$B$200,0)),""),""),"")</f>
        <v/>
      </c>
      <c r="I332" s="435" t="str">
        <f t="shared" si="1"/>
        <v/>
      </c>
      <c r="J332" s="436"/>
      <c r="K332" s="437" t="str">
        <f t="array" ref="K332">IFERROR(IF($A332="Medição",IFERROR(INDEX(#REF!,MATCH($B332,Fornecedores!$B$8:$B$200,0)),0),""),"")</f>
        <v/>
      </c>
      <c r="L332" s="438" t="str">
        <f t="shared" si="2"/>
        <v/>
      </c>
      <c r="M332" s="439"/>
      <c r="N332" s="440" t="str">
        <f t="shared" si="3"/>
        <v/>
      </c>
      <c r="O332" s="432"/>
      <c r="P332" s="112"/>
      <c r="Q332" s="112"/>
      <c r="R332" s="112"/>
      <c r="S332" s="432"/>
      <c r="T332" s="112"/>
      <c r="U332" s="112"/>
      <c r="V332" s="112"/>
      <c r="W332" s="395"/>
      <c r="X332" s="395"/>
      <c r="Y332" s="395"/>
      <c r="Z332" s="395"/>
      <c r="AA332" s="395"/>
    </row>
    <row r="333" ht="15.75" customHeight="1">
      <c r="A333" s="112"/>
      <c r="B333" s="112"/>
      <c r="C333" s="412" t="str">
        <f t="array" ref="C333">IFERROR(INDEX(#REF!,MATCH($B333,Fornecedores!$B$8:$B$200,0)),"")</f>
        <v/>
      </c>
      <c r="D333" s="112"/>
      <c r="E333" s="112"/>
      <c r="F333" s="432"/>
      <c r="G333" s="433"/>
      <c r="H333" s="434" t="str">
        <f t="array" ref="H333">IFERROR(IF($A333="Medição",IFERROR(INDEX(#REF!,MATCH($B333,Fornecedores!$B$8:$B$200,0)),""),""),"")</f>
        <v/>
      </c>
      <c r="I333" s="435" t="str">
        <f t="shared" si="1"/>
        <v/>
      </c>
      <c r="J333" s="436"/>
      <c r="K333" s="437" t="str">
        <f t="array" ref="K333">IFERROR(IF($A333="Medição",IFERROR(INDEX(#REF!,MATCH($B333,Fornecedores!$B$8:$B$200,0)),0),""),"")</f>
        <v/>
      </c>
      <c r="L333" s="438" t="str">
        <f t="shared" si="2"/>
        <v/>
      </c>
      <c r="M333" s="439"/>
      <c r="N333" s="440" t="str">
        <f t="shared" si="3"/>
        <v/>
      </c>
      <c r="O333" s="432"/>
      <c r="P333" s="112"/>
      <c r="Q333" s="112"/>
      <c r="R333" s="112"/>
      <c r="S333" s="432"/>
      <c r="T333" s="112"/>
      <c r="U333" s="112"/>
      <c r="V333" s="112"/>
      <c r="W333" s="395"/>
      <c r="X333" s="395"/>
      <c r="Y333" s="395"/>
      <c r="Z333" s="395"/>
      <c r="AA333" s="395"/>
    </row>
    <row r="334" ht="15.75" customHeight="1">
      <c r="A334" s="112"/>
      <c r="B334" s="112"/>
      <c r="C334" s="412" t="str">
        <f t="array" ref="C334">IFERROR(INDEX(#REF!,MATCH($B334,Fornecedores!$B$8:$B$200,0)),"")</f>
        <v/>
      </c>
      <c r="D334" s="112"/>
      <c r="E334" s="112"/>
      <c r="F334" s="432"/>
      <c r="G334" s="433"/>
      <c r="H334" s="434" t="str">
        <f t="array" ref="H334">IFERROR(IF($A334="Medição",IFERROR(INDEX(#REF!,MATCH($B334,Fornecedores!$B$8:$B$200,0)),""),""),"")</f>
        <v/>
      </c>
      <c r="I334" s="435" t="str">
        <f t="shared" si="1"/>
        <v/>
      </c>
      <c r="J334" s="436"/>
      <c r="K334" s="437" t="str">
        <f t="array" ref="K334">IFERROR(IF($A334="Medição",IFERROR(INDEX(#REF!,MATCH($B334,Fornecedores!$B$8:$B$200,0)),0),""),"")</f>
        <v/>
      </c>
      <c r="L334" s="438" t="str">
        <f t="shared" si="2"/>
        <v/>
      </c>
      <c r="M334" s="439"/>
      <c r="N334" s="440" t="str">
        <f t="shared" si="3"/>
        <v/>
      </c>
      <c r="O334" s="432"/>
      <c r="P334" s="112"/>
      <c r="Q334" s="112"/>
      <c r="R334" s="112"/>
      <c r="S334" s="432"/>
      <c r="T334" s="112"/>
      <c r="U334" s="112"/>
      <c r="V334" s="112"/>
      <c r="W334" s="395"/>
      <c r="X334" s="395"/>
      <c r="Y334" s="395"/>
      <c r="Z334" s="395"/>
      <c r="AA334" s="395"/>
    </row>
    <row r="335" ht="15.75" customHeight="1">
      <c r="A335" s="112"/>
      <c r="B335" s="112"/>
      <c r="C335" s="412" t="str">
        <f t="array" ref="C335">IFERROR(INDEX(#REF!,MATCH($B335,Fornecedores!$B$8:$B$200,0)),"")</f>
        <v/>
      </c>
      <c r="D335" s="112"/>
      <c r="E335" s="112"/>
      <c r="F335" s="432"/>
      <c r="G335" s="433"/>
      <c r="H335" s="434" t="str">
        <f t="array" ref="H335">IFERROR(IF($A335="Medição",IFERROR(INDEX(#REF!,MATCH($B335,Fornecedores!$B$8:$B$200,0)),""),""),"")</f>
        <v/>
      </c>
      <c r="I335" s="435" t="str">
        <f t="shared" si="1"/>
        <v/>
      </c>
      <c r="J335" s="436"/>
      <c r="K335" s="437" t="str">
        <f t="array" ref="K335">IFERROR(IF($A335="Medição",IFERROR(INDEX(#REF!,MATCH($B335,Fornecedores!$B$8:$B$200,0)),0),""),"")</f>
        <v/>
      </c>
      <c r="L335" s="438" t="str">
        <f t="shared" si="2"/>
        <v/>
      </c>
      <c r="M335" s="439"/>
      <c r="N335" s="440" t="str">
        <f t="shared" si="3"/>
        <v/>
      </c>
      <c r="O335" s="432"/>
      <c r="P335" s="112"/>
      <c r="Q335" s="112"/>
      <c r="R335" s="112"/>
      <c r="S335" s="432"/>
      <c r="T335" s="112"/>
      <c r="U335" s="112"/>
      <c r="V335" s="112"/>
      <c r="W335" s="395"/>
      <c r="X335" s="395"/>
      <c r="Y335" s="395"/>
      <c r="Z335" s="395"/>
      <c r="AA335" s="395"/>
    </row>
    <row r="336" ht="15.75" customHeight="1">
      <c r="A336" s="112"/>
      <c r="B336" s="112"/>
      <c r="C336" s="412" t="str">
        <f t="array" ref="C336">IFERROR(INDEX(#REF!,MATCH($B336,Fornecedores!$B$8:$B$200,0)),"")</f>
        <v/>
      </c>
      <c r="D336" s="112"/>
      <c r="E336" s="112"/>
      <c r="F336" s="432"/>
      <c r="G336" s="433"/>
      <c r="H336" s="434" t="str">
        <f t="array" ref="H336">IFERROR(IF($A336="Medição",IFERROR(INDEX(#REF!,MATCH($B336,Fornecedores!$B$8:$B$200,0)),""),""),"")</f>
        <v/>
      </c>
      <c r="I336" s="435" t="str">
        <f t="shared" si="1"/>
        <v/>
      </c>
      <c r="J336" s="436"/>
      <c r="K336" s="437" t="str">
        <f t="array" ref="K336">IFERROR(IF($A336="Medição",IFERROR(INDEX(#REF!,MATCH($B336,Fornecedores!$B$8:$B$200,0)),0),""),"")</f>
        <v/>
      </c>
      <c r="L336" s="438" t="str">
        <f t="shared" si="2"/>
        <v/>
      </c>
      <c r="M336" s="439"/>
      <c r="N336" s="440" t="str">
        <f t="shared" si="3"/>
        <v/>
      </c>
      <c r="O336" s="432"/>
      <c r="P336" s="112"/>
      <c r="Q336" s="112"/>
      <c r="R336" s="112"/>
      <c r="S336" s="432"/>
      <c r="T336" s="112"/>
      <c r="U336" s="112"/>
      <c r="V336" s="112"/>
      <c r="W336" s="395"/>
      <c r="X336" s="395"/>
      <c r="Y336" s="395"/>
      <c r="Z336" s="395"/>
      <c r="AA336" s="395"/>
    </row>
    <row r="337" ht="15.75" customHeight="1">
      <c r="A337" s="112"/>
      <c r="B337" s="112"/>
      <c r="C337" s="412" t="str">
        <f t="array" ref="C337">IFERROR(INDEX(#REF!,MATCH($B337,Fornecedores!$B$8:$B$200,0)),"")</f>
        <v/>
      </c>
      <c r="D337" s="112"/>
      <c r="E337" s="112"/>
      <c r="F337" s="432"/>
      <c r="G337" s="433"/>
      <c r="H337" s="434" t="str">
        <f t="array" ref="H337">IFERROR(IF($A337="Medição",IFERROR(INDEX(#REF!,MATCH($B337,Fornecedores!$B$8:$B$200,0)),""),""),"")</f>
        <v/>
      </c>
      <c r="I337" s="435" t="str">
        <f t="shared" si="1"/>
        <v/>
      </c>
      <c r="J337" s="436"/>
      <c r="K337" s="437" t="str">
        <f t="array" ref="K337">IFERROR(IF($A337="Medição",IFERROR(INDEX(#REF!,MATCH($B337,Fornecedores!$B$8:$B$200,0)),0),""),"")</f>
        <v/>
      </c>
      <c r="L337" s="438" t="str">
        <f t="shared" si="2"/>
        <v/>
      </c>
      <c r="M337" s="439"/>
      <c r="N337" s="440" t="str">
        <f t="shared" si="3"/>
        <v/>
      </c>
      <c r="O337" s="432"/>
      <c r="P337" s="112"/>
      <c r="Q337" s="112"/>
      <c r="R337" s="112"/>
      <c r="S337" s="432"/>
      <c r="T337" s="112"/>
      <c r="U337" s="112"/>
      <c r="V337" s="112"/>
      <c r="W337" s="395"/>
      <c r="X337" s="395"/>
      <c r="Y337" s="395"/>
      <c r="Z337" s="395"/>
      <c r="AA337" s="395"/>
    </row>
    <row r="338" ht="15.75" customHeight="1">
      <c r="A338" s="112"/>
      <c r="B338" s="112"/>
      <c r="C338" s="412" t="str">
        <f t="array" ref="C338">IFERROR(INDEX(#REF!,MATCH($B338,Fornecedores!$B$8:$B$200,0)),"")</f>
        <v/>
      </c>
      <c r="D338" s="112"/>
      <c r="E338" s="112"/>
      <c r="F338" s="432"/>
      <c r="G338" s="433"/>
      <c r="H338" s="434" t="str">
        <f t="array" ref="H338">IFERROR(IF($A338="Medição",IFERROR(INDEX(#REF!,MATCH($B338,Fornecedores!$B$8:$B$200,0)),""),""),"")</f>
        <v/>
      </c>
      <c r="I338" s="435" t="str">
        <f t="shared" si="1"/>
        <v/>
      </c>
      <c r="J338" s="436"/>
      <c r="K338" s="437" t="str">
        <f t="array" ref="K338">IFERROR(IF($A338="Medição",IFERROR(INDEX(#REF!,MATCH($B338,Fornecedores!$B$8:$B$200,0)),0),""),"")</f>
        <v/>
      </c>
      <c r="L338" s="438" t="str">
        <f t="shared" si="2"/>
        <v/>
      </c>
      <c r="M338" s="439"/>
      <c r="N338" s="440" t="str">
        <f t="shared" si="3"/>
        <v/>
      </c>
      <c r="O338" s="432"/>
      <c r="P338" s="112"/>
      <c r="Q338" s="112"/>
      <c r="R338" s="112"/>
      <c r="S338" s="432"/>
      <c r="T338" s="112"/>
      <c r="U338" s="112"/>
      <c r="V338" s="112"/>
      <c r="W338" s="395"/>
      <c r="X338" s="395"/>
      <c r="Y338" s="395"/>
      <c r="Z338" s="395"/>
      <c r="AA338" s="395"/>
    </row>
    <row r="339" ht="15.75" customHeight="1">
      <c r="A339" s="112"/>
      <c r="B339" s="112"/>
      <c r="C339" s="412" t="str">
        <f t="array" ref="C339">IFERROR(INDEX(#REF!,MATCH($B339,Fornecedores!$B$8:$B$200,0)),"")</f>
        <v/>
      </c>
      <c r="D339" s="112"/>
      <c r="E339" s="112"/>
      <c r="F339" s="432"/>
      <c r="G339" s="433"/>
      <c r="H339" s="434" t="str">
        <f t="array" ref="H339">IFERROR(IF($A339="Medição",IFERROR(INDEX(#REF!,MATCH($B339,Fornecedores!$B$8:$B$200,0)),""),""),"")</f>
        <v/>
      </c>
      <c r="I339" s="435" t="str">
        <f t="shared" si="1"/>
        <v/>
      </c>
      <c r="J339" s="436"/>
      <c r="K339" s="437" t="str">
        <f t="array" ref="K339">IFERROR(IF($A339="Medição",IFERROR(INDEX(#REF!,MATCH($B339,Fornecedores!$B$8:$B$200,0)),0),""),"")</f>
        <v/>
      </c>
      <c r="L339" s="438" t="str">
        <f t="shared" si="2"/>
        <v/>
      </c>
      <c r="M339" s="439"/>
      <c r="N339" s="440" t="str">
        <f t="shared" si="3"/>
        <v/>
      </c>
      <c r="O339" s="432"/>
      <c r="P339" s="112"/>
      <c r="Q339" s="112"/>
      <c r="R339" s="112"/>
      <c r="S339" s="432"/>
      <c r="T339" s="112"/>
      <c r="U339" s="112"/>
      <c r="V339" s="112"/>
      <c r="W339" s="395"/>
      <c r="X339" s="395"/>
      <c r="Y339" s="395"/>
      <c r="Z339" s="395"/>
      <c r="AA339" s="395"/>
    </row>
    <row r="340" ht="15.75" customHeight="1">
      <c r="A340" s="112"/>
      <c r="B340" s="112"/>
      <c r="C340" s="412" t="str">
        <f t="array" ref="C340">IFERROR(INDEX(#REF!,MATCH($B340,Fornecedores!$B$8:$B$200,0)),"")</f>
        <v/>
      </c>
      <c r="D340" s="112"/>
      <c r="E340" s="112"/>
      <c r="F340" s="432"/>
      <c r="G340" s="433"/>
      <c r="H340" s="434" t="str">
        <f t="array" ref="H340">IFERROR(IF($A340="Medição",IFERROR(INDEX(#REF!,MATCH($B340,Fornecedores!$B$8:$B$200,0)),""),""),"")</f>
        <v/>
      </c>
      <c r="I340" s="435" t="str">
        <f t="shared" si="1"/>
        <v/>
      </c>
      <c r="J340" s="436"/>
      <c r="K340" s="437" t="str">
        <f t="array" ref="K340">IFERROR(IF($A340="Medição",IFERROR(INDEX(#REF!,MATCH($B340,Fornecedores!$B$8:$B$200,0)),0),""),"")</f>
        <v/>
      </c>
      <c r="L340" s="438" t="str">
        <f t="shared" si="2"/>
        <v/>
      </c>
      <c r="M340" s="439"/>
      <c r="N340" s="440" t="str">
        <f t="shared" si="3"/>
        <v/>
      </c>
      <c r="O340" s="432"/>
      <c r="P340" s="112"/>
      <c r="Q340" s="112"/>
      <c r="R340" s="112"/>
      <c r="S340" s="432"/>
      <c r="T340" s="112"/>
      <c r="U340" s="112"/>
      <c r="V340" s="112"/>
      <c r="W340" s="395"/>
      <c r="X340" s="395"/>
      <c r="Y340" s="395"/>
      <c r="Z340" s="395"/>
      <c r="AA340" s="395"/>
    </row>
    <row r="341" ht="15.75" customHeight="1">
      <c r="A341" s="112"/>
      <c r="B341" s="112"/>
      <c r="C341" s="412" t="str">
        <f t="array" ref="C341">IFERROR(INDEX(#REF!,MATCH($B341,Fornecedores!$B$8:$B$200,0)),"")</f>
        <v/>
      </c>
      <c r="D341" s="112"/>
      <c r="E341" s="112"/>
      <c r="F341" s="432"/>
      <c r="G341" s="433"/>
      <c r="H341" s="434" t="str">
        <f t="array" ref="H341">IFERROR(IF($A341="Medição",IFERROR(INDEX(#REF!,MATCH($B341,Fornecedores!$B$8:$B$200,0)),""),""),"")</f>
        <v/>
      </c>
      <c r="I341" s="435" t="str">
        <f t="shared" si="1"/>
        <v/>
      </c>
      <c r="J341" s="436"/>
      <c r="K341" s="437" t="str">
        <f t="array" ref="K341">IFERROR(IF($A341="Medição",IFERROR(INDEX(#REF!,MATCH($B341,Fornecedores!$B$8:$B$200,0)),0),""),"")</f>
        <v/>
      </c>
      <c r="L341" s="438" t="str">
        <f t="shared" si="2"/>
        <v/>
      </c>
      <c r="M341" s="439"/>
      <c r="N341" s="440" t="str">
        <f t="shared" si="3"/>
        <v/>
      </c>
      <c r="O341" s="432"/>
      <c r="P341" s="112"/>
      <c r="Q341" s="112"/>
      <c r="R341" s="112"/>
      <c r="S341" s="432"/>
      <c r="T341" s="112"/>
      <c r="U341" s="112"/>
      <c r="V341" s="112"/>
      <c r="W341" s="395"/>
      <c r="X341" s="395"/>
      <c r="Y341" s="395"/>
      <c r="Z341" s="395"/>
      <c r="AA341" s="395"/>
    </row>
    <row r="342" ht="15.75" customHeight="1">
      <c r="A342" s="112"/>
      <c r="B342" s="112"/>
      <c r="C342" s="412" t="str">
        <f t="array" ref="C342">IFERROR(INDEX(#REF!,MATCH($B342,Fornecedores!$B$8:$B$200,0)),"")</f>
        <v/>
      </c>
      <c r="D342" s="112"/>
      <c r="E342" s="112"/>
      <c r="F342" s="432"/>
      <c r="G342" s="433"/>
      <c r="H342" s="434" t="str">
        <f t="array" ref="H342">IFERROR(IF($A342="Medição",IFERROR(INDEX(#REF!,MATCH($B342,Fornecedores!$B$8:$B$200,0)),""),""),"")</f>
        <v/>
      </c>
      <c r="I342" s="435" t="str">
        <f t="shared" si="1"/>
        <v/>
      </c>
      <c r="J342" s="436"/>
      <c r="K342" s="437" t="str">
        <f t="array" ref="K342">IFERROR(IF($A342="Medição",IFERROR(INDEX(#REF!,MATCH($B342,Fornecedores!$B$8:$B$200,0)),0),""),"")</f>
        <v/>
      </c>
      <c r="L342" s="438" t="str">
        <f t="shared" si="2"/>
        <v/>
      </c>
      <c r="M342" s="439"/>
      <c r="N342" s="440" t="str">
        <f t="shared" si="3"/>
        <v/>
      </c>
      <c r="O342" s="432"/>
      <c r="P342" s="112"/>
      <c r="Q342" s="112"/>
      <c r="R342" s="112"/>
      <c r="S342" s="432"/>
      <c r="T342" s="112"/>
      <c r="U342" s="112"/>
      <c r="V342" s="112"/>
      <c r="W342" s="395"/>
      <c r="X342" s="395"/>
      <c r="Y342" s="395"/>
      <c r="Z342" s="395"/>
      <c r="AA342" s="395"/>
    </row>
    <row r="343" ht="15.75" customHeight="1">
      <c r="A343" s="112"/>
      <c r="B343" s="112"/>
      <c r="C343" s="412" t="str">
        <f t="array" ref="C343">IFERROR(INDEX(#REF!,MATCH($B343,Fornecedores!$B$8:$B$200,0)),"")</f>
        <v/>
      </c>
      <c r="D343" s="112"/>
      <c r="E343" s="112"/>
      <c r="F343" s="432"/>
      <c r="G343" s="433"/>
      <c r="H343" s="434" t="str">
        <f t="array" ref="H343">IFERROR(IF($A343="Medição",IFERROR(INDEX(#REF!,MATCH($B343,Fornecedores!$B$8:$B$200,0)),""),""),"")</f>
        <v/>
      </c>
      <c r="I343" s="435" t="str">
        <f t="shared" si="1"/>
        <v/>
      </c>
      <c r="J343" s="436"/>
      <c r="K343" s="437" t="str">
        <f t="array" ref="K343">IFERROR(IF($A343="Medição",IFERROR(INDEX(#REF!,MATCH($B343,Fornecedores!$B$8:$B$200,0)),0),""),"")</f>
        <v/>
      </c>
      <c r="L343" s="438" t="str">
        <f t="shared" si="2"/>
        <v/>
      </c>
      <c r="M343" s="439"/>
      <c r="N343" s="440" t="str">
        <f t="shared" si="3"/>
        <v/>
      </c>
      <c r="O343" s="432"/>
      <c r="P343" s="112"/>
      <c r="Q343" s="112"/>
      <c r="R343" s="112"/>
      <c r="S343" s="432"/>
      <c r="T343" s="112"/>
      <c r="U343" s="112"/>
      <c r="V343" s="112"/>
      <c r="W343" s="395"/>
      <c r="X343" s="395"/>
      <c r="Y343" s="395"/>
      <c r="Z343" s="395"/>
      <c r="AA343" s="395"/>
    </row>
    <row r="344" ht="15.75" customHeight="1">
      <c r="A344" s="112"/>
      <c r="B344" s="112"/>
      <c r="C344" s="412" t="str">
        <f t="array" ref="C344">IFERROR(INDEX(#REF!,MATCH($B344,Fornecedores!$B$8:$B$200,0)),"")</f>
        <v/>
      </c>
      <c r="D344" s="112"/>
      <c r="E344" s="112"/>
      <c r="F344" s="432"/>
      <c r="G344" s="433"/>
      <c r="H344" s="434" t="str">
        <f t="array" ref="H344">IFERROR(IF($A344="Medição",IFERROR(INDEX(#REF!,MATCH($B344,Fornecedores!$B$8:$B$200,0)),""),""),"")</f>
        <v/>
      </c>
      <c r="I344" s="435" t="str">
        <f t="shared" si="1"/>
        <v/>
      </c>
      <c r="J344" s="436"/>
      <c r="K344" s="437" t="str">
        <f t="array" ref="K344">IFERROR(IF($A344="Medição",IFERROR(INDEX(#REF!,MATCH($B344,Fornecedores!$B$8:$B$200,0)),0),""),"")</f>
        <v/>
      </c>
      <c r="L344" s="438" t="str">
        <f t="shared" si="2"/>
        <v/>
      </c>
      <c r="M344" s="439"/>
      <c r="N344" s="440" t="str">
        <f t="shared" si="3"/>
        <v/>
      </c>
      <c r="O344" s="432"/>
      <c r="P344" s="112"/>
      <c r="Q344" s="112"/>
      <c r="R344" s="112"/>
      <c r="S344" s="432"/>
      <c r="T344" s="112"/>
      <c r="U344" s="112"/>
      <c r="V344" s="112"/>
      <c r="W344" s="395"/>
      <c r="X344" s="395"/>
      <c r="Y344" s="395"/>
      <c r="Z344" s="395"/>
      <c r="AA344" s="395"/>
    </row>
    <row r="345" ht="15.75" customHeight="1">
      <c r="A345" s="112"/>
      <c r="B345" s="112"/>
      <c r="C345" s="412" t="str">
        <f t="array" ref="C345">IFERROR(INDEX(#REF!,MATCH($B345,Fornecedores!$B$8:$B$200,0)),"")</f>
        <v/>
      </c>
      <c r="D345" s="112"/>
      <c r="E345" s="112"/>
      <c r="F345" s="432"/>
      <c r="G345" s="433"/>
      <c r="H345" s="434" t="str">
        <f t="array" ref="H345">IFERROR(IF($A345="Medição",IFERROR(INDEX(#REF!,MATCH($B345,Fornecedores!$B$8:$B$200,0)),""),""),"")</f>
        <v/>
      </c>
      <c r="I345" s="435" t="str">
        <f t="shared" si="1"/>
        <v/>
      </c>
      <c r="J345" s="436"/>
      <c r="K345" s="437" t="str">
        <f t="array" ref="K345">IFERROR(IF($A345="Medição",IFERROR(INDEX(#REF!,MATCH($B345,Fornecedores!$B$8:$B$200,0)),0),""),"")</f>
        <v/>
      </c>
      <c r="L345" s="438" t="str">
        <f t="shared" si="2"/>
        <v/>
      </c>
      <c r="M345" s="439"/>
      <c r="N345" s="440" t="str">
        <f t="shared" si="3"/>
        <v/>
      </c>
      <c r="O345" s="432"/>
      <c r="P345" s="112"/>
      <c r="Q345" s="112"/>
      <c r="R345" s="112"/>
      <c r="S345" s="432"/>
      <c r="T345" s="112"/>
      <c r="U345" s="112"/>
      <c r="V345" s="112"/>
      <c r="W345" s="395"/>
      <c r="X345" s="395"/>
      <c r="Y345" s="395"/>
      <c r="Z345" s="395"/>
      <c r="AA345" s="395"/>
    </row>
    <row r="346" ht="15.75" customHeight="1">
      <c r="A346" s="112"/>
      <c r="B346" s="112"/>
      <c r="C346" s="412" t="str">
        <f t="array" ref="C346">IFERROR(INDEX(#REF!,MATCH($B346,Fornecedores!$B$8:$B$200,0)),"")</f>
        <v/>
      </c>
      <c r="D346" s="112"/>
      <c r="E346" s="112"/>
      <c r="F346" s="432"/>
      <c r="G346" s="433"/>
      <c r="H346" s="434" t="str">
        <f t="array" ref="H346">IFERROR(IF($A346="Medição",IFERROR(INDEX(#REF!,MATCH($B346,Fornecedores!$B$8:$B$200,0)),""),""),"")</f>
        <v/>
      </c>
      <c r="I346" s="435" t="str">
        <f t="shared" si="1"/>
        <v/>
      </c>
      <c r="J346" s="436"/>
      <c r="K346" s="437" t="str">
        <f t="array" ref="K346">IFERROR(IF($A346="Medição",IFERROR(INDEX(#REF!,MATCH($B346,Fornecedores!$B$8:$B$200,0)),0),""),"")</f>
        <v/>
      </c>
      <c r="L346" s="438" t="str">
        <f t="shared" si="2"/>
        <v/>
      </c>
      <c r="M346" s="439"/>
      <c r="N346" s="440" t="str">
        <f t="shared" si="3"/>
        <v/>
      </c>
      <c r="O346" s="432"/>
      <c r="P346" s="112"/>
      <c r="Q346" s="112"/>
      <c r="R346" s="112"/>
      <c r="S346" s="432"/>
      <c r="T346" s="112"/>
      <c r="U346" s="112"/>
      <c r="V346" s="112"/>
      <c r="W346" s="395"/>
      <c r="X346" s="395"/>
      <c r="Y346" s="395"/>
      <c r="Z346" s="395"/>
      <c r="AA346" s="395"/>
    </row>
    <row r="347" ht="15.75" customHeight="1">
      <c r="A347" s="112"/>
      <c r="B347" s="112"/>
      <c r="C347" s="412" t="str">
        <f t="array" ref="C347">IFERROR(INDEX(#REF!,MATCH($B347,Fornecedores!$B$8:$B$200,0)),"")</f>
        <v/>
      </c>
      <c r="D347" s="112"/>
      <c r="E347" s="112"/>
      <c r="F347" s="432"/>
      <c r="G347" s="433"/>
      <c r="H347" s="434" t="str">
        <f t="array" ref="H347">IFERROR(IF($A347="Medição",IFERROR(INDEX(#REF!,MATCH($B347,Fornecedores!$B$8:$B$200,0)),""),""),"")</f>
        <v/>
      </c>
      <c r="I347" s="435" t="str">
        <f t="shared" si="1"/>
        <v/>
      </c>
      <c r="J347" s="436"/>
      <c r="K347" s="437" t="str">
        <f t="array" ref="K347">IFERROR(IF($A347="Medição",IFERROR(INDEX(#REF!,MATCH($B347,Fornecedores!$B$8:$B$200,0)),0),""),"")</f>
        <v/>
      </c>
      <c r="L347" s="438" t="str">
        <f t="shared" si="2"/>
        <v/>
      </c>
      <c r="M347" s="439"/>
      <c r="N347" s="440" t="str">
        <f t="shared" si="3"/>
        <v/>
      </c>
      <c r="O347" s="432"/>
      <c r="P347" s="112"/>
      <c r="Q347" s="112"/>
      <c r="R347" s="112"/>
      <c r="S347" s="432"/>
      <c r="T347" s="112"/>
      <c r="U347" s="112"/>
      <c r="V347" s="112"/>
      <c r="W347" s="395"/>
      <c r="X347" s="395"/>
      <c r="Y347" s="395"/>
      <c r="Z347" s="395"/>
      <c r="AA347" s="395"/>
    </row>
    <row r="348" ht="15.75" customHeight="1">
      <c r="A348" s="112"/>
      <c r="B348" s="112"/>
      <c r="C348" s="412" t="str">
        <f t="array" ref="C348">IFERROR(INDEX(#REF!,MATCH($B348,Fornecedores!$B$8:$B$200,0)),"")</f>
        <v/>
      </c>
      <c r="D348" s="112"/>
      <c r="E348" s="112"/>
      <c r="F348" s="432"/>
      <c r="G348" s="433"/>
      <c r="H348" s="434" t="str">
        <f t="array" ref="H348">IFERROR(IF($A348="Medição",IFERROR(INDEX(#REF!,MATCH($B348,Fornecedores!$B$8:$B$200,0)),""),""),"")</f>
        <v/>
      </c>
      <c r="I348" s="435" t="str">
        <f t="shared" si="1"/>
        <v/>
      </c>
      <c r="J348" s="436"/>
      <c r="K348" s="437" t="str">
        <f t="array" ref="K348">IFERROR(IF($A348="Medição",IFERROR(INDEX(#REF!,MATCH($B348,Fornecedores!$B$8:$B$200,0)),0),""),"")</f>
        <v/>
      </c>
      <c r="L348" s="438" t="str">
        <f t="shared" si="2"/>
        <v/>
      </c>
      <c r="M348" s="439"/>
      <c r="N348" s="440" t="str">
        <f t="shared" si="3"/>
        <v/>
      </c>
      <c r="O348" s="432"/>
      <c r="P348" s="112"/>
      <c r="Q348" s="112"/>
      <c r="R348" s="112"/>
      <c r="S348" s="432"/>
      <c r="T348" s="112"/>
      <c r="U348" s="112"/>
      <c r="V348" s="112"/>
      <c r="W348" s="395"/>
      <c r="X348" s="395"/>
      <c r="Y348" s="395"/>
      <c r="Z348" s="395"/>
      <c r="AA348" s="395"/>
    </row>
    <row r="349" ht="15.75" customHeight="1">
      <c r="A349" s="112"/>
      <c r="B349" s="112"/>
      <c r="C349" s="412" t="str">
        <f t="array" ref="C349">IFERROR(INDEX(#REF!,MATCH($B349,Fornecedores!$B$8:$B$200,0)),"")</f>
        <v/>
      </c>
      <c r="D349" s="112"/>
      <c r="E349" s="112"/>
      <c r="F349" s="432"/>
      <c r="G349" s="433"/>
      <c r="H349" s="434" t="str">
        <f t="array" ref="H349">IFERROR(IF($A349="Medição",IFERROR(INDEX(#REF!,MATCH($B349,Fornecedores!$B$8:$B$200,0)),""),""),"")</f>
        <v/>
      </c>
      <c r="I349" s="435" t="str">
        <f t="shared" si="1"/>
        <v/>
      </c>
      <c r="J349" s="436"/>
      <c r="K349" s="437" t="str">
        <f t="array" ref="K349">IFERROR(IF($A349="Medição",IFERROR(INDEX(#REF!,MATCH($B349,Fornecedores!$B$8:$B$200,0)),0),""),"")</f>
        <v/>
      </c>
      <c r="L349" s="438" t="str">
        <f t="shared" si="2"/>
        <v/>
      </c>
      <c r="M349" s="439"/>
      <c r="N349" s="440" t="str">
        <f t="shared" si="3"/>
        <v/>
      </c>
      <c r="O349" s="432"/>
      <c r="P349" s="112"/>
      <c r="Q349" s="112"/>
      <c r="R349" s="112"/>
      <c r="S349" s="432"/>
      <c r="T349" s="112"/>
      <c r="U349" s="112"/>
      <c r="V349" s="112"/>
      <c r="W349" s="395"/>
      <c r="X349" s="395"/>
      <c r="Y349" s="395"/>
      <c r="Z349" s="395"/>
      <c r="AA349" s="395"/>
    </row>
    <row r="350" ht="15.75" customHeight="1">
      <c r="A350" s="112"/>
      <c r="B350" s="112"/>
      <c r="C350" s="412" t="str">
        <f t="array" ref="C350">IFERROR(INDEX(#REF!,MATCH($B350,Fornecedores!$B$8:$B$200,0)),"")</f>
        <v/>
      </c>
      <c r="D350" s="112"/>
      <c r="E350" s="112"/>
      <c r="F350" s="432"/>
      <c r="G350" s="433"/>
      <c r="H350" s="434" t="str">
        <f t="array" ref="H350">IFERROR(IF($A350="Medição",IFERROR(INDEX(#REF!,MATCH($B350,Fornecedores!$B$8:$B$200,0)),""),""),"")</f>
        <v/>
      </c>
      <c r="I350" s="435" t="str">
        <f t="shared" si="1"/>
        <v/>
      </c>
      <c r="J350" s="436"/>
      <c r="K350" s="437" t="str">
        <f t="array" ref="K350">IFERROR(IF($A350="Medição",IFERROR(INDEX(#REF!,MATCH($B350,Fornecedores!$B$8:$B$200,0)),0),""),"")</f>
        <v/>
      </c>
      <c r="L350" s="438" t="str">
        <f t="shared" si="2"/>
        <v/>
      </c>
      <c r="M350" s="439"/>
      <c r="N350" s="440" t="str">
        <f t="shared" si="3"/>
        <v/>
      </c>
      <c r="O350" s="432"/>
      <c r="P350" s="112"/>
      <c r="Q350" s="112"/>
      <c r="R350" s="112"/>
      <c r="S350" s="432"/>
      <c r="T350" s="112"/>
      <c r="U350" s="112"/>
      <c r="V350" s="112"/>
      <c r="W350" s="395"/>
      <c r="X350" s="395"/>
      <c r="Y350" s="395"/>
      <c r="Z350" s="395"/>
      <c r="AA350" s="395"/>
    </row>
    <row r="351" ht="15.75" customHeight="1">
      <c r="A351" s="112"/>
      <c r="B351" s="112"/>
      <c r="C351" s="412" t="str">
        <f t="array" ref="C351">IFERROR(INDEX(#REF!,MATCH($B351,Fornecedores!$B$8:$B$200,0)),"")</f>
        <v/>
      </c>
      <c r="D351" s="112"/>
      <c r="E351" s="112"/>
      <c r="F351" s="432"/>
      <c r="G351" s="433"/>
      <c r="H351" s="434" t="str">
        <f t="array" ref="H351">IFERROR(IF($A351="Medição",IFERROR(INDEX(#REF!,MATCH($B351,Fornecedores!$B$8:$B$200,0)),""),""),"")</f>
        <v/>
      </c>
      <c r="I351" s="435" t="str">
        <f t="shared" si="1"/>
        <v/>
      </c>
      <c r="J351" s="436"/>
      <c r="K351" s="437" t="str">
        <f t="array" ref="K351">IFERROR(IF($A351="Medição",IFERROR(INDEX(#REF!,MATCH($B351,Fornecedores!$B$8:$B$200,0)),0),""),"")</f>
        <v/>
      </c>
      <c r="L351" s="438" t="str">
        <f t="shared" si="2"/>
        <v/>
      </c>
      <c r="M351" s="439"/>
      <c r="N351" s="440" t="str">
        <f t="shared" si="3"/>
        <v/>
      </c>
      <c r="O351" s="432"/>
      <c r="P351" s="112"/>
      <c r="Q351" s="112"/>
      <c r="R351" s="112"/>
      <c r="S351" s="432"/>
      <c r="T351" s="112"/>
      <c r="U351" s="112"/>
      <c r="V351" s="112"/>
      <c r="W351" s="395"/>
      <c r="X351" s="395"/>
      <c r="Y351" s="395"/>
      <c r="Z351" s="395"/>
      <c r="AA351" s="395"/>
    </row>
    <row r="352" ht="15.75" customHeight="1">
      <c r="A352" s="112"/>
      <c r="B352" s="112"/>
      <c r="C352" s="412" t="str">
        <f t="array" ref="C352">IFERROR(INDEX(#REF!,MATCH($B352,Fornecedores!$B$8:$B$200,0)),"")</f>
        <v/>
      </c>
      <c r="D352" s="112"/>
      <c r="E352" s="112"/>
      <c r="F352" s="432"/>
      <c r="G352" s="433"/>
      <c r="H352" s="434" t="str">
        <f t="array" ref="H352">IFERROR(IF($A352="Medição",IFERROR(INDEX(#REF!,MATCH($B352,Fornecedores!$B$8:$B$200,0)),""),""),"")</f>
        <v/>
      </c>
      <c r="I352" s="435" t="str">
        <f t="shared" si="1"/>
        <v/>
      </c>
      <c r="J352" s="436"/>
      <c r="K352" s="437" t="str">
        <f t="array" ref="K352">IFERROR(IF($A352="Medição",IFERROR(INDEX(#REF!,MATCH($B352,Fornecedores!$B$8:$B$200,0)),0),""),"")</f>
        <v/>
      </c>
      <c r="L352" s="438" t="str">
        <f t="shared" si="2"/>
        <v/>
      </c>
      <c r="M352" s="439"/>
      <c r="N352" s="440" t="str">
        <f t="shared" si="3"/>
        <v/>
      </c>
      <c r="O352" s="432"/>
      <c r="P352" s="112"/>
      <c r="Q352" s="112"/>
      <c r="R352" s="112"/>
      <c r="S352" s="432"/>
      <c r="T352" s="112"/>
      <c r="U352" s="112"/>
      <c r="V352" s="112"/>
      <c r="W352" s="395"/>
      <c r="X352" s="395"/>
      <c r="Y352" s="395"/>
      <c r="Z352" s="395"/>
      <c r="AA352" s="395"/>
    </row>
    <row r="353" ht="15.75" customHeight="1">
      <c r="A353" s="112"/>
      <c r="B353" s="112"/>
      <c r="C353" s="412" t="str">
        <f t="array" ref="C353">IFERROR(INDEX(#REF!,MATCH($B353,Fornecedores!$B$8:$B$200,0)),"")</f>
        <v/>
      </c>
      <c r="D353" s="112"/>
      <c r="E353" s="112"/>
      <c r="F353" s="432"/>
      <c r="G353" s="433"/>
      <c r="H353" s="434" t="str">
        <f t="array" ref="H353">IFERROR(IF($A353="Medição",IFERROR(INDEX(#REF!,MATCH($B353,Fornecedores!$B$8:$B$200,0)),""),""),"")</f>
        <v/>
      </c>
      <c r="I353" s="435" t="str">
        <f t="shared" si="1"/>
        <v/>
      </c>
      <c r="J353" s="436"/>
      <c r="K353" s="437" t="str">
        <f t="array" ref="K353">IFERROR(IF($A353="Medição",IFERROR(INDEX(#REF!,MATCH($B353,Fornecedores!$B$8:$B$200,0)),0),""),"")</f>
        <v/>
      </c>
      <c r="L353" s="438" t="str">
        <f t="shared" si="2"/>
        <v/>
      </c>
      <c r="M353" s="439"/>
      <c r="N353" s="440" t="str">
        <f t="shared" si="3"/>
        <v/>
      </c>
      <c r="O353" s="432"/>
      <c r="P353" s="112"/>
      <c r="Q353" s="112"/>
      <c r="R353" s="112"/>
      <c r="S353" s="432"/>
      <c r="T353" s="112"/>
      <c r="U353" s="112"/>
      <c r="V353" s="112"/>
      <c r="W353" s="395"/>
      <c r="X353" s="395"/>
      <c r="Y353" s="395"/>
      <c r="Z353" s="395"/>
      <c r="AA353" s="395"/>
    </row>
    <row r="354" ht="15.75" customHeight="1">
      <c r="A354" s="112"/>
      <c r="B354" s="112"/>
      <c r="C354" s="412" t="str">
        <f t="array" ref="C354">IFERROR(INDEX(#REF!,MATCH($B354,Fornecedores!$B$8:$B$200,0)),"")</f>
        <v/>
      </c>
      <c r="D354" s="112"/>
      <c r="E354" s="112"/>
      <c r="F354" s="432"/>
      <c r="G354" s="433"/>
      <c r="H354" s="434" t="str">
        <f t="array" ref="H354">IFERROR(IF($A354="Medição",IFERROR(INDEX(#REF!,MATCH($B354,Fornecedores!$B$8:$B$200,0)),""),""),"")</f>
        <v/>
      </c>
      <c r="I354" s="435" t="str">
        <f t="shared" si="1"/>
        <v/>
      </c>
      <c r="J354" s="436"/>
      <c r="K354" s="437" t="str">
        <f t="array" ref="K354">IFERROR(IF($A354="Medição",IFERROR(INDEX(#REF!,MATCH($B354,Fornecedores!$B$8:$B$200,0)),0),""),"")</f>
        <v/>
      </c>
      <c r="L354" s="438" t="str">
        <f t="shared" si="2"/>
        <v/>
      </c>
      <c r="M354" s="439"/>
      <c r="N354" s="440" t="str">
        <f t="shared" si="3"/>
        <v/>
      </c>
      <c r="O354" s="432"/>
      <c r="P354" s="112"/>
      <c r="Q354" s="112"/>
      <c r="R354" s="112"/>
      <c r="S354" s="432"/>
      <c r="T354" s="112"/>
      <c r="U354" s="112"/>
      <c r="V354" s="112"/>
      <c r="W354" s="395"/>
      <c r="X354" s="395"/>
      <c r="Y354" s="395"/>
      <c r="Z354" s="395"/>
      <c r="AA354" s="395"/>
    </row>
    <row r="355" ht="15.75" customHeight="1">
      <c r="A355" s="112"/>
      <c r="B355" s="112"/>
      <c r="C355" s="412" t="str">
        <f t="array" ref="C355">IFERROR(INDEX(#REF!,MATCH($B355,Fornecedores!$B$8:$B$200,0)),"")</f>
        <v/>
      </c>
      <c r="D355" s="112"/>
      <c r="E355" s="112"/>
      <c r="F355" s="432"/>
      <c r="G355" s="433"/>
      <c r="H355" s="434" t="str">
        <f t="array" ref="H355">IFERROR(IF($A355="Medição",IFERROR(INDEX(#REF!,MATCH($B355,Fornecedores!$B$8:$B$200,0)),""),""),"")</f>
        <v/>
      </c>
      <c r="I355" s="435" t="str">
        <f t="shared" si="1"/>
        <v/>
      </c>
      <c r="J355" s="436"/>
      <c r="K355" s="437" t="str">
        <f t="array" ref="K355">IFERROR(IF($A355="Medição",IFERROR(INDEX(#REF!,MATCH($B355,Fornecedores!$B$8:$B$200,0)),0),""),"")</f>
        <v/>
      </c>
      <c r="L355" s="438" t="str">
        <f t="shared" si="2"/>
        <v/>
      </c>
      <c r="M355" s="439"/>
      <c r="N355" s="440" t="str">
        <f t="shared" si="3"/>
        <v/>
      </c>
      <c r="O355" s="432"/>
      <c r="P355" s="112"/>
      <c r="Q355" s="112"/>
      <c r="R355" s="112"/>
      <c r="S355" s="432"/>
      <c r="T355" s="112"/>
      <c r="U355" s="112"/>
      <c r="V355" s="112"/>
      <c r="W355" s="395"/>
      <c r="X355" s="395"/>
      <c r="Y355" s="395"/>
      <c r="Z355" s="395"/>
      <c r="AA355" s="395"/>
    </row>
    <row r="356" ht="15.75" customHeight="1">
      <c r="A356" s="112"/>
      <c r="B356" s="112"/>
      <c r="C356" s="412" t="str">
        <f t="array" ref="C356">IFERROR(INDEX(#REF!,MATCH($B356,Fornecedores!$B$8:$B$200,0)),"")</f>
        <v/>
      </c>
      <c r="D356" s="112"/>
      <c r="E356" s="112"/>
      <c r="F356" s="432"/>
      <c r="G356" s="433"/>
      <c r="H356" s="434" t="str">
        <f t="array" ref="H356">IFERROR(IF($A356="Medição",IFERROR(INDEX(#REF!,MATCH($B356,Fornecedores!$B$8:$B$200,0)),""),""),"")</f>
        <v/>
      </c>
      <c r="I356" s="435" t="str">
        <f t="shared" si="1"/>
        <v/>
      </c>
      <c r="J356" s="436"/>
      <c r="K356" s="437" t="str">
        <f t="array" ref="K356">IFERROR(IF($A356="Medição",IFERROR(INDEX(#REF!,MATCH($B356,Fornecedores!$B$8:$B$200,0)),0),""),"")</f>
        <v/>
      </c>
      <c r="L356" s="438" t="str">
        <f t="shared" si="2"/>
        <v/>
      </c>
      <c r="M356" s="439"/>
      <c r="N356" s="440" t="str">
        <f t="shared" si="3"/>
        <v/>
      </c>
      <c r="O356" s="432"/>
      <c r="P356" s="112"/>
      <c r="Q356" s="112"/>
      <c r="R356" s="112"/>
      <c r="S356" s="432"/>
      <c r="T356" s="112"/>
      <c r="U356" s="112"/>
      <c r="V356" s="112"/>
      <c r="W356" s="395"/>
      <c r="X356" s="395"/>
      <c r="Y356" s="395"/>
      <c r="Z356" s="395"/>
      <c r="AA356" s="395"/>
    </row>
    <row r="357" ht="15.75" customHeight="1">
      <c r="A357" s="112"/>
      <c r="B357" s="112"/>
      <c r="C357" s="412" t="str">
        <f t="array" ref="C357">IFERROR(INDEX(#REF!,MATCH($B357,Fornecedores!$B$8:$B$200,0)),"")</f>
        <v/>
      </c>
      <c r="D357" s="112"/>
      <c r="E357" s="112"/>
      <c r="F357" s="432"/>
      <c r="G357" s="433"/>
      <c r="H357" s="434" t="str">
        <f t="array" ref="H357">IFERROR(IF($A357="Medição",IFERROR(INDEX(#REF!,MATCH($B357,Fornecedores!$B$8:$B$200,0)),""),""),"")</f>
        <v/>
      </c>
      <c r="I357" s="435" t="str">
        <f t="shared" si="1"/>
        <v/>
      </c>
      <c r="J357" s="436"/>
      <c r="K357" s="437" t="str">
        <f t="array" ref="K357">IFERROR(IF($A357="Medição",IFERROR(INDEX(#REF!,MATCH($B357,Fornecedores!$B$8:$B$200,0)),0),""),"")</f>
        <v/>
      </c>
      <c r="L357" s="438" t="str">
        <f t="shared" si="2"/>
        <v/>
      </c>
      <c r="M357" s="439"/>
      <c r="N357" s="440" t="str">
        <f t="shared" si="3"/>
        <v/>
      </c>
      <c r="O357" s="432"/>
      <c r="P357" s="112"/>
      <c r="Q357" s="112"/>
      <c r="R357" s="112"/>
      <c r="S357" s="432"/>
      <c r="T357" s="112"/>
      <c r="U357" s="112"/>
      <c r="V357" s="112"/>
      <c r="W357" s="395"/>
      <c r="X357" s="395"/>
      <c r="Y357" s="395"/>
      <c r="Z357" s="395"/>
      <c r="AA357" s="395"/>
    </row>
    <row r="358" ht="15.75" customHeight="1">
      <c r="A358" s="112"/>
      <c r="B358" s="112"/>
      <c r="C358" s="412" t="str">
        <f t="array" ref="C358">IFERROR(INDEX(#REF!,MATCH($B358,Fornecedores!$B$8:$B$200,0)),"")</f>
        <v/>
      </c>
      <c r="D358" s="112"/>
      <c r="E358" s="112"/>
      <c r="F358" s="432"/>
      <c r="G358" s="433"/>
      <c r="H358" s="434" t="str">
        <f t="array" ref="H358">IFERROR(IF($A358="Medição",IFERROR(INDEX(#REF!,MATCH($B358,Fornecedores!$B$8:$B$200,0)),""),""),"")</f>
        <v/>
      </c>
      <c r="I358" s="435" t="str">
        <f t="shared" si="1"/>
        <v/>
      </c>
      <c r="J358" s="436"/>
      <c r="K358" s="437" t="str">
        <f t="array" ref="K358">IFERROR(IF($A358="Medição",IFERROR(INDEX(#REF!,MATCH($B358,Fornecedores!$B$8:$B$200,0)),0),""),"")</f>
        <v/>
      </c>
      <c r="L358" s="438" t="str">
        <f t="shared" si="2"/>
        <v/>
      </c>
      <c r="M358" s="439"/>
      <c r="N358" s="440" t="str">
        <f t="shared" si="3"/>
        <v/>
      </c>
      <c r="O358" s="432"/>
      <c r="P358" s="112"/>
      <c r="Q358" s="112"/>
      <c r="R358" s="112"/>
      <c r="S358" s="432"/>
      <c r="T358" s="112"/>
      <c r="U358" s="112"/>
      <c r="V358" s="112"/>
      <c r="W358" s="395"/>
      <c r="X358" s="395"/>
      <c r="Y358" s="395"/>
      <c r="Z358" s="395"/>
      <c r="AA358" s="395"/>
    </row>
    <row r="359" ht="15.75" customHeight="1">
      <c r="A359" s="112"/>
      <c r="B359" s="112"/>
      <c r="C359" s="412" t="str">
        <f t="array" ref="C359">IFERROR(INDEX(#REF!,MATCH($B359,Fornecedores!$B$8:$B$200,0)),"")</f>
        <v/>
      </c>
      <c r="D359" s="112"/>
      <c r="E359" s="112"/>
      <c r="F359" s="432"/>
      <c r="G359" s="433"/>
      <c r="H359" s="434" t="str">
        <f t="array" ref="H359">IFERROR(IF($A359="Medição",IFERROR(INDEX(#REF!,MATCH($B359,Fornecedores!$B$8:$B$200,0)),""),""),"")</f>
        <v/>
      </c>
      <c r="I359" s="435" t="str">
        <f t="shared" si="1"/>
        <v/>
      </c>
      <c r="J359" s="436"/>
      <c r="K359" s="437" t="str">
        <f t="array" ref="K359">IFERROR(IF($A359="Medição",IFERROR(INDEX(#REF!,MATCH($B359,Fornecedores!$B$8:$B$200,0)),0),""),"")</f>
        <v/>
      </c>
      <c r="L359" s="438" t="str">
        <f t="shared" si="2"/>
        <v/>
      </c>
      <c r="M359" s="439"/>
      <c r="N359" s="440" t="str">
        <f t="shared" si="3"/>
        <v/>
      </c>
      <c r="O359" s="432"/>
      <c r="P359" s="112"/>
      <c r="Q359" s="112"/>
      <c r="R359" s="112"/>
      <c r="S359" s="432"/>
      <c r="T359" s="112"/>
      <c r="U359" s="112"/>
      <c r="V359" s="112"/>
      <c r="W359" s="395"/>
      <c r="X359" s="395"/>
      <c r="Y359" s="395"/>
      <c r="Z359" s="395"/>
      <c r="AA359" s="395"/>
    </row>
    <row r="360" ht="15.75" customHeight="1">
      <c r="A360" s="112"/>
      <c r="B360" s="112"/>
      <c r="C360" s="412" t="str">
        <f t="array" ref="C360">IFERROR(INDEX(#REF!,MATCH($B360,Fornecedores!$B$8:$B$200,0)),"")</f>
        <v/>
      </c>
      <c r="D360" s="112"/>
      <c r="E360" s="112"/>
      <c r="F360" s="432"/>
      <c r="G360" s="433"/>
      <c r="H360" s="434" t="str">
        <f t="array" ref="H360">IFERROR(IF($A360="Medição",IFERROR(INDEX(#REF!,MATCH($B360,Fornecedores!$B$8:$B$200,0)),""),""),"")</f>
        <v/>
      </c>
      <c r="I360" s="435" t="str">
        <f t="shared" si="1"/>
        <v/>
      </c>
      <c r="J360" s="436"/>
      <c r="K360" s="437" t="str">
        <f t="array" ref="K360">IFERROR(IF($A360="Medição",IFERROR(INDEX(#REF!,MATCH($B360,Fornecedores!$B$8:$B$200,0)),0),""),"")</f>
        <v/>
      </c>
      <c r="L360" s="438" t="str">
        <f t="shared" si="2"/>
        <v/>
      </c>
      <c r="M360" s="439"/>
      <c r="N360" s="440" t="str">
        <f t="shared" si="3"/>
        <v/>
      </c>
      <c r="O360" s="432"/>
      <c r="P360" s="112"/>
      <c r="Q360" s="112"/>
      <c r="R360" s="112"/>
      <c r="S360" s="432"/>
      <c r="T360" s="112"/>
      <c r="U360" s="112"/>
      <c r="V360" s="112"/>
      <c r="W360" s="395"/>
      <c r="X360" s="395"/>
      <c r="Y360" s="395"/>
      <c r="Z360" s="395"/>
      <c r="AA360" s="395"/>
    </row>
    <row r="361" ht="15.75" customHeight="1">
      <c r="A361" s="112"/>
      <c r="B361" s="112"/>
      <c r="C361" s="412" t="str">
        <f t="array" ref="C361">IFERROR(INDEX(#REF!,MATCH($B361,Fornecedores!$B$8:$B$200,0)),"")</f>
        <v/>
      </c>
      <c r="D361" s="112"/>
      <c r="E361" s="112"/>
      <c r="F361" s="432"/>
      <c r="G361" s="433"/>
      <c r="H361" s="434" t="str">
        <f t="array" ref="H361">IFERROR(IF($A361="Medição",IFERROR(INDEX(#REF!,MATCH($B361,Fornecedores!$B$8:$B$200,0)),""),""),"")</f>
        <v/>
      </c>
      <c r="I361" s="435" t="str">
        <f t="shared" si="1"/>
        <v/>
      </c>
      <c r="J361" s="436"/>
      <c r="K361" s="437" t="str">
        <f t="array" ref="K361">IFERROR(IF($A361="Medição",IFERROR(INDEX(#REF!,MATCH($B361,Fornecedores!$B$8:$B$200,0)),0),""),"")</f>
        <v/>
      </c>
      <c r="L361" s="438" t="str">
        <f t="shared" si="2"/>
        <v/>
      </c>
      <c r="M361" s="439"/>
      <c r="N361" s="440" t="str">
        <f t="shared" si="3"/>
        <v/>
      </c>
      <c r="O361" s="432"/>
      <c r="P361" s="112"/>
      <c r="Q361" s="112"/>
      <c r="R361" s="112"/>
      <c r="S361" s="432"/>
      <c r="T361" s="112"/>
      <c r="U361" s="112"/>
      <c r="V361" s="112"/>
      <c r="W361" s="395"/>
      <c r="X361" s="395"/>
      <c r="Y361" s="395"/>
      <c r="Z361" s="395"/>
      <c r="AA361" s="395"/>
    </row>
    <row r="362" ht="15.75" customHeight="1">
      <c r="A362" s="112"/>
      <c r="B362" s="112"/>
      <c r="C362" s="412" t="str">
        <f t="array" ref="C362">IFERROR(INDEX(#REF!,MATCH($B362,Fornecedores!$B$8:$B$200,0)),"")</f>
        <v/>
      </c>
      <c r="D362" s="112"/>
      <c r="E362" s="112"/>
      <c r="F362" s="432"/>
      <c r="G362" s="433"/>
      <c r="H362" s="434" t="str">
        <f t="array" ref="H362">IFERROR(IF($A362="Medição",IFERROR(INDEX(#REF!,MATCH($B362,Fornecedores!$B$8:$B$200,0)),""),""),"")</f>
        <v/>
      </c>
      <c r="I362" s="435" t="str">
        <f t="shared" si="1"/>
        <v/>
      </c>
      <c r="J362" s="436"/>
      <c r="K362" s="437" t="str">
        <f t="array" ref="K362">IFERROR(IF($A362="Medição",IFERROR(INDEX(#REF!,MATCH($B362,Fornecedores!$B$8:$B$200,0)),0),""),"")</f>
        <v/>
      </c>
      <c r="L362" s="438" t="str">
        <f t="shared" si="2"/>
        <v/>
      </c>
      <c r="M362" s="439"/>
      <c r="N362" s="440" t="str">
        <f t="shared" si="3"/>
        <v/>
      </c>
      <c r="O362" s="432"/>
      <c r="P362" s="112"/>
      <c r="Q362" s="112"/>
      <c r="R362" s="112"/>
      <c r="S362" s="432"/>
      <c r="T362" s="112"/>
      <c r="U362" s="112"/>
      <c r="V362" s="112"/>
      <c r="W362" s="395"/>
      <c r="X362" s="395"/>
      <c r="Y362" s="395"/>
      <c r="Z362" s="395"/>
      <c r="AA362" s="395"/>
    </row>
    <row r="363" ht="15.75" customHeight="1">
      <c r="A363" s="112"/>
      <c r="B363" s="112"/>
      <c r="C363" s="412" t="str">
        <f t="array" ref="C363">IFERROR(INDEX(#REF!,MATCH($B363,Fornecedores!$B$8:$B$200,0)),"")</f>
        <v/>
      </c>
      <c r="D363" s="112"/>
      <c r="E363" s="112"/>
      <c r="F363" s="432"/>
      <c r="G363" s="433"/>
      <c r="H363" s="434" t="str">
        <f t="array" ref="H363">IFERROR(IF($A363="Medição",IFERROR(INDEX(#REF!,MATCH($B363,Fornecedores!$B$8:$B$200,0)),""),""),"")</f>
        <v/>
      </c>
      <c r="I363" s="435" t="str">
        <f t="shared" si="1"/>
        <v/>
      </c>
      <c r="J363" s="436"/>
      <c r="K363" s="437" t="str">
        <f t="array" ref="K363">IFERROR(IF($A363="Medição",IFERROR(INDEX(#REF!,MATCH($B363,Fornecedores!$B$8:$B$200,0)),0),""),"")</f>
        <v/>
      </c>
      <c r="L363" s="438" t="str">
        <f t="shared" si="2"/>
        <v/>
      </c>
      <c r="M363" s="439"/>
      <c r="N363" s="440" t="str">
        <f t="shared" si="3"/>
        <v/>
      </c>
      <c r="O363" s="432"/>
      <c r="P363" s="112"/>
      <c r="Q363" s="112"/>
      <c r="R363" s="112"/>
      <c r="S363" s="432"/>
      <c r="T363" s="112"/>
      <c r="U363" s="112"/>
      <c r="V363" s="112"/>
      <c r="W363" s="395"/>
      <c r="X363" s="395"/>
      <c r="Y363" s="395"/>
      <c r="Z363" s="395"/>
      <c r="AA363" s="395"/>
    </row>
    <row r="364" ht="15.75" customHeight="1">
      <c r="A364" s="112"/>
      <c r="B364" s="112"/>
      <c r="C364" s="412" t="str">
        <f t="array" ref="C364">IFERROR(INDEX(#REF!,MATCH($B364,Fornecedores!$B$8:$B$200,0)),"")</f>
        <v/>
      </c>
      <c r="D364" s="112"/>
      <c r="E364" s="112"/>
      <c r="F364" s="432"/>
      <c r="G364" s="433"/>
      <c r="H364" s="434" t="str">
        <f t="array" ref="H364">IFERROR(IF($A364="Medição",IFERROR(INDEX(#REF!,MATCH($B364,Fornecedores!$B$8:$B$200,0)),""),""),"")</f>
        <v/>
      </c>
      <c r="I364" s="435" t="str">
        <f t="shared" si="1"/>
        <v/>
      </c>
      <c r="J364" s="436"/>
      <c r="K364" s="437" t="str">
        <f t="array" ref="K364">IFERROR(IF($A364="Medição",IFERROR(INDEX(#REF!,MATCH($B364,Fornecedores!$B$8:$B$200,0)),0),""),"")</f>
        <v/>
      </c>
      <c r="L364" s="438" t="str">
        <f t="shared" si="2"/>
        <v/>
      </c>
      <c r="M364" s="439"/>
      <c r="N364" s="440" t="str">
        <f t="shared" si="3"/>
        <v/>
      </c>
      <c r="O364" s="432"/>
      <c r="P364" s="112"/>
      <c r="Q364" s="112"/>
      <c r="R364" s="112"/>
      <c r="S364" s="432"/>
      <c r="T364" s="112"/>
      <c r="U364" s="112"/>
      <c r="V364" s="112"/>
      <c r="W364" s="395"/>
      <c r="X364" s="395"/>
      <c r="Y364" s="395"/>
      <c r="Z364" s="395"/>
      <c r="AA364" s="395"/>
    </row>
    <row r="365" ht="15.75" customHeight="1">
      <c r="A365" s="112"/>
      <c r="B365" s="112"/>
      <c r="C365" s="412" t="str">
        <f t="array" ref="C365">IFERROR(INDEX(#REF!,MATCH($B365,Fornecedores!$B$8:$B$200,0)),"")</f>
        <v/>
      </c>
      <c r="D365" s="112"/>
      <c r="E365" s="112"/>
      <c r="F365" s="432"/>
      <c r="G365" s="433"/>
      <c r="H365" s="434" t="str">
        <f t="array" ref="H365">IFERROR(IF($A365="Medição",IFERROR(INDEX(#REF!,MATCH($B365,Fornecedores!$B$8:$B$200,0)),""),""),"")</f>
        <v/>
      </c>
      <c r="I365" s="435" t="str">
        <f t="shared" si="1"/>
        <v/>
      </c>
      <c r="J365" s="436"/>
      <c r="K365" s="437" t="str">
        <f t="array" ref="K365">IFERROR(IF($A365="Medição",IFERROR(INDEX(#REF!,MATCH($B365,Fornecedores!$B$8:$B$200,0)),0),""),"")</f>
        <v/>
      </c>
      <c r="L365" s="438" t="str">
        <f t="shared" si="2"/>
        <v/>
      </c>
      <c r="M365" s="439"/>
      <c r="N365" s="440" t="str">
        <f t="shared" si="3"/>
        <v/>
      </c>
      <c r="O365" s="432"/>
      <c r="P365" s="112"/>
      <c r="Q365" s="112"/>
      <c r="R365" s="112"/>
      <c r="S365" s="432"/>
      <c r="T365" s="112"/>
      <c r="U365" s="112"/>
      <c r="V365" s="112"/>
      <c r="W365" s="395"/>
      <c r="X365" s="395"/>
      <c r="Y365" s="395"/>
      <c r="Z365" s="395"/>
      <c r="AA365" s="395"/>
    </row>
    <row r="366" ht="15.75" customHeight="1">
      <c r="A366" s="112"/>
      <c r="B366" s="112"/>
      <c r="C366" s="412" t="str">
        <f t="array" ref="C366">IFERROR(INDEX(#REF!,MATCH($B366,Fornecedores!$B$8:$B$200,0)),"")</f>
        <v/>
      </c>
      <c r="D366" s="112"/>
      <c r="E366" s="112"/>
      <c r="F366" s="432"/>
      <c r="G366" s="433"/>
      <c r="H366" s="434" t="str">
        <f t="array" ref="H366">IFERROR(IF($A366="Medição",IFERROR(INDEX(#REF!,MATCH($B366,Fornecedores!$B$8:$B$200,0)),""),""),"")</f>
        <v/>
      </c>
      <c r="I366" s="435" t="str">
        <f t="shared" si="1"/>
        <v/>
      </c>
      <c r="J366" s="436"/>
      <c r="K366" s="437" t="str">
        <f t="array" ref="K366">IFERROR(IF($A366="Medição",IFERROR(INDEX(#REF!,MATCH($B366,Fornecedores!$B$8:$B$200,0)),0),""),"")</f>
        <v/>
      </c>
      <c r="L366" s="438" t="str">
        <f t="shared" si="2"/>
        <v/>
      </c>
      <c r="M366" s="439"/>
      <c r="N366" s="440" t="str">
        <f t="shared" si="3"/>
        <v/>
      </c>
      <c r="O366" s="432"/>
      <c r="P366" s="112"/>
      <c r="Q366" s="112"/>
      <c r="R366" s="112"/>
      <c r="S366" s="432"/>
      <c r="T366" s="112"/>
      <c r="U366" s="112"/>
      <c r="V366" s="112"/>
      <c r="W366" s="395"/>
      <c r="X366" s="395"/>
      <c r="Y366" s="395"/>
      <c r="Z366" s="395"/>
      <c r="AA366" s="395"/>
    </row>
    <row r="367" ht="15.75" customHeight="1">
      <c r="A367" s="112"/>
      <c r="B367" s="112"/>
      <c r="C367" s="412" t="str">
        <f t="array" ref="C367">IFERROR(INDEX(#REF!,MATCH($B367,Fornecedores!$B$8:$B$200,0)),"")</f>
        <v/>
      </c>
      <c r="D367" s="112"/>
      <c r="E367" s="112"/>
      <c r="F367" s="432"/>
      <c r="G367" s="433"/>
      <c r="H367" s="434" t="str">
        <f t="array" ref="H367">IFERROR(IF($A367="Medição",IFERROR(INDEX(#REF!,MATCH($B367,Fornecedores!$B$8:$B$200,0)),""),""),"")</f>
        <v/>
      </c>
      <c r="I367" s="435" t="str">
        <f t="shared" si="1"/>
        <v/>
      </c>
      <c r="J367" s="436"/>
      <c r="K367" s="437" t="str">
        <f t="array" ref="K367">IFERROR(IF($A367="Medição",IFERROR(INDEX(#REF!,MATCH($B367,Fornecedores!$B$8:$B$200,0)),0),""),"")</f>
        <v/>
      </c>
      <c r="L367" s="438" t="str">
        <f t="shared" si="2"/>
        <v/>
      </c>
      <c r="M367" s="439"/>
      <c r="N367" s="440" t="str">
        <f t="shared" si="3"/>
        <v/>
      </c>
      <c r="O367" s="432"/>
      <c r="P367" s="112"/>
      <c r="Q367" s="112"/>
      <c r="R367" s="112"/>
      <c r="S367" s="432"/>
      <c r="T367" s="112"/>
      <c r="U367" s="112"/>
      <c r="V367" s="112"/>
      <c r="W367" s="395"/>
      <c r="X367" s="395"/>
      <c r="Y367" s="395"/>
      <c r="Z367" s="395"/>
      <c r="AA367" s="395"/>
    </row>
    <row r="368" ht="15.75" customHeight="1">
      <c r="A368" s="112"/>
      <c r="B368" s="112"/>
      <c r="C368" s="412" t="str">
        <f t="array" ref="C368">IFERROR(INDEX(#REF!,MATCH($B368,Fornecedores!$B$8:$B$200,0)),"")</f>
        <v/>
      </c>
      <c r="D368" s="112"/>
      <c r="E368" s="112"/>
      <c r="F368" s="432"/>
      <c r="G368" s="433"/>
      <c r="H368" s="434" t="str">
        <f t="array" ref="H368">IFERROR(IF($A368="Medição",IFERROR(INDEX(#REF!,MATCH($B368,Fornecedores!$B$8:$B$200,0)),""),""),"")</f>
        <v/>
      </c>
      <c r="I368" s="435" t="str">
        <f t="shared" si="1"/>
        <v/>
      </c>
      <c r="J368" s="436"/>
      <c r="K368" s="437" t="str">
        <f t="array" ref="K368">IFERROR(IF($A368="Medição",IFERROR(INDEX(#REF!,MATCH($B368,Fornecedores!$B$8:$B$200,0)),0),""),"")</f>
        <v/>
      </c>
      <c r="L368" s="438" t="str">
        <f t="shared" si="2"/>
        <v/>
      </c>
      <c r="M368" s="439"/>
      <c r="N368" s="440" t="str">
        <f t="shared" si="3"/>
        <v/>
      </c>
      <c r="O368" s="432"/>
      <c r="P368" s="112"/>
      <c r="Q368" s="112"/>
      <c r="R368" s="112"/>
      <c r="S368" s="432"/>
      <c r="T368" s="112"/>
      <c r="U368" s="112"/>
      <c r="V368" s="112"/>
      <c r="W368" s="395"/>
      <c r="X368" s="395"/>
      <c r="Y368" s="395"/>
      <c r="Z368" s="395"/>
      <c r="AA368" s="395"/>
    </row>
    <row r="369" ht="15.75" customHeight="1">
      <c r="A369" s="112"/>
      <c r="B369" s="112"/>
      <c r="C369" s="412" t="str">
        <f t="array" ref="C369">IFERROR(INDEX(#REF!,MATCH($B369,Fornecedores!$B$8:$B$200,0)),"")</f>
        <v/>
      </c>
      <c r="D369" s="112"/>
      <c r="E369" s="112"/>
      <c r="F369" s="432"/>
      <c r="G369" s="433"/>
      <c r="H369" s="434" t="str">
        <f t="array" ref="H369">IFERROR(IF($A369="Medição",IFERROR(INDEX(#REF!,MATCH($B369,Fornecedores!$B$8:$B$200,0)),""),""),"")</f>
        <v/>
      </c>
      <c r="I369" s="435" t="str">
        <f t="shared" si="1"/>
        <v/>
      </c>
      <c r="J369" s="436"/>
      <c r="K369" s="437" t="str">
        <f t="array" ref="K369">IFERROR(IF($A369="Medição",IFERROR(INDEX(#REF!,MATCH($B369,Fornecedores!$B$8:$B$200,0)),0),""),"")</f>
        <v/>
      </c>
      <c r="L369" s="438" t="str">
        <f t="shared" si="2"/>
        <v/>
      </c>
      <c r="M369" s="439"/>
      <c r="N369" s="440" t="str">
        <f t="shared" si="3"/>
        <v/>
      </c>
      <c r="O369" s="432"/>
      <c r="P369" s="112"/>
      <c r="Q369" s="112"/>
      <c r="R369" s="112"/>
      <c r="S369" s="432"/>
      <c r="T369" s="112"/>
      <c r="U369" s="112"/>
      <c r="V369" s="112"/>
      <c r="W369" s="395"/>
      <c r="X369" s="395"/>
      <c r="Y369" s="395"/>
      <c r="Z369" s="395"/>
      <c r="AA369" s="395"/>
    </row>
    <row r="370" ht="15.75" customHeight="1">
      <c r="A370" s="112"/>
      <c r="B370" s="112"/>
      <c r="C370" s="412" t="str">
        <f t="array" ref="C370">IFERROR(INDEX(#REF!,MATCH($B370,Fornecedores!$B$8:$B$200,0)),"")</f>
        <v/>
      </c>
      <c r="D370" s="112"/>
      <c r="E370" s="112"/>
      <c r="F370" s="432"/>
      <c r="G370" s="433"/>
      <c r="H370" s="434" t="str">
        <f t="array" ref="H370">IFERROR(IF($A370="Medição",IFERROR(INDEX(#REF!,MATCH($B370,Fornecedores!$B$8:$B$200,0)),""),""),"")</f>
        <v/>
      </c>
      <c r="I370" s="435" t="str">
        <f t="shared" si="1"/>
        <v/>
      </c>
      <c r="J370" s="436"/>
      <c r="K370" s="437" t="str">
        <f t="array" ref="K370">IFERROR(IF($A370="Medição",IFERROR(INDEX(#REF!,MATCH($B370,Fornecedores!$B$8:$B$200,0)),0),""),"")</f>
        <v/>
      </c>
      <c r="L370" s="438" t="str">
        <f t="shared" si="2"/>
        <v/>
      </c>
      <c r="M370" s="439"/>
      <c r="N370" s="440" t="str">
        <f t="shared" si="3"/>
        <v/>
      </c>
      <c r="O370" s="432"/>
      <c r="P370" s="112"/>
      <c r="Q370" s="112"/>
      <c r="R370" s="112"/>
      <c r="S370" s="432"/>
      <c r="T370" s="112"/>
      <c r="U370" s="112"/>
      <c r="V370" s="112"/>
      <c r="W370" s="395"/>
      <c r="X370" s="395"/>
      <c r="Y370" s="395"/>
      <c r="Z370" s="395"/>
      <c r="AA370" s="395"/>
    </row>
    <row r="371" ht="15.75" customHeight="1">
      <c r="A371" s="112"/>
      <c r="B371" s="112"/>
      <c r="C371" s="412" t="str">
        <f t="array" ref="C371">IFERROR(INDEX(#REF!,MATCH($B371,Fornecedores!$B$8:$B$200,0)),"")</f>
        <v/>
      </c>
      <c r="D371" s="112"/>
      <c r="E371" s="112"/>
      <c r="F371" s="432"/>
      <c r="G371" s="433"/>
      <c r="H371" s="434" t="str">
        <f t="array" ref="H371">IFERROR(IF($A371="Medição",IFERROR(INDEX(#REF!,MATCH($B371,Fornecedores!$B$8:$B$200,0)),""),""),"")</f>
        <v/>
      </c>
      <c r="I371" s="435" t="str">
        <f t="shared" si="1"/>
        <v/>
      </c>
      <c r="J371" s="436"/>
      <c r="K371" s="437" t="str">
        <f t="array" ref="K371">IFERROR(IF($A371="Medição",IFERROR(INDEX(#REF!,MATCH($B371,Fornecedores!$B$8:$B$200,0)),0),""),"")</f>
        <v/>
      </c>
      <c r="L371" s="438" t="str">
        <f t="shared" si="2"/>
        <v/>
      </c>
      <c r="M371" s="439"/>
      <c r="N371" s="440" t="str">
        <f t="shared" si="3"/>
        <v/>
      </c>
      <c r="O371" s="432"/>
      <c r="P371" s="112"/>
      <c r="Q371" s="112"/>
      <c r="R371" s="112"/>
      <c r="S371" s="432"/>
      <c r="T371" s="112"/>
      <c r="U371" s="112"/>
      <c r="V371" s="112"/>
      <c r="W371" s="395"/>
      <c r="X371" s="395"/>
      <c r="Y371" s="395"/>
      <c r="Z371" s="395"/>
      <c r="AA371" s="395"/>
    </row>
    <row r="372" ht="15.75" customHeight="1">
      <c r="A372" s="112"/>
      <c r="B372" s="112"/>
      <c r="C372" s="412" t="str">
        <f t="array" ref="C372">IFERROR(INDEX(#REF!,MATCH($B372,Fornecedores!$B$8:$B$200,0)),"")</f>
        <v/>
      </c>
      <c r="D372" s="112"/>
      <c r="E372" s="112"/>
      <c r="F372" s="432"/>
      <c r="G372" s="433"/>
      <c r="H372" s="434" t="str">
        <f t="array" ref="H372">IFERROR(IF($A372="Medição",IFERROR(INDEX(#REF!,MATCH($B372,Fornecedores!$B$8:$B$200,0)),""),""),"")</f>
        <v/>
      </c>
      <c r="I372" s="435" t="str">
        <f t="shared" si="1"/>
        <v/>
      </c>
      <c r="J372" s="436"/>
      <c r="K372" s="437" t="str">
        <f t="array" ref="K372">IFERROR(IF($A372="Medição",IFERROR(INDEX(#REF!,MATCH($B372,Fornecedores!$B$8:$B$200,0)),0),""),"")</f>
        <v/>
      </c>
      <c r="L372" s="438" t="str">
        <f t="shared" si="2"/>
        <v/>
      </c>
      <c r="M372" s="439"/>
      <c r="N372" s="440" t="str">
        <f t="shared" si="3"/>
        <v/>
      </c>
      <c r="O372" s="432"/>
      <c r="P372" s="112"/>
      <c r="Q372" s="112"/>
      <c r="R372" s="112"/>
      <c r="S372" s="432"/>
      <c r="T372" s="112"/>
      <c r="U372" s="112"/>
      <c r="V372" s="112"/>
      <c r="W372" s="395"/>
      <c r="X372" s="395"/>
      <c r="Y372" s="395"/>
      <c r="Z372" s="395"/>
      <c r="AA372" s="395"/>
    </row>
    <row r="373" ht="15.75" customHeight="1">
      <c r="A373" s="112"/>
      <c r="B373" s="112"/>
      <c r="C373" s="412" t="str">
        <f t="array" ref="C373">IFERROR(INDEX(#REF!,MATCH($B373,Fornecedores!$B$8:$B$200,0)),"")</f>
        <v/>
      </c>
      <c r="D373" s="112"/>
      <c r="E373" s="112"/>
      <c r="F373" s="432"/>
      <c r="G373" s="433"/>
      <c r="H373" s="434" t="str">
        <f t="array" ref="H373">IFERROR(IF($A373="Medição",IFERROR(INDEX(#REF!,MATCH($B373,Fornecedores!$B$8:$B$200,0)),""),""),"")</f>
        <v/>
      </c>
      <c r="I373" s="435" t="str">
        <f t="shared" si="1"/>
        <v/>
      </c>
      <c r="J373" s="436"/>
      <c r="K373" s="437" t="str">
        <f t="array" ref="K373">IFERROR(IF($A373="Medição",IFERROR(INDEX(#REF!,MATCH($B373,Fornecedores!$B$8:$B$200,0)),0),""),"")</f>
        <v/>
      </c>
      <c r="L373" s="438" t="str">
        <f t="shared" si="2"/>
        <v/>
      </c>
      <c r="M373" s="439"/>
      <c r="N373" s="440" t="str">
        <f t="shared" si="3"/>
        <v/>
      </c>
      <c r="O373" s="432"/>
      <c r="P373" s="112"/>
      <c r="Q373" s="112"/>
      <c r="R373" s="112"/>
      <c r="S373" s="432"/>
      <c r="T373" s="112"/>
      <c r="U373" s="112"/>
      <c r="V373" s="112"/>
      <c r="W373" s="395"/>
      <c r="X373" s="395"/>
      <c r="Y373" s="395"/>
      <c r="Z373" s="395"/>
      <c r="AA373" s="395"/>
    </row>
    <row r="374" ht="15.75" customHeight="1">
      <c r="A374" s="112"/>
      <c r="B374" s="112"/>
      <c r="C374" s="412" t="str">
        <f t="array" ref="C374">IFERROR(INDEX(#REF!,MATCH($B374,Fornecedores!$B$8:$B$200,0)),"")</f>
        <v/>
      </c>
      <c r="D374" s="112"/>
      <c r="E374" s="112"/>
      <c r="F374" s="432"/>
      <c r="G374" s="433"/>
      <c r="H374" s="434" t="str">
        <f t="array" ref="H374">IFERROR(IF($A374="Medição",IFERROR(INDEX(#REF!,MATCH($B374,Fornecedores!$B$8:$B$200,0)),""),""),"")</f>
        <v/>
      </c>
      <c r="I374" s="435" t="str">
        <f t="shared" si="1"/>
        <v/>
      </c>
      <c r="J374" s="436"/>
      <c r="K374" s="437" t="str">
        <f t="array" ref="K374">IFERROR(IF($A374="Medição",IFERROR(INDEX(#REF!,MATCH($B374,Fornecedores!$B$8:$B$200,0)),0),""),"")</f>
        <v/>
      </c>
      <c r="L374" s="438" t="str">
        <f t="shared" si="2"/>
        <v/>
      </c>
      <c r="M374" s="439"/>
      <c r="N374" s="440" t="str">
        <f t="shared" si="3"/>
        <v/>
      </c>
      <c r="O374" s="432"/>
      <c r="P374" s="112"/>
      <c r="Q374" s="112"/>
      <c r="R374" s="112"/>
      <c r="S374" s="432"/>
      <c r="T374" s="112"/>
      <c r="U374" s="112"/>
      <c r="V374" s="112"/>
      <c r="W374" s="395"/>
      <c r="X374" s="395"/>
      <c r="Y374" s="395"/>
      <c r="Z374" s="395"/>
      <c r="AA374" s="395"/>
    </row>
    <row r="375" ht="15.75" customHeight="1">
      <c r="A375" s="112"/>
      <c r="B375" s="112"/>
      <c r="C375" s="412" t="str">
        <f t="array" ref="C375">IFERROR(INDEX(#REF!,MATCH($B375,Fornecedores!$B$8:$B$200,0)),"")</f>
        <v/>
      </c>
      <c r="D375" s="112"/>
      <c r="E375" s="112"/>
      <c r="F375" s="432"/>
      <c r="G375" s="433"/>
      <c r="H375" s="434" t="str">
        <f t="array" ref="H375">IFERROR(IF($A375="Medição",IFERROR(INDEX(#REF!,MATCH($B375,Fornecedores!$B$8:$B$200,0)),""),""),"")</f>
        <v/>
      </c>
      <c r="I375" s="435" t="str">
        <f t="shared" si="1"/>
        <v/>
      </c>
      <c r="J375" s="436"/>
      <c r="K375" s="437" t="str">
        <f t="array" ref="K375">IFERROR(IF($A375="Medição",IFERROR(INDEX(#REF!,MATCH($B375,Fornecedores!$B$8:$B$200,0)),0),""),"")</f>
        <v/>
      </c>
      <c r="L375" s="438" t="str">
        <f t="shared" si="2"/>
        <v/>
      </c>
      <c r="M375" s="439"/>
      <c r="N375" s="440" t="str">
        <f t="shared" si="3"/>
        <v/>
      </c>
      <c r="O375" s="432"/>
      <c r="P375" s="112"/>
      <c r="Q375" s="112"/>
      <c r="R375" s="112"/>
      <c r="S375" s="432"/>
      <c r="T375" s="112"/>
      <c r="U375" s="112"/>
      <c r="V375" s="112"/>
      <c r="W375" s="395"/>
      <c r="X375" s="395"/>
      <c r="Y375" s="395"/>
      <c r="Z375" s="395"/>
      <c r="AA375" s="395"/>
    </row>
    <row r="376" ht="15.75" customHeight="1">
      <c r="A376" s="112"/>
      <c r="B376" s="112"/>
      <c r="C376" s="412" t="str">
        <f t="array" ref="C376">IFERROR(INDEX(#REF!,MATCH($B376,Fornecedores!$B$8:$B$200,0)),"")</f>
        <v/>
      </c>
      <c r="D376" s="112"/>
      <c r="E376" s="112"/>
      <c r="F376" s="432"/>
      <c r="G376" s="433"/>
      <c r="H376" s="434" t="str">
        <f t="array" ref="H376">IFERROR(IF($A376="Medição",IFERROR(INDEX(#REF!,MATCH($B376,Fornecedores!$B$8:$B$200,0)),""),""),"")</f>
        <v/>
      </c>
      <c r="I376" s="435" t="str">
        <f t="shared" si="1"/>
        <v/>
      </c>
      <c r="J376" s="436"/>
      <c r="K376" s="437" t="str">
        <f t="array" ref="K376">IFERROR(IF($A376="Medição",IFERROR(INDEX(#REF!,MATCH($B376,Fornecedores!$B$8:$B$200,0)),0),""),"")</f>
        <v/>
      </c>
      <c r="L376" s="438" t="str">
        <f t="shared" si="2"/>
        <v/>
      </c>
      <c r="M376" s="439"/>
      <c r="N376" s="440" t="str">
        <f t="shared" si="3"/>
        <v/>
      </c>
      <c r="O376" s="432"/>
      <c r="P376" s="112"/>
      <c r="Q376" s="112"/>
      <c r="R376" s="112"/>
      <c r="S376" s="432"/>
      <c r="T376" s="112"/>
      <c r="U376" s="112"/>
      <c r="V376" s="112"/>
      <c r="W376" s="395"/>
      <c r="X376" s="395"/>
      <c r="Y376" s="395"/>
      <c r="Z376" s="395"/>
      <c r="AA376" s="395"/>
    </row>
    <row r="377" ht="15.75" customHeight="1">
      <c r="A377" s="112"/>
      <c r="B377" s="112"/>
      <c r="C377" s="412" t="str">
        <f t="array" ref="C377">IFERROR(INDEX(#REF!,MATCH($B377,Fornecedores!$B$8:$B$200,0)),"")</f>
        <v/>
      </c>
      <c r="D377" s="112"/>
      <c r="E377" s="112"/>
      <c r="F377" s="432"/>
      <c r="G377" s="433"/>
      <c r="H377" s="434" t="str">
        <f t="array" ref="H377">IFERROR(IF($A377="Medição",IFERROR(INDEX(#REF!,MATCH($B377,Fornecedores!$B$8:$B$200,0)),""),""),"")</f>
        <v/>
      </c>
      <c r="I377" s="435" t="str">
        <f t="shared" si="1"/>
        <v/>
      </c>
      <c r="J377" s="436"/>
      <c r="K377" s="437" t="str">
        <f t="array" ref="K377">IFERROR(IF($A377="Medição",IFERROR(INDEX(#REF!,MATCH($B377,Fornecedores!$B$8:$B$200,0)),0),""),"")</f>
        <v/>
      </c>
      <c r="L377" s="438" t="str">
        <f t="shared" si="2"/>
        <v/>
      </c>
      <c r="M377" s="439"/>
      <c r="N377" s="440" t="str">
        <f t="shared" si="3"/>
        <v/>
      </c>
      <c r="O377" s="432"/>
      <c r="P377" s="112"/>
      <c r="Q377" s="112"/>
      <c r="R377" s="112"/>
      <c r="S377" s="432"/>
      <c r="T377" s="112"/>
      <c r="U377" s="112"/>
      <c r="V377" s="112"/>
      <c r="W377" s="395"/>
      <c r="X377" s="395"/>
      <c r="Y377" s="395"/>
      <c r="Z377" s="395"/>
      <c r="AA377" s="395"/>
    </row>
    <row r="378" ht="15.75" customHeight="1">
      <c r="A378" s="112"/>
      <c r="B378" s="112"/>
      <c r="C378" s="412" t="str">
        <f t="array" ref="C378">IFERROR(INDEX(#REF!,MATCH($B378,Fornecedores!$B$8:$B$200,0)),"")</f>
        <v/>
      </c>
      <c r="D378" s="112"/>
      <c r="E378" s="112"/>
      <c r="F378" s="432"/>
      <c r="G378" s="433"/>
      <c r="H378" s="434" t="str">
        <f t="array" ref="H378">IFERROR(IF($A378="Medição",IFERROR(INDEX(#REF!,MATCH($B378,Fornecedores!$B$8:$B$200,0)),""),""),"")</f>
        <v/>
      </c>
      <c r="I378" s="435" t="str">
        <f t="shared" si="1"/>
        <v/>
      </c>
      <c r="J378" s="436"/>
      <c r="K378" s="437" t="str">
        <f t="array" ref="K378">IFERROR(IF($A378="Medição",IFERROR(INDEX(#REF!,MATCH($B378,Fornecedores!$B$8:$B$200,0)),0),""),"")</f>
        <v/>
      </c>
      <c r="L378" s="438" t="str">
        <f t="shared" si="2"/>
        <v/>
      </c>
      <c r="M378" s="439"/>
      <c r="N378" s="440" t="str">
        <f t="shared" si="3"/>
        <v/>
      </c>
      <c r="O378" s="432"/>
      <c r="P378" s="112"/>
      <c r="Q378" s="112"/>
      <c r="R378" s="112"/>
      <c r="S378" s="432"/>
      <c r="T378" s="112"/>
      <c r="U378" s="112"/>
      <c r="V378" s="112"/>
      <c r="W378" s="395"/>
      <c r="X378" s="395"/>
      <c r="Y378" s="395"/>
      <c r="Z378" s="395"/>
      <c r="AA378" s="395"/>
    </row>
    <row r="379" ht="15.75" customHeight="1">
      <c r="A379" s="112"/>
      <c r="B379" s="112"/>
      <c r="C379" s="412" t="str">
        <f t="array" ref="C379">IFERROR(INDEX(#REF!,MATCH($B379,Fornecedores!$B$8:$B$200,0)),"")</f>
        <v/>
      </c>
      <c r="D379" s="112"/>
      <c r="E379" s="112"/>
      <c r="F379" s="432"/>
      <c r="G379" s="433"/>
      <c r="H379" s="434" t="str">
        <f t="array" ref="H379">IFERROR(IF($A379="Medição",IFERROR(INDEX(#REF!,MATCH($B379,Fornecedores!$B$8:$B$200,0)),""),""),"")</f>
        <v/>
      </c>
      <c r="I379" s="435" t="str">
        <f t="shared" si="1"/>
        <v/>
      </c>
      <c r="J379" s="436"/>
      <c r="K379" s="437" t="str">
        <f t="array" ref="K379">IFERROR(IF($A379="Medição",IFERROR(INDEX(#REF!,MATCH($B379,Fornecedores!$B$8:$B$200,0)),0),""),"")</f>
        <v/>
      </c>
      <c r="L379" s="438" t="str">
        <f t="shared" si="2"/>
        <v/>
      </c>
      <c r="M379" s="439"/>
      <c r="N379" s="440" t="str">
        <f t="shared" si="3"/>
        <v/>
      </c>
      <c r="O379" s="432"/>
      <c r="P379" s="112"/>
      <c r="Q379" s="112"/>
      <c r="R379" s="112"/>
      <c r="S379" s="432"/>
      <c r="T379" s="112"/>
      <c r="U379" s="112"/>
      <c r="V379" s="112"/>
      <c r="W379" s="395"/>
      <c r="X379" s="395"/>
      <c r="Y379" s="395"/>
      <c r="Z379" s="395"/>
      <c r="AA379" s="395"/>
    </row>
    <row r="380" ht="15.75" customHeight="1">
      <c r="A380" s="112"/>
      <c r="B380" s="112"/>
      <c r="C380" s="412" t="str">
        <f t="array" ref="C380">IFERROR(INDEX(#REF!,MATCH($B380,Fornecedores!$B$8:$B$200,0)),"")</f>
        <v/>
      </c>
      <c r="D380" s="112"/>
      <c r="E380" s="112"/>
      <c r="F380" s="432"/>
      <c r="G380" s="433"/>
      <c r="H380" s="434" t="str">
        <f t="array" ref="H380">IFERROR(IF($A380="Medição",IFERROR(INDEX(#REF!,MATCH($B380,Fornecedores!$B$8:$B$200,0)),""),""),"")</f>
        <v/>
      </c>
      <c r="I380" s="435" t="str">
        <f t="shared" si="1"/>
        <v/>
      </c>
      <c r="J380" s="436"/>
      <c r="K380" s="437" t="str">
        <f t="array" ref="K380">IFERROR(IF($A380="Medição",IFERROR(INDEX(#REF!,MATCH($B380,Fornecedores!$B$8:$B$200,0)),0),""),"")</f>
        <v/>
      </c>
      <c r="L380" s="438" t="str">
        <f t="shared" si="2"/>
        <v/>
      </c>
      <c r="M380" s="439"/>
      <c r="N380" s="440" t="str">
        <f t="shared" si="3"/>
        <v/>
      </c>
      <c r="O380" s="432"/>
      <c r="P380" s="112"/>
      <c r="Q380" s="112"/>
      <c r="R380" s="112"/>
      <c r="S380" s="432"/>
      <c r="T380" s="112"/>
      <c r="U380" s="112"/>
      <c r="V380" s="112"/>
      <c r="W380" s="395"/>
      <c r="X380" s="395"/>
      <c r="Y380" s="395"/>
      <c r="Z380" s="395"/>
      <c r="AA380" s="395"/>
    </row>
    <row r="381" ht="15.75" customHeight="1">
      <c r="A381" s="112"/>
      <c r="B381" s="112"/>
      <c r="C381" s="412" t="str">
        <f t="array" ref="C381">IFERROR(INDEX(#REF!,MATCH($B381,Fornecedores!$B$8:$B$200,0)),"")</f>
        <v/>
      </c>
      <c r="D381" s="112"/>
      <c r="E381" s="112"/>
      <c r="F381" s="432"/>
      <c r="G381" s="433"/>
      <c r="H381" s="434" t="str">
        <f t="array" ref="H381">IFERROR(IF($A381="Medição",IFERROR(INDEX(#REF!,MATCH($B381,Fornecedores!$B$8:$B$200,0)),""),""),"")</f>
        <v/>
      </c>
      <c r="I381" s="435" t="str">
        <f t="shared" si="1"/>
        <v/>
      </c>
      <c r="J381" s="436"/>
      <c r="K381" s="437" t="str">
        <f t="array" ref="K381">IFERROR(IF($A381="Medição",IFERROR(INDEX(#REF!,MATCH($B381,Fornecedores!$B$8:$B$200,0)),0),""),"")</f>
        <v/>
      </c>
      <c r="L381" s="438" t="str">
        <f t="shared" si="2"/>
        <v/>
      </c>
      <c r="M381" s="439"/>
      <c r="N381" s="440" t="str">
        <f t="shared" si="3"/>
        <v/>
      </c>
      <c r="O381" s="432"/>
      <c r="P381" s="112"/>
      <c r="Q381" s="112"/>
      <c r="R381" s="112"/>
      <c r="S381" s="432"/>
      <c r="T381" s="112"/>
      <c r="U381" s="112"/>
      <c r="V381" s="112"/>
      <c r="W381" s="395"/>
      <c r="X381" s="395"/>
      <c r="Y381" s="395"/>
      <c r="Z381" s="395"/>
      <c r="AA381" s="395"/>
    </row>
    <row r="382" ht="15.75" customHeight="1">
      <c r="A382" s="112"/>
      <c r="B382" s="112"/>
      <c r="C382" s="412" t="str">
        <f t="array" ref="C382">IFERROR(INDEX(#REF!,MATCH($B382,Fornecedores!$B$8:$B$200,0)),"")</f>
        <v/>
      </c>
      <c r="D382" s="112"/>
      <c r="E382" s="112"/>
      <c r="F382" s="432"/>
      <c r="G382" s="433"/>
      <c r="H382" s="434" t="str">
        <f t="array" ref="H382">IFERROR(IF($A382="Medição",IFERROR(INDEX(#REF!,MATCH($B382,Fornecedores!$B$8:$B$200,0)),""),""),"")</f>
        <v/>
      </c>
      <c r="I382" s="435" t="str">
        <f t="shared" si="1"/>
        <v/>
      </c>
      <c r="J382" s="436"/>
      <c r="K382" s="437" t="str">
        <f t="array" ref="K382">IFERROR(IF($A382="Medição",IFERROR(INDEX(#REF!,MATCH($B382,Fornecedores!$B$8:$B$200,0)),0),""),"")</f>
        <v/>
      </c>
      <c r="L382" s="438" t="str">
        <f t="shared" si="2"/>
        <v/>
      </c>
      <c r="M382" s="439"/>
      <c r="N382" s="440" t="str">
        <f t="shared" si="3"/>
        <v/>
      </c>
      <c r="O382" s="432"/>
      <c r="P382" s="112"/>
      <c r="Q382" s="112"/>
      <c r="R382" s="112"/>
      <c r="S382" s="432"/>
      <c r="T382" s="112"/>
      <c r="U382" s="112"/>
      <c r="V382" s="112"/>
      <c r="W382" s="395"/>
      <c r="X382" s="395"/>
      <c r="Y382" s="395"/>
      <c r="Z382" s="395"/>
      <c r="AA382" s="395"/>
    </row>
    <row r="383" ht="15.75" customHeight="1">
      <c r="A383" s="112"/>
      <c r="B383" s="112"/>
      <c r="C383" s="412" t="str">
        <f t="array" ref="C383">IFERROR(INDEX(#REF!,MATCH($B383,Fornecedores!$B$8:$B$200,0)),"")</f>
        <v/>
      </c>
      <c r="D383" s="112"/>
      <c r="E383" s="112"/>
      <c r="F383" s="432"/>
      <c r="G383" s="433"/>
      <c r="H383" s="434" t="str">
        <f t="array" ref="H383">IFERROR(IF($A383="Medição",IFERROR(INDEX(#REF!,MATCH($B383,Fornecedores!$B$8:$B$200,0)),""),""),"")</f>
        <v/>
      </c>
      <c r="I383" s="435" t="str">
        <f t="shared" si="1"/>
        <v/>
      </c>
      <c r="J383" s="436"/>
      <c r="K383" s="437" t="str">
        <f t="array" ref="K383">IFERROR(IF($A383="Medição",IFERROR(INDEX(#REF!,MATCH($B383,Fornecedores!$B$8:$B$200,0)),0),""),"")</f>
        <v/>
      </c>
      <c r="L383" s="438" t="str">
        <f t="shared" si="2"/>
        <v/>
      </c>
      <c r="M383" s="439"/>
      <c r="N383" s="440" t="str">
        <f t="shared" si="3"/>
        <v/>
      </c>
      <c r="O383" s="432"/>
      <c r="P383" s="112"/>
      <c r="Q383" s="112"/>
      <c r="R383" s="112"/>
      <c r="S383" s="432"/>
      <c r="T383" s="112"/>
      <c r="U383" s="112"/>
      <c r="V383" s="112"/>
      <c r="W383" s="395"/>
      <c r="X383" s="395"/>
      <c r="Y383" s="395"/>
      <c r="Z383" s="395"/>
      <c r="AA383" s="395"/>
    </row>
    <row r="384" ht="15.75" customHeight="1">
      <c r="A384" s="112"/>
      <c r="B384" s="112"/>
      <c r="C384" s="412" t="str">
        <f t="array" ref="C384">IFERROR(INDEX(#REF!,MATCH($B384,Fornecedores!$B$8:$B$200,0)),"")</f>
        <v/>
      </c>
      <c r="D384" s="112"/>
      <c r="E384" s="112"/>
      <c r="F384" s="432"/>
      <c r="G384" s="433"/>
      <c r="H384" s="434" t="str">
        <f t="array" ref="H384">IFERROR(IF($A384="Medição",IFERROR(INDEX(#REF!,MATCH($B384,Fornecedores!$B$8:$B$200,0)),""),""),"")</f>
        <v/>
      </c>
      <c r="I384" s="435" t="str">
        <f t="shared" si="1"/>
        <v/>
      </c>
      <c r="J384" s="436"/>
      <c r="K384" s="437" t="str">
        <f t="array" ref="K384">IFERROR(IF($A384="Medição",IFERROR(INDEX(#REF!,MATCH($B384,Fornecedores!$B$8:$B$200,0)),0),""),"")</f>
        <v/>
      </c>
      <c r="L384" s="438" t="str">
        <f t="shared" si="2"/>
        <v/>
      </c>
      <c r="M384" s="439"/>
      <c r="N384" s="440" t="str">
        <f t="shared" si="3"/>
        <v/>
      </c>
      <c r="O384" s="432"/>
      <c r="P384" s="112"/>
      <c r="Q384" s="112"/>
      <c r="R384" s="112"/>
      <c r="S384" s="432"/>
      <c r="T384" s="112"/>
      <c r="U384" s="112"/>
      <c r="V384" s="112"/>
      <c r="W384" s="395"/>
      <c r="X384" s="395"/>
      <c r="Y384" s="395"/>
      <c r="Z384" s="395"/>
      <c r="AA384" s="395"/>
    </row>
    <row r="385" ht="15.75" customHeight="1">
      <c r="A385" s="112"/>
      <c r="B385" s="112"/>
      <c r="C385" s="412" t="str">
        <f t="array" ref="C385">IFERROR(INDEX(#REF!,MATCH($B385,Fornecedores!$B$8:$B$200,0)),"")</f>
        <v/>
      </c>
      <c r="D385" s="112"/>
      <c r="E385" s="112"/>
      <c r="F385" s="432"/>
      <c r="G385" s="433"/>
      <c r="H385" s="434" t="str">
        <f t="array" ref="H385">IFERROR(IF($A385="Medição",IFERROR(INDEX(#REF!,MATCH($B385,Fornecedores!$B$8:$B$200,0)),""),""),"")</f>
        <v/>
      </c>
      <c r="I385" s="435" t="str">
        <f t="shared" si="1"/>
        <v/>
      </c>
      <c r="J385" s="436"/>
      <c r="K385" s="437" t="str">
        <f t="array" ref="K385">IFERROR(IF($A385="Medição",IFERROR(INDEX(#REF!,MATCH($B385,Fornecedores!$B$8:$B$200,0)),0),""),"")</f>
        <v/>
      </c>
      <c r="L385" s="438" t="str">
        <f t="shared" si="2"/>
        <v/>
      </c>
      <c r="M385" s="439"/>
      <c r="N385" s="440" t="str">
        <f t="shared" si="3"/>
        <v/>
      </c>
      <c r="O385" s="432"/>
      <c r="P385" s="112"/>
      <c r="Q385" s="112"/>
      <c r="R385" s="112"/>
      <c r="S385" s="432"/>
      <c r="T385" s="112"/>
      <c r="U385" s="112"/>
      <c r="V385" s="112"/>
      <c r="W385" s="395"/>
      <c r="X385" s="395"/>
      <c r="Y385" s="395"/>
      <c r="Z385" s="395"/>
      <c r="AA385" s="395"/>
    </row>
    <row r="386" ht="15.75" customHeight="1">
      <c r="A386" s="112"/>
      <c r="B386" s="112"/>
      <c r="C386" s="412" t="str">
        <f t="array" ref="C386">IFERROR(INDEX(#REF!,MATCH($B386,Fornecedores!$B$8:$B$200,0)),"")</f>
        <v/>
      </c>
      <c r="D386" s="112"/>
      <c r="E386" s="112"/>
      <c r="F386" s="432"/>
      <c r="G386" s="433"/>
      <c r="H386" s="434" t="str">
        <f t="array" ref="H386">IFERROR(IF($A386="Medição",IFERROR(INDEX(#REF!,MATCH($B386,Fornecedores!$B$8:$B$200,0)),""),""),"")</f>
        <v/>
      </c>
      <c r="I386" s="435" t="str">
        <f t="shared" si="1"/>
        <v/>
      </c>
      <c r="J386" s="436"/>
      <c r="K386" s="437" t="str">
        <f t="array" ref="K386">IFERROR(IF($A386="Medição",IFERROR(INDEX(#REF!,MATCH($B386,Fornecedores!$B$8:$B$200,0)),0),""),"")</f>
        <v/>
      </c>
      <c r="L386" s="438" t="str">
        <f t="shared" si="2"/>
        <v/>
      </c>
      <c r="M386" s="439"/>
      <c r="N386" s="440" t="str">
        <f t="shared" si="3"/>
        <v/>
      </c>
      <c r="O386" s="432"/>
      <c r="P386" s="112"/>
      <c r="Q386" s="112"/>
      <c r="R386" s="112"/>
      <c r="S386" s="432"/>
      <c r="T386" s="112"/>
      <c r="U386" s="112"/>
      <c r="V386" s="112"/>
      <c r="W386" s="395"/>
      <c r="X386" s="395"/>
      <c r="Y386" s="395"/>
      <c r="Z386" s="395"/>
      <c r="AA386" s="395"/>
    </row>
    <row r="387" ht="15.75" customHeight="1">
      <c r="A387" s="112"/>
      <c r="B387" s="112"/>
      <c r="C387" s="412" t="str">
        <f t="array" ref="C387">IFERROR(INDEX(#REF!,MATCH($B387,Fornecedores!$B$8:$B$200,0)),"")</f>
        <v/>
      </c>
      <c r="D387" s="112"/>
      <c r="E387" s="112"/>
      <c r="F387" s="432"/>
      <c r="G387" s="433"/>
      <c r="H387" s="434" t="str">
        <f t="array" ref="H387">IFERROR(IF($A387="Medição",IFERROR(INDEX(#REF!,MATCH($B387,Fornecedores!$B$8:$B$200,0)),""),""),"")</f>
        <v/>
      </c>
      <c r="I387" s="435" t="str">
        <f t="shared" si="1"/>
        <v/>
      </c>
      <c r="J387" s="436"/>
      <c r="K387" s="437" t="str">
        <f t="array" ref="K387">IFERROR(IF($A387="Medição",IFERROR(INDEX(#REF!,MATCH($B387,Fornecedores!$B$8:$B$200,0)),0),""),"")</f>
        <v/>
      </c>
      <c r="L387" s="438" t="str">
        <f t="shared" si="2"/>
        <v/>
      </c>
      <c r="M387" s="439"/>
      <c r="N387" s="440" t="str">
        <f t="shared" si="3"/>
        <v/>
      </c>
      <c r="O387" s="432"/>
      <c r="P387" s="112"/>
      <c r="Q387" s="112"/>
      <c r="R387" s="112"/>
      <c r="S387" s="432"/>
      <c r="T387" s="112"/>
      <c r="U387" s="112"/>
      <c r="V387" s="112"/>
      <c r="W387" s="395"/>
      <c r="X387" s="395"/>
      <c r="Y387" s="395"/>
      <c r="Z387" s="395"/>
      <c r="AA387" s="395"/>
    </row>
    <row r="388" ht="15.75" customHeight="1">
      <c r="A388" s="112"/>
      <c r="B388" s="112"/>
      <c r="C388" s="412" t="str">
        <f t="array" ref="C388">IFERROR(INDEX(#REF!,MATCH($B388,Fornecedores!$B$8:$B$200,0)),"")</f>
        <v/>
      </c>
      <c r="D388" s="112"/>
      <c r="E388" s="112"/>
      <c r="F388" s="432"/>
      <c r="G388" s="433"/>
      <c r="H388" s="434" t="str">
        <f t="array" ref="H388">IFERROR(IF($A388="Medição",IFERROR(INDEX(#REF!,MATCH($B388,Fornecedores!$B$8:$B$200,0)),""),""),"")</f>
        <v/>
      </c>
      <c r="I388" s="435" t="str">
        <f t="shared" si="1"/>
        <v/>
      </c>
      <c r="J388" s="436"/>
      <c r="K388" s="437" t="str">
        <f t="array" ref="K388">IFERROR(IF($A388="Medição",IFERROR(INDEX(#REF!,MATCH($B388,Fornecedores!$B$8:$B$200,0)),0),""),"")</f>
        <v/>
      </c>
      <c r="L388" s="438" t="str">
        <f t="shared" si="2"/>
        <v/>
      </c>
      <c r="M388" s="439"/>
      <c r="N388" s="440" t="str">
        <f t="shared" si="3"/>
        <v/>
      </c>
      <c r="O388" s="432"/>
      <c r="P388" s="112"/>
      <c r="Q388" s="112"/>
      <c r="R388" s="112"/>
      <c r="S388" s="432"/>
      <c r="T388" s="112"/>
      <c r="U388" s="112"/>
      <c r="V388" s="112"/>
      <c r="W388" s="395"/>
      <c r="X388" s="395"/>
      <c r="Y388" s="395"/>
      <c r="Z388" s="395"/>
      <c r="AA388" s="395"/>
    </row>
    <row r="389" ht="15.75" customHeight="1">
      <c r="A389" s="112"/>
      <c r="B389" s="112"/>
      <c r="C389" s="412" t="str">
        <f t="array" ref="C389">IFERROR(INDEX(#REF!,MATCH($B389,Fornecedores!$B$8:$B$200,0)),"")</f>
        <v/>
      </c>
      <c r="D389" s="112"/>
      <c r="E389" s="112"/>
      <c r="F389" s="432"/>
      <c r="G389" s="433"/>
      <c r="H389" s="434" t="str">
        <f t="array" ref="H389">IFERROR(IF($A389="Medição",IFERROR(INDEX(#REF!,MATCH($B389,Fornecedores!$B$8:$B$200,0)),""),""),"")</f>
        <v/>
      </c>
      <c r="I389" s="435" t="str">
        <f t="shared" si="1"/>
        <v/>
      </c>
      <c r="J389" s="436"/>
      <c r="K389" s="437" t="str">
        <f t="array" ref="K389">IFERROR(IF($A389="Medição",IFERROR(INDEX(#REF!,MATCH($B389,Fornecedores!$B$8:$B$200,0)),0),""),"")</f>
        <v/>
      </c>
      <c r="L389" s="438" t="str">
        <f t="shared" si="2"/>
        <v/>
      </c>
      <c r="M389" s="439"/>
      <c r="N389" s="440" t="str">
        <f t="shared" si="3"/>
        <v/>
      </c>
      <c r="O389" s="432"/>
      <c r="P389" s="112"/>
      <c r="Q389" s="112"/>
      <c r="R389" s="112"/>
      <c r="S389" s="432"/>
      <c r="T389" s="112"/>
      <c r="U389" s="112"/>
      <c r="V389" s="112"/>
      <c r="W389" s="395"/>
      <c r="X389" s="395"/>
      <c r="Y389" s="395"/>
      <c r="Z389" s="395"/>
      <c r="AA389" s="395"/>
    </row>
    <row r="390" ht="15.75" customHeight="1">
      <c r="A390" s="112"/>
      <c r="B390" s="112"/>
      <c r="C390" s="412" t="str">
        <f t="array" ref="C390">IFERROR(INDEX(#REF!,MATCH($B390,Fornecedores!$B$8:$B$200,0)),"")</f>
        <v/>
      </c>
      <c r="D390" s="112"/>
      <c r="E390" s="112"/>
      <c r="F390" s="432"/>
      <c r="G390" s="433"/>
      <c r="H390" s="434" t="str">
        <f t="array" ref="H390">IFERROR(IF($A390="Medição",IFERROR(INDEX(#REF!,MATCH($B390,Fornecedores!$B$8:$B$200,0)),""),""),"")</f>
        <v/>
      </c>
      <c r="I390" s="435" t="str">
        <f t="shared" si="1"/>
        <v/>
      </c>
      <c r="J390" s="436"/>
      <c r="K390" s="437" t="str">
        <f t="array" ref="K390">IFERROR(IF($A390="Medição",IFERROR(INDEX(#REF!,MATCH($B390,Fornecedores!$B$8:$B$200,0)),0),""),"")</f>
        <v/>
      </c>
      <c r="L390" s="438" t="str">
        <f t="shared" si="2"/>
        <v/>
      </c>
      <c r="M390" s="439"/>
      <c r="N390" s="440" t="str">
        <f t="shared" si="3"/>
        <v/>
      </c>
      <c r="O390" s="432"/>
      <c r="P390" s="112"/>
      <c r="Q390" s="112"/>
      <c r="R390" s="112"/>
      <c r="S390" s="432"/>
      <c r="T390" s="112"/>
      <c r="U390" s="112"/>
      <c r="V390" s="112"/>
      <c r="W390" s="395"/>
      <c r="X390" s="395"/>
      <c r="Y390" s="395"/>
      <c r="Z390" s="395"/>
      <c r="AA390" s="395"/>
    </row>
    <row r="391" ht="15.75" customHeight="1">
      <c r="A391" s="112"/>
      <c r="B391" s="112"/>
      <c r="C391" s="412" t="str">
        <f t="array" ref="C391">IFERROR(INDEX(#REF!,MATCH($B391,Fornecedores!$B$8:$B$200,0)),"")</f>
        <v/>
      </c>
      <c r="D391" s="112"/>
      <c r="E391" s="112"/>
      <c r="F391" s="432"/>
      <c r="G391" s="433"/>
      <c r="H391" s="434" t="str">
        <f t="array" ref="H391">IFERROR(IF($A391="Medição",IFERROR(INDEX(#REF!,MATCH($B391,Fornecedores!$B$8:$B$200,0)),""),""),"")</f>
        <v/>
      </c>
      <c r="I391" s="435" t="str">
        <f t="shared" si="1"/>
        <v/>
      </c>
      <c r="J391" s="436"/>
      <c r="K391" s="437" t="str">
        <f t="array" ref="K391">IFERROR(IF($A391="Medição",IFERROR(INDEX(#REF!,MATCH($B391,Fornecedores!$B$8:$B$200,0)),0),""),"")</f>
        <v/>
      </c>
      <c r="L391" s="438" t="str">
        <f t="shared" si="2"/>
        <v/>
      </c>
      <c r="M391" s="439"/>
      <c r="N391" s="440" t="str">
        <f t="shared" si="3"/>
        <v/>
      </c>
      <c r="O391" s="432"/>
      <c r="P391" s="112"/>
      <c r="Q391" s="112"/>
      <c r="R391" s="112"/>
      <c r="S391" s="432"/>
      <c r="T391" s="112"/>
      <c r="U391" s="112"/>
      <c r="V391" s="112"/>
      <c r="W391" s="395"/>
      <c r="X391" s="395"/>
      <c r="Y391" s="395"/>
      <c r="Z391" s="395"/>
      <c r="AA391" s="395"/>
    </row>
    <row r="392" ht="15.75" customHeight="1">
      <c r="A392" s="112"/>
      <c r="B392" s="112"/>
      <c r="C392" s="412" t="str">
        <f t="array" ref="C392">IFERROR(INDEX(#REF!,MATCH($B392,Fornecedores!$B$8:$B$200,0)),"")</f>
        <v/>
      </c>
      <c r="D392" s="112"/>
      <c r="E392" s="112"/>
      <c r="F392" s="432"/>
      <c r="G392" s="433"/>
      <c r="H392" s="434" t="str">
        <f t="array" ref="H392">IFERROR(IF($A392="Medição",IFERROR(INDEX(#REF!,MATCH($B392,Fornecedores!$B$8:$B$200,0)),""),""),"")</f>
        <v/>
      </c>
      <c r="I392" s="435" t="str">
        <f t="shared" si="1"/>
        <v/>
      </c>
      <c r="J392" s="436"/>
      <c r="K392" s="437" t="str">
        <f t="array" ref="K392">IFERROR(IF($A392="Medição",IFERROR(INDEX(#REF!,MATCH($B392,Fornecedores!$B$8:$B$200,0)),0),""),"")</f>
        <v/>
      </c>
      <c r="L392" s="438" t="str">
        <f t="shared" si="2"/>
        <v/>
      </c>
      <c r="M392" s="439"/>
      <c r="N392" s="440" t="str">
        <f t="shared" si="3"/>
        <v/>
      </c>
      <c r="O392" s="432"/>
      <c r="P392" s="112"/>
      <c r="Q392" s="112"/>
      <c r="R392" s="112"/>
      <c r="S392" s="432"/>
      <c r="T392" s="112"/>
      <c r="U392" s="112"/>
      <c r="V392" s="112"/>
      <c r="W392" s="395"/>
      <c r="X392" s="395"/>
      <c r="Y392" s="395"/>
      <c r="Z392" s="395"/>
      <c r="AA392" s="395"/>
    </row>
    <row r="393" ht="15.75" customHeight="1">
      <c r="A393" s="112"/>
      <c r="B393" s="112"/>
      <c r="C393" s="412" t="str">
        <f t="array" ref="C393">IFERROR(INDEX(#REF!,MATCH($B393,Fornecedores!$B$8:$B$200,0)),"")</f>
        <v/>
      </c>
      <c r="D393" s="112"/>
      <c r="E393" s="112"/>
      <c r="F393" s="432"/>
      <c r="G393" s="433"/>
      <c r="H393" s="434" t="str">
        <f t="array" ref="H393">IFERROR(IF($A393="Medição",IFERROR(INDEX(#REF!,MATCH($B393,Fornecedores!$B$8:$B$200,0)),""),""),"")</f>
        <v/>
      </c>
      <c r="I393" s="435" t="str">
        <f t="shared" si="1"/>
        <v/>
      </c>
      <c r="J393" s="436"/>
      <c r="K393" s="437" t="str">
        <f t="array" ref="K393">IFERROR(IF($A393="Medição",IFERROR(INDEX(#REF!,MATCH($B393,Fornecedores!$B$8:$B$200,0)),0),""),"")</f>
        <v/>
      </c>
      <c r="L393" s="438" t="str">
        <f t="shared" si="2"/>
        <v/>
      </c>
      <c r="M393" s="439"/>
      <c r="N393" s="440" t="str">
        <f t="shared" si="3"/>
        <v/>
      </c>
      <c r="O393" s="432"/>
      <c r="P393" s="112"/>
      <c r="Q393" s="112"/>
      <c r="R393" s="112"/>
      <c r="S393" s="432"/>
      <c r="T393" s="112"/>
      <c r="U393" s="112"/>
      <c r="V393" s="112"/>
      <c r="W393" s="395"/>
      <c r="X393" s="395"/>
      <c r="Y393" s="395"/>
      <c r="Z393" s="395"/>
      <c r="AA393" s="395"/>
    </row>
    <row r="394" ht="15.75" customHeight="1">
      <c r="A394" s="112"/>
      <c r="B394" s="112"/>
      <c r="C394" s="412" t="str">
        <f t="array" ref="C394">IFERROR(INDEX(#REF!,MATCH($B394,Fornecedores!$B$8:$B$200,0)),"")</f>
        <v/>
      </c>
      <c r="D394" s="112"/>
      <c r="E394" s="112"/>
      <c r="F394" s="432"/>
      <c r="G394" s="433"/>
      <c r="H394" s="434" t="str">
        <f t="array" ref="H394">IFERROR(IF($A394="Medição",IFERROR(INDEX(#REF!,MATCH($B394,Fornecedores!$B$8:$B$200,0)),""),""),"")</f>
        <v/>
      </c>
      <c r="I394" s="435" t="str">
        <f t="shared" si="1"/>
        <v/>
      </c>
      <c r="J394" s="436"/>
      <c r="K394" s="437" t="str">
        <f t="array" ref="K394">IFERROR(IF($A394="Medição",IFERROR(INDEX(#REF!,MATCH($B394,Fornecedores!$B$8:$B$200,0)),0),""),"")</f>
        <v/>
      </c>
      <c r="L394" s="438" t="str">
        <f t="shared" si="2"/>
        <v/>
      </c>
      <c r="M394" s="439"/>
      <c r="N394" s="440" t="str">
        <f t="shared" si="3"/>
        <v/>
      </c>
      <c r="O394" s="432"/>
      <c r="P394" s="112"/>
      <c r="Q394" s="112"/>
      <c r="R394" s="112"/>
      <c r="S394" s="432"/>
      <c r="T394" s="112"/>
      <c r="U394" s="112"/>
      <c r="V394" s="112"/>
      <c r="W394" s="395"/>
      <c r="X394" s="395"/>
      <c r="Y394" s="395"/>
      <c r="Z394" s="395"/>
      <c r="AA394" s="395"/>
    </row>
    <row r="395" ht="15.75" customHeight="1">
      <c r="A395" s="112"/>
      <c r="B395" s="112"/>
      <c r="C395" s="412" t="str">
        <f t="array" ref="C395">IFERROR(INDEX(#REF!,MATCH($B395,Fornecedores!$B$8:$B$200,0)),"")</f>
        <v/>
      </c>
      <c r="D395" s="112"/>
      <c r="E395" s="112"/>
      <c r="F395" s="432"/>
      <c r="G395" s="433"/>
      <c r="H395" s="434" t="str">
        <f t="array" ref="H395">IFERROR(IF($A395="Medição",IFERROR(INDEX(#REF!,MATCH($B395,Fornecedores!$B$8:$B$200,0)),""),""),"")</f>
        <v/>
      </c>
      <c r="I395" s="435" t="str">
        <f t="shared" si="1"/>
        <v/>
      </c>
      <c r="J395" s="436"/>
      <c r="K395" s="437" t="str">
        <f t="array" ref="K395">IFERROR(IF($A395="Medição",IFERROR(INDEX(#REF!,MATCH($B395,Fornecedores!$B$8:$B$200,0)),0),""),"")</f>
        <v/>
      </c>
      <c r="L395" s="438" t="str">
        <f t="shared" si="2"/>
        <v/>
      </c>
      <c r="M395" s="439"/>
      <c r="N395" s="440" t="str">
        <f t="shared" si="3"/>
        <v/>
      </c>
      <c r="O395" s="432"/>
      <c r="P395" s="112"/>
      <c r="Q395" s="112"/>
      <c r="R395" s="112"/>
      <c r="S395" s="432"/>
      <c r="T395" s="112"/>
      <c r="U395" s="112"/>
      <c r="V395" s="112"/>
      <c r="W395" s="395"/>
      <c r="X395" s="395"/>
      <c r="Y395" s="395"/>
      <c r="Z395" s="395"/>
      <c r="AA395" s="395"/>
    </row>
    <row r="396" ht="15.75" customHeight="1">
      <c r="A396" s="112"/>
      <c r="B396" s="112"/>
      <c r="C396" s="412" t="str">
        <f t="array" ref="C396">IFERROR(INDEX(#REF!,MATCH($B396,Fornecedores!$B$8:$B$200,0)),"")</f>
        <v/>
      </c>
      <c r="D396" s="112"/>
      <c r="E396" s="112"/>
      <c r="F396" s="432"/>
      <c r="G396" s="433"/>
      <c r="H396" s="434" t="str">
        <f t="array" ref="H396">IFERROR(IF($A396="Medição",IFERROR(INDEX(#REF!,MATCH($B396,Fornecedores!$B$8:$B$200,0)),""),""),"")</f>
        <v/>
      </c>
      <c r="I396" s="435" t="str">
        <f t="shared" si="1"/>
        <v/>
      </c>
      <c r="J396" s="436"/>
      <c r="K396" s="437" t="str">
        <f t="array" ref="K396">IFERROR(IF($A396="Medição",IFERROR(INDEX(#REF!,MATCH($B396,Fornecedores!$B$8:$B$200,0)),0),""),"")</f>
        <v/>
      </c>
      <c r="L396" s="438" t="str">
        <f t="shared" si="2"/>
        <v/>
      </c>
      <c r="M396" s="439"/>
      <c r="N396" s="440" t="str">
        <f t="shared" si="3"/>
        <v/>
      </c>
      <c r="O396" s="432"/>
      <c r="P396" s="112"/>
      <c r="Q396" s="112"/>
      <c r="R396" s="112"/>
      <c r="S396" s="432"/>
      <c r="T396" s="112"/>
      <c r="U396" s="112"/>
      <c r="V396" s="112"/>
      <c r="W396" s="395"/>
      <c r="X396" s="395"/>
      <c r="Y396" s="395"/>
      <c r="Z396" s="395"/>
      <c r="AA396" s="395"/>
    </row>
    <row r="397" ht="15.75" customHeight="1">
      <c r="A397" s="112"/>
      <c r="B397" s="112"/>
      <c r="C397" s="412" t="str">
        <f t="array" ref="C397">IFERROR(INDEX(#REF!,MATCH($B397,Fornecedores!$B$8:$B$200,0)),"")</f>
        <v/>
      </c>
      <c r="D397" s="112"/>
      <c r="E397" s="112"/>
      <c r="F397" s="432"/>
      <c r="G397" s="433"/>
      <c r="H397" s="434" t="str">
        <f t="array" ref="H397">IFERROR(IF($A397="Medição",IFERROR(INDEX(#REF!,MATCH($B397,Fornecedores!$B$8:$B$200,0)),""),""),"")</f>
        <v/>
      </c>
      <c r="I397" s="435" t="str">
        <f t="shared" si="1"/>
        <v/>
      </c>
      <c r="J397" s="436"/>
      <c r="K397" s="437" t="str">
        <f t="array" ref="K397">IFERROR(IF($A397="Medição",IFERROR(INDEX(#REF!,MATCH($B397,Fornecedores!$B$8:$B$200,0)),0),""),"")</f>
        <v/>
      </c>
      <c r="L397" s="438" t="str">
        <f t="shared" si="2"/>
        <v/>
      </c>
      <c r="M397" s="439"/>
      <c r="N397" s="440" t="str">
        <f t="shared" si="3"/>
        <v/>
      </c>
      <c r="O397" s="432"/>
      <c r="P397" s="112"/>
      <c r="Q397" s="112"/>
      <c r="R397" s="112"/>
      <c r="S397" s="432"/>
      <c r="T397" s="112"/>
      <c r="U397" s="112"/>
      <c r="V397" s="112"/>
      <c r="W397" s="395"/>
      <c r="X397" s="395"/>
      <c r="Y397" s="395"/>
      <c r="Z397" s="395"/>
      <c r="AA397" s="395"/>
    </row>
    <row r="398" ht="15.75" customHeight="1">
      <c r="A398" s="112"/>
      <c r="B398" s="112"/>
      <c r="C398" s="412" t="str">
        <f t="array" ref="C398">IFERROR(INDEX(#REF!,MATCH($B398,Fornecedores!$B$8:$B$200,0)),"")</f>
        <v/>
      </c>
      <c r="D398" s="112"/>
      <c r="E398" s="112"/>
      <c r="F398" s="432"/>
      <c r="G398" s="433"/>
      <c r="H398" s="434" t="str">
        <f t="array" ref="H398">IFERROR(IF($A398="Medição",IFERROR(INDEX(#REF!,MATCH($B398,Fornecedores!$B$8:$B$200,0)),""),""),"")</f>
        <v/>
      </c>
      <c r="I398" s="435" t="str">
        <f t="shared" si="1"/>
        <v/>
      </c>
      <c r="J398" s="436"/>
      <c r="K398" s="437" t="str">
        <f t="array" ref="K398">IFERROR(IF($A398="Medição",IFERROR(INDEX(#REF!,MATCH($B398,Fornecedores!$B$8:$B$200,0)),0),""),"")</f>
        <v/>
      </c>
      <c r="L398" s="438" t="str">
        <f t="shared" si="2"/>
        <v/>
      </c>
      <c r="M398" s="439"/>
      <c r="N398" s="440" t="str">
        <f t="shared" si="3"/>
        <v/>
      </c>
      <c r="O398" s="432"/>
      <c r="P398" s="112"/>
      <c r="Q398" s="112"/>
      <c r="R398" s="112"/>
      <c r="S398" s="432"/>
      <c r="T398" s="112"/>
      <c r="U398" s="112"/>
      <c r="V398" s="112"/>
      <c r="W398" s="395"/>
      <c r="X398" s="395"/>
      <c r="Y398" s="395"/>
      <c r="Z398" s="395"/>
      <c r="AA398" s="395"/>
    </row>
    <row r="399" ht="15.75" customHeight="1">
      <c r="A399" s="112"/>
      <c r="B399" s="112"/>
      <c r="C399" s="412" t="str">
        <f t="array" ref="C399">IFERROR(INDEX(#REF!,MATCH($B399,Fornecedores!$B$8:$B$200,0)),"")</f>
        <v/>
      </c>
      <c r="D399" s="112"/>
      <c r="E399" s="112"/>
      <c r="F399" s="432"/>
      <c r="G399" s="433"/>
      <c r="H399" s="434" t="str">
        <f t="array" ref="H399">IFERROR(IF($A399="Medição",IFERROR(INDEX(#REF!,MATCH($B399,Fornecedores!$B$8:$B$200,0)),""),""),"")</f>
        <v/>
      </c>
      <c r="I399" s="435" t="str">
        <f t="shared" si="1"/>
        <v/>
      </c>
      <c r="J399" s="436"/>
      <c r="K399" s="437" t="str">
        <f t="array" ref="K399">IFERROR(IF($A399="Medição",IFERROR(INDEX(#REF!,MATCH($B399,Fornecedores!$B$8:$B$200,0)),0),""),"")</f>
        <v/>
      </c>
      <c r="L399" s="438" t="str">
        <f t="shared" si="2"/>
        <v/>
      </c>
      <c r="M399" s="439"/>
      <c r="N399" s="440" t="str">
        <f t="shared" si="3"/>
        <v/>
      </c>
      <c r="O399" s="432"/>
      <c r="P399" s="112"/>
      <c r="Q399" s="112"/>
      <c r="R399" s="112"/>
      <c r="S399" s="432"/>
      <c r="T399" s="112"/>
      <c r="U399" s="112"/>
      <c r="V399" s="112"/>
      <c r="W399" s="395"/>
      <c r="X399" s="395"/>
      <c r="Y399" s="395"/>
      <c r="Z399" s="395"/>
      <c r="AA399" s="395"/>
    </row>
    <row r="400" ht="15.75" customHeight="1">
      <c r="A400" s="112"/>
      <c r="B400" s="112"/>
      <c r="C400" s="412" t="str">
        <f t="array" ref="C400">IFERROR(INDEX(#REF!,MATCH($B400,Fornecedores!$B$8:$B$200,0)),"")</f>
        <v/>
      </c>
      <c r="D400" s="112"/>
      <c r="E400" s="112"/>
      <c r="F400" s="432"/>
      <c r="G400" s="433"/>
      <c r="H400" s="434" t="str">
        <f t="array" ref="H400">IFERROR(IF($A400="Medição",IFERROR(INDEX(#REF!,MATCH($B400,Fornecedores!$B$8:$B$200,0)),""),""),"")</f>
        <v/>
      </c>
      <c r="I400" s="435" t="str">
        <f t="shared" si="1"/>
        <v/>
      </c>
      <c r="J400" s="436"/>
      <c r="K400" s="437" t="str">
        <f t="array" ref="K400">IFERROR(IF($A400="Medição",IFERROR(INDEX(#REF!,MATCH($B400,Fornecedores!$B$8:$B$200,0)),0),""),"")</f>
        <v/>
      </c>
      <c r="L400" s="438" t="str">
        <f t="shared" si="2"/>
        <v/>
      </c>
      <c r="M400" s="439"/>
      <c r="N400" s="440" t="str">
        <f t="shared" si="3"/>
        <v/>
      </c>
      <c r="O400" s="432"/>
      <c r="P400" s="112"/>
      <c r="Q400" s="112"/>
      <c r="R400" s="112"/>
      <c r="S400" s="432"/>
      <c r="T400" s="112"/>
      <c r="U400" s="112"/>
      <c r="V400" s="112"/>
      <c r="W400" s="395"/>
      <c r="X400" s="395"/>
      <c r="Y400" s="395"/>
      <c r="Z400" s="395"/>
      <c r="AA400" s="395"/>
    </row>
    <row r="401" ht="15.75" customHeight="1">
      <c r="A401" s="395"/>
      <c r="B401" s="395"/>
      <c r="C401" s="395"/>
      <c r="D401" s="395"/>
      <c r="E401" s="395"/>
      <c r="F401" s="395"/>
      <c r="G401" s="395"/>
      <c r="H401" s="395"/>
      <c r="I401" s="395"/>
      <c r="J401" s="441"/>
      <c r="K401" s="395"/>
      <c r="L401" s="442" t="str">
        <f t="shared" si="2"/>
        <v/>
      </c>
      <c r="M401" s="395"/>
      <c r="N401" s="442" t="str">
        <f t="shared" si="3"/>
        <v/>
      </c>
      <c r="O401" s="395"/>
      <c r="P401" s="395"/>
      <c r="Q401" s="395"/>
      <c r="R401" s="395"/>
      <c r="S401" s="395"/>
      <c r="T401" s="395"/>
      <c r="U401" s="395"/>
      <c r="V401" s="395"/>
      <c r="W401" s="395"/>
      <c r="X401" s="395"/>
      <c r="Y401" s="395"/>
      <c r="Z401" s="395"/>
      <c r="AA401" s="395"/>
    </row>
    <row r="402" ht="15.75" customHeight="1">
      <c r="A402" s="395"/>
      <c r="B402" s="395"/>
      <c r="C402" s="395"/>
      <c r="D402" s="395"/>
      <c r="E402" s="395"/>
      <c r="F402" s="395"/>
      <c r="G402" s="395"/>
      <c r="H402" s="395"/>
      <c r="I402" s="395"/>
      <c r="J402" s="441"/>
      <c r="K402" s="395"/>
      <c r="L402" s="442" t="str">
        <f t="shared" si="2"/>
        <v/>
      </c>
      <c r="M402" s="395"/>
      <c r="N402" s="442" t="str">
        <f t="shared" si="3"/>
        <v/>
      </c>
      <c r="O402" s="395"/>
      <c r="P402" s="395"/>
      <c r="Q402" s="395"/>
      <c r="R402" s="395"/>
      <c r="S402" s="395"/>
      <c r="T402" s="395"/>
      <c r="U402" s="395"/>
      <c r="V402" s="395"/>
      <c r="W402" s="395"/>
      <c r="X402" s="395"/>
      <c r="Y402" s="395"/>
      <c r="Z402" s="395"/>
      <c r="AA402" s="395"/>
    </row>
    <row r="403" ht="15.75" customHeight="1">
      <c r="A403" s="395"/>
      <c r="B403" s="395"/>
      <c r="C403" s="395"/>
      <c r="D403" s="395"/>
      <c r="E403" s="395"/>
      <c r="F403" s="395"/>
      <c r="G403" s="395"/>
      <c r="H403" s="395"/>
      <c r="I403" s="395"/>
      <c r="J403" s="441"/>
      <c r="K403" s="395"/>
      <c r="L403" s="442" t="str">
        <f t="shared" si="2"/>
        <v/>
      </c>
      <c r="M403" s="395"/>
      <c r="N403" s="442" t="str">
        <f t="shared" si="3"/>
        <v/>
      </c>
      <c r="O403" s="395"/>
      <c r="P403" s="395"/>
      <c r="Q403" s="395"/>
      <c r="R403" s="395"/>
      <c r="S403" s="395"/>
      <c r="T403" s="395"/>
      <c r="U403" s="395"/>
      <c r="V403" s="395"/>
      <c r="W403" s="395"/>
      <c r="X403" s="395"/>
      <c r="Y403" s="395"/>
      <c r="Z403" s="395"/>
      <c r="AA403" s="395"/>
    </row>
    <row r="404" ht="15.75" customHeight="1">
      <c r="A404" s="395"/>
      <c r="B404" s="395"/>
      <c r="C404" s="395"/>
      <c r="D404" s="395"/>
      <c r="E404" s="395"/>
      <c r="F404" s="395"/>
      <c r="G404" s="395"/>
      <c r="H404" s="395"/>
      <c r="I404" s="395"/>
      <c r="J404" s="441"/>
      <c r="K404" s="395"/>
      <c r="L404" s="442" t="str">
        <f t="shared" si="2"/>
        <v/>
      </c>
      <c r="M404" s="395"/>
      <c r="N404" s="442" t="str">
        <f t="shared" si="3"/>
        <v/>
      </c>
      <c r="O404" s="395"/>
      <c r="P404" s="395"/>
      <c r="Q404" s="395"/>
      <c r="R404" s="395"/>
      <c r="S404" s="395"/>
      <c r="T404" s="395"/>
      <c r="U404" s="395"/>
      <c r="V404" s="395"/>
      <c r="W404" s="395"/>
      <c r="X404" s="395"/>
      <c r="Y404" s="395"/>
      <c r="Z404" s="395"/>
      <c r="AA404" s="395"/>
    </row>
    <row r="405" ht="15.75" customHeight="1">
      <c r="A405" s="395"/>
      <c r="B405" s="395"/>
      <c r="C405" s="395"/>
      <c r="D405" s="395"/>
      <c r="E405" s="395"/>
      <c r="F405" s="395"/>
      <c r="G405" s="395"/>
      <c r="H405" s="395"/>
      <c r="I405" s="395"/>
      <c r="J405" s="441"/>
      <c r="K405" s="395"/>
      <c r="L405" s="442" t="str">
        <f t="shared" si="2"/>
        <v/>
      </c>
      <c r="M405" s="395"/>
      <c r="N405" s="442" t="str">
        <f t="shared" si="3"/>
        <v/>
      </c>
      <c r="O405" s="395"/>
      <c r="P405" s="395"/>
      <c r="Q405" s="395"/>
      <c r="R405" s="395"/>
      <c r="S405" s="395"/>
      <c r="T405" s="395"/>
      <c r="U405" s="395"/>
      <c r="V405" s="395"/>
      <c r="W405" s="395"/>
      <c r="X405" s="395"/>
      <c r="Y405" s="395"/>
      <c r="Z405" s="395"/>
      <c r="AA405" s="395"/>
    </row>
    <row r="406" ht="15.75" customHeight="1">
      <c r="A406" s="395"/>
      <c r="B406" s="395"/>
      <c r="C406" s="395"/>
      <c r="D406" s="395"/>
      <c r="E406" s="395"/>
      <c r="F406" s="395"/>
      <c r="G406" s="395"/>
      <c r="H406" s="395"/>
      <c r="I406" s="395"/>
      <c r="J406" s="441"/>
      <c r="K406" s="395"/>
      <c r="L406" s="442" t="str">
        <f t="shared" si="2"/>
        <v/>
      </c>
      <c r="M406" s="395"/>
      <c r="N406" s="442" t="str">
        <f t="shared" si="3"/>
        <v/>
      </c>
      <c r="O406" s="395"/>
      <c r="P406" s="395"/>
      <c r="Q406" s="395"/>
      <c r="R406" s="395"/>
      <c r="S406" s="395"/>
      <c r="T406" s="395"/>
      <c r="U406" s="395"/>
      <c r="V406" s="395"/>
      <c r="W406" s="395"/>
      <c r="X406" s="395"/>
      <c r="Y406" s="395"/>
      <c r="Z406" s="395"/>
      <c r="AA406" s="395"/>
    </row>
    <row r="407" ht="15.75" customHeight="1">
      <c r="A407" s="395"/>
      <c r="B407" s="395"/>
      <c r="C407" s="395"/>
      <c r="D407" s="395"/>
      <c r="E407" s="395"/>
      <c r="F407" s="395"/>
      <c r="G407" s="395"/>
      <c r="H407" s="395"/>
      <c r="I407" s="395"/>
      <c r="J407" s="441"/>
      <c r="K407" s="395"/>
      <c r="L407" s="442" t="str">
        <f t="shared" si="2"/>
        <v/>
      </c>
      <c r="M407" s="395"/>
      <c r="N407" s="442" t="str">
        <f t="shared" si="3"/>
        <v/>
      </c>
      <c r="O407" s="395"/>
      <c r="P407" s="395"/>
      <c r="Q407" s="395"/>
      <c r="R407" s="395"/>
      <c r="S407" s="395"/>
      <c r="T407" s="395"/>
      <c r="U407" s="395"/>
      <c r="V407" s="395"/>
      <c r="W407" s="395"/>
      <c r="X407" s="395"/>
      <c r="Y407" s="395"/>
      <c r="Z407" s="395"/>
      <c r="AA407" s="395"/>
    </row>
    <row r="408" ht="15.75" customHeight="1">
      <c r="A408" s="395"/>
      <c r="B408" s="395"/>
      <c r="C408" s="395"/>
      <c r="D408" s="395"/>
      <c r="E408" s="395"/>
      <c r="F408" s="395"/>
      <c r="G408" s="395"/>
      <c r="H408" s="395"/>
      <c r="I408" s="395"/>
      <c r="J408" s="441"/>
      <c r="K408" s="395"/>
      <c r="L408" s="442" t="str">
        <f t="shared" si="2"/>
        <v/>
      </c>
      <c r="M408" s="395"/>
      <c r="N408" s="442" t="str">
        <f t="shared" si="3"/>
        <v/>
      </c>
      <c r="O408" s="395"/>
      <c r="P408" s="395"/>
      <c r="Q408" s="395"/>
      <c r="R408" s="395"/>
      <c r="S408" s="395"/>
      <c r="T408" s="395"/>
      <c r="U408" s="395"/>
      <c r="V408" s="395"/>
      <c r="W408" s="395"/>
      <c r="X408" s="395"/>
      <c r="Y408" s="395"/>
      <c r="Z408" s="395"/>
      <c r="AA408" s="395"/>
    </row>
    <row r="409" ht="15.75" customHeight="1">
      <c r="A409" s="395"/>
      <c r="B409" s="395"/>
      <c r="C409" s="395"/>
      <c r="D409" s="395"/>
      <c r="E409" s="395"/>
      <c r="F409" s="395"/>
      <c r="G409" s="395"/>
      <c r="H409" s="395"/>
      <c r="I409" s="395"/>
      <c r="J409" s="441"/>
      <c r="K409" s="395"/>
      <c r="L409" s="442" t="str">
        <f t="shared" si="2"/>
        <v/>
      </c>
      <c r="M409" s="395"/>
      <c r="N409" s="442" t="str">
        <f t="shared" si="3"/>
        <v/>
      </c>
      <c r="O409" s="395"/>
      <c r="P409" s="395"/>
      <c r="Q409" s="395"/>
      <c r="R409" s="395"/>
      <c r="S409" s="395"/>
      <c r="T409" s="395"/>
      <c r="U409" s="395"/>
      <c r="V409" s="395"/>
      <c r="W409" s="395"/>
      <c r="X409" s="395"/>
      <c r="Y409" s="395"/>
      <c r="Z409" s="395"/>
      <c r="AA409" s="395"/>
    </row>
    <row r="410" ht="15.75" customHeight="1">
      <c r="A410" s="395"/>
      <c r="B410" s="395"/>
      <c r="C410" s="395"/>
      <c r="D410" s="395"/>
      <c r="E410" s="395"/>
      <c r="F410" s="395"/>
      <c r="G410" s="395"/>
      <c r="H410" s="395"/>
      <c r="I410" s="395"/>
      <c r="J410" s="441"/>
      <c r="K410" s="395"/>
      <c r="L410" s="442" t="str">
        <f t="shared" si="2"/>
        <v/>
      </c>
      <c r="M410" s="395"/>
      <c r="N410" s="442" t="str">
        <f t="shared" si="3"/>
        <v/>
      </c>
      <c r="O410" s="395"/>
      <c r="P410" s="395"/>
      <c r="Q410" s="395"/>
      <c r="R410" s="395"/>
      <c r="S410" s="395"/>
      <c r="T410" s="395"/>
      <c r="U410" s="395"/>
      <c r="V410" s="395"/>
      <c r="W410" s="395"/>
      <c r="X410" s="395"/>
      <c r="Y410" s="395"/>
      <c r="Z410" s="395"/>
      <c r="AA410" s="395"/>
    </row>
    <row r="411" ht="15.75" customHeight="1">
      <c r="A411" s="395"/>
      <c r="B411" s="395"/>
      <c r="C411" s="395"/>
      <c r="D411" s="395"/>
      <c r="E411" s="395"/>
      <c r="F411" s="395"/>
      <c r="G411" s="395"/>
      <c r="H411" s="395"/>
      <c r="I411" s="395"/>
      <c r="J411" s="441"/>
      <c r="K411" s="395"/>
      <c r="L411" s="442" t="str">
        <f t="shared" si="2"/>
        <v/>
      </c>
      <c r="M411" s="395"/>
      <c r="N411" s="442" t="str">
        <f t="shared" si="3"/>
        <v/>
      </c>
      <c r="O411" s="395"/>
      <c r="P411" s="395"/>
      <c r="Q411" s="395"/>
      <c r="R411" s="395"/>
      <c r="S411" s="395"/>
      <c r="T411" s="395"/>
      <c r="U411" s="395"/>
      <c r="V411" s="395"/>
      <c r="W411" s="395"/>
      <c r="X411" s="395"/>
      <c r="Y411" s="395"/>
      <c r="Z411" s="395"/>
      <c r="AA411" s="395"/>
    </row>
    <row r="412" ht="15.75" customHeight="1">
      <c r="A412" s="395"/>
      <c r="B412" s="395"/>
      <c r="C412" s="395"/>
      <c r="D412" s="395"/>
      <c r="E412" s="395"/>
      <c r="F412" s="395"/>
      <c r="G412" s="395"/>
      <c r="H412" s="395"/>
      <c r="I412" s="395"/>
      <c r="J412" s="441"/>
      <c r="K412" s="395"/>
      <c r="L412" s="442" t="str">
        <f t="shared" si="2"/>
        <v/>
      </c>
      <c r="M412" s="395"/>
      <c r="N412" s="442" t="str">
        <f t="shared" si="3"/>
        <v/>
      </c>
      <c r="O412" s="395"/>
      <c r="P412" s="395"/>
      <c r="Q412" s="395"/>
      <c r="R412" s="395"/>
      <c r="S412" s="395"/>
      <c r="T412" s="395"/>
      <c r="U412" s="395"/>
      <c r="V412" s="395"/>
      <c r="W412" s="395"/>
      <c r="X412" s="395"/>
      <c r="Y412" s="395"/>
      <c r="Z412" s="395"/>
      <c r="AA412" s="395"/>
    </row>
    <row r="413" ht="15.75" customHeight="1">
      <c r="A413" s="395"/>
      <c r="B413" s="395"/>
      <c r="C413" s="395"/>
      <c r="D413" s="395"/>
      <c r="E413" s="395"/>
      <c r="F413" s="395"/>
      <c r="G413" s="395"/>
      <c r="H413" s="395"/>
      <c r="I413" s="395"/>
      <c r="J413" s="441"/>
      <c r="K413" s="395"/>
      <c r="L413" s="442" t="str">
        <f t="shared" si="2"/>
        <v/>
      </c>
      <c r="M413" s="395"/>
      <c r="N413" s="442" t="str">
        <f t="shared" si="3"/>
        <v/>
      </c>
      <c r="O413" s="395"/>
      <c r="P413" s="395"/>
      <c r="Q413" s="395"/>
      <c r="R413" s="395"/>
      <c r="S413" s="395"/>
      <c r="T413" s="395"/>
      <c r="U413" s="395"/>
      <c r="V413" s="395"/>
      <c r="W413" s="395"/>
      <c r="X413" s="395"/>
      <c r="Y413" s="395"/>
      <c r="Z413" s="395"/>
      <c r="AA413" s="395"/>
    </row>
    <row r="414" ht="15.75" customHeight="1">
      <c r="A414" s="395"/>
      <c r="B414" s="395"/>
      <c r="C414" s="395"/>
      <c r="D414" s="395"/>
      <c r="E414" s="395"/>
      <c r="F414" s="395"/>
      <c r="G414" s="395"/>
      <c r="H414" s="395"/>
      <c r="I414" s="395"/>
      <c r="J414" s="441"/>
      <c r="K414" s="395"/>
      <c r="L414" s="442" t="str">
        <f t="shared" si="2"/>
        <v/>
      </c>
      <c r="M414" s="395"/>
      <c r="N414" s="442" t="str">
        <f t="shared" si="3"/>
        <v/>
      </c>
      <c r="O414" s="395"/>
      <c r="P414" s="395"/>
      <c r="Q414" s="395"/>
      <c r="R414" s="395"/>
      <c r="S414" s="395"/>
      <c r="T414" s="395"/>
      <c r="U414" s="395"/>
      <c r="V414" s="395"/>
      <c r="W414" s="395"/>
      <c r="X414" s="395"/>
      <c r="Y414" s="395"/>
      <c r="Z414" s="395"/>
      <c r="AA414" s="395"/>
    </row>
    <row r="415" ht="15.75" customHeight="1">
      <c r="A415" s="395"/>
      <c r="B415" s="395"/>
      <c r="C415" s="395"/>
      <c r="D415" s="395"/>
      <c r="E415" s="395"/>
      <c r="F415" s="395"/>
      <c r="G415" s="395"/>
      <c r="H415" s="395"/>
      <c r="I415" s="395"/>
      <c r="J415" s="441"/>
      <c r="K415" s="395"/>
      <c r="L415" s="442" t="str">
        <f t="shared" si="2"/>
        <v/>
      </c>
      <c r="M415" s="395"/>
      <c r="N415" s="442" t="str">
        <f t="shared" si="3"/>
        <v/>
      </c>
      <c r="O415" s="395"/>
      <c r="P415" s="395"/>
      <c r="Q415" s="395"/>
      <c r="R415" s="395"/>
      <c r="S415" s="395"/>
      <c r="T415" s="395"/>
      <c r="U415" s="395"/>
      <c r="V415" s="395"/>
      <c r="W415" s="395"/>
      <c r="X415" s="395"/>
      <c r="Y415" s="395"/>
      <c r="Z415" s="395"/>
      <c r="AA415" s="395"/>
    </row>
    <row r="416" ht="15.75" customHeight="1">
      <c r="A416" s="395"/>
      <c r="B416" s="395"/>
      <c r="C416" s="395"/>
      <c r="D416" s="395"/>
      <c r="E416" s="395"/>
      <c r="F416" s="395"/>
      <c r="G416" s="395"/>
      <c r="H416" s="395"/>
      <c r="I416" s="395"/>
      <c r="J416" s="441"/>
      <c r="K416" s="395"/>
      <c r="L416" s="442" t="str">
        <f t="shared" si="2"/>
        <v/>
      </c>
      <c r="M416" s="395"/>
      <c r="N416" s="442" t="str">
        <f t="shared" si="3"/>
        <v/>
      </c>
      <c r="O416" s="395"/>
      <c r="P416" s="395"/>
      <c r="Q416" s="395"/>
      <c r="R416" s="395"/>
      <c r="S416" s="395"/>
      <c r="T416" s="395"/>
      <c r="U416" s="395"/>
      <c r="V416" s="395"/>
      <c r="W416" s="395"/>
      <c r="X416" s="395"/>
      <c r="Y416" s="395"/>
      <c r="Z416" s="395"/>
      <c r="AA416" s="395"/>
    </row>
    <row r="417" ht="15.75" customHeight="1">
      <c r="A417" s="395"/>
      <c r="B417" s="395"/>
      <c r="C417" s="395"/>
      <c r="D417" s="395"/>
      <c r="E417" s="395"/>
      <c r="F417" s="395"/>
      <c r="G417" s="395"/>
      <c r="H417" s="395"/>
      <c r="I417" s="395"/>
      <c r="J417" s="441"/>
      <c r="K417" s="395"/>
      <c r="L417" s="442" t="str">
        <f t="shared" si="2"/>
        <v/>
      </c>
      <c r="M417" s="395"/>
      <c r="N417" s="442" t="str">
        <f t="shared" si="3"/>
        <v/>
      </c>
      <c r="O417" s="395"/>
      <c r="P417" s="395"/>
      <c r="Q417" s="395"/>
      <c r="R417" s="395"/>
      <c r="S417" s="395"/>
      <c r="T417" s="395"/>
      <c r="U417" s="395"/>
      <c r="V417" s="395"/>
      <c r="W417" s="395"/>
      <c r="X417" s="395"/>
      <c r="Y417" s="395"/>
      <c r="Z417" s="395"/>
      <c r="AA417" s="395"/>
    </row>
    <row r="418" ht="15.75" customHeight="1">
      <c r="A418" s="395"/>
      <c r="B418" s="395"/>
      <c r="C418" s="395"/>
      <c r="D418" s="395"/>
      <c r="E418" s="395"/>
      <c r="F418" s="395"/>
      <c r="G418" s="395"/>
      <c r="H418" s="395"/>
      <c r="I418" s="395"/>
      <c r="J418" s="441"/>
      <c r="K418" s="395"/>
      <c r="L418" s="442" t="str">
        <f t="shared" si="2"/>
        <v/>
      </c>
      <c r="M418" s="395"/>
      <c r="N418" s="442" t="str">
        <f t="shared" si="3"/>
        <v/>
      </c>
      <c r="O418" s="395"/>
      <c r="P418" s="395"/>
      <c r="Q418" s="395"/>
      <c r="R418" s="395"/>
      <c r="S418" s="395"/>
      <c r="T418" s="395"/>
      <c r="U418" s="395"/>
      <c r="V418" s="395"/>
      <c r="W418" s="395"/>
      <c r="X418" s="395"/>
      <c r="Y418" s="395"/>
      <c r="Z418" s="395"/>
      <c r="AA418" s="395"/>
    </row>
    <row r="419" ht="15.75" customHeight="1">
      <c r="A419" s="395"/>
      <c r="B419" s="395"/>
      <c r="C419" s="395"/>
      <c r="D419" s="395"/>
      <c r="E419" s="395"/>
      <c r="F419" s="395"/>
      <c r="G419" s="395"/>
      <c r="H419" s="395"/>
      <c r="I419" s="395"/>
      <c r="J419" s="441"/>
      <c r="K419" s="395"/>
      <c r="L419" s="442" t="str">
        <f t="shared" si="2"/>
        <v/>
      </c>
      <c r="M419" s="395"/>
      <c r="N419" s="442" t="str">
        <f t="shared" si="3"/>
        <v/>
      </c>
      <c r="O419" s="395"/>
      <c r="P419" s="395"/>
      <c r="Q419" s="395"/>
      <c r="R419" s="395"/>
      <c r="S419" s="395"/>
      <c r="T419" s="395"/>
      <c r="U419" s="395"/>
      <c r="V419" s="395"/>
      <c r="W419" s="395"/>
      <c r="X419" s="395"/>
      <c r="Y419" s="395"/>
      <c r="Z419" s="395"/>
      <c r="AA419" s="395"/>
    </row>
    <row r="420" ht="15.75" customHeight="1">
      <c r="A420" s="395"/>
      <c r="B420" s="395"/>
      <c r="C420" s="395"/>
      <c r="D420" s="395"/>
      <c r="E420" s="395"/>
      <c r="F420" s="395"/>
      <c r="G420" s="395"/>
      <c r="H420" s="395"/>
      <c r="I420" s="395"/>
      <c r="J420" s="441"/>
      <c r="K420" s="395"/>
      <c r="L420" s="442" t="str">
        <f t="shared" si="2"/>
        <v/>
      </c>
      <c r="M420" s="395"/>
      <c r="N420" s="442" t="str">
        <f t="shared" si="3"/>
        <v/>
      </c>
      <c r="O420" s="395"/>
      <c r="P420" s="395"/>
      <c r="Q420" s="395"/>
      <c r="R420" s="395"/>
      <c r="S420" s="395"/>
      <c r="T420" s="395"/>
      <c r="U420" s="395"/>
      <c r="V420" s="395"/>
      <c r="W420" s="395"/>
      <c r="X420" s="395"/>
      <c r="Y420" s="395"/>
      <c r="Z420" s="395"/>
      <c r="AA420" s="395"/>
    </row>
    <row r="421" ht="15.75" customHeight="1">
      <c r="A421" s="395"/>
      <c r="B421" s="395"/>
      <c r="C421" s="395"/>
      <c r="D421" s="395"/>
      <c r="E421" s="395"/>
      <c r="F421" s="395"/>
      <c r="G421" s="395"/>
      <c r="H421" s="395"/>
      <c r="I421" s="395"/>
      <c r="J421" s="441"/>
      <c r="K421" s="395"/>
      <c r="L421" s="442" t="str">
        <f t="shared" si="2"/>
        <v/>
      </c>
      <c r="M421" s="395"/>
      <c r="N421" s="442" t="str">
        <f t="shared" si="3"/>
        <v/>
      </c>
      <c r="O421" s="395"/>
      <c r="P421" s="395"/>
      <c r="Q421" s="395"/>
      <c r="R421" s="395"/>
      <c r="S421" s="395"/>
      <c r="T421" s="395"/>
      <c r="U421" s="395"/>
      <c r="V421" s="395"/>
      <c r="W421" s="395"/>
      <c r="X421" s="395"/>
      <c r="Y421" s="395"/>
      <c r="Z421" s="395"/>
      <c r="AA421" s="395"/>
    </row>
    <row r="422" ht="15.75" customHeight="1">
      <c r="A422" s="395"/>
      <c r="B422" s="395"/>
      <c r="C422" s="395"/>
      <c r="D422" s="395"/>
      <c r="E422" s="395"/>
      <c r="F422" s="395"/>
      <c r="G422" s="395"/>
      <c r="H422" s="395"/>
      <c r="I422" s="395"/>
      <c r="J422" s="441"/>
      <c r="K422" s="395"/>
      <c r="L422" s="442" t="str">
        <f t="shared" si="2"/>
        <v/>
      </c>
      <c r="M422" s="395"/>
      <c r="N422" s="442" t="str">
        <f t="shared" si="3"/>
        <v/>
      </c>
      <c r="O422" s="395"/>
      <c r="P422" s="395"/>
      <c r="Q422" s="395"/>
      <c r="R422" s="395"/>
      <c r="S422" s="395"/>
      <c r="T422" s="395"/>
      <c r="U422" s="395"/>
      <c r="V422" s="395"/>
      <c r="W422" s="395"/>
      <c r="X422" s="395"/>
      <c r="Y422" s="395"/>
      <c r="Z422" s="395"/>
      <c r="AA422" s="395"/>
    </row>
    <row r="423" ht="15.75" customHeight="1">
      <c r="A423" s="395"/>
      <c r="B423" s="395"/>
      <c r="C423" s="395"/>
      <c r="D423" s="395"/>
      <c r="E423" s="395"/>
      <c r="F423" s="395"/>
      <c r="G423" s="395"/>
      <c r="H423" s="395"/>
      <c r="I423" s="395"/>
      <c r="J423" s="441"/>
      <c r="K423" s="395"/>
      <c r="L423" s="442" t="str">
        <f t="shared" si="2"/>
        <v/>
      </c>
      <c r="M423" s="395"/>
      <c r="N423" s="442" t="str">
        <f t="shared" si="3"/>
        <v/>
      </c>
      <c r="O423" s="395"/>
      <c r="P423" s="395"/>
      <c r="Q423" s="395"/>
      <c r="R423" s="395"/>
      <c r="S423" s="395"/>
      <c r="T423" s="395"/>
      <c r="U423" s="395"/>
      <c r="V423" s="395"/>
      <c r="W423" s="395"/>
      <c r="X423" s="395"/>
      <c r="Y423" s="395"/>
      <c r="Z423" s="395"/>
      <c r="AA423" s="395"/>
    </row>
    <row r="424" ht="15.75" customHeight="1">
      <c r="A424" s="395"/>
      <c r="B424" s="395"/>
      <c r="C424" s="395"/>
      <c r="D424" s="395"/>
      <c r="E424" s="395"/>
      <c r="F424" s="395"/>
      <c r="G424" s="395"/>
      <c r="H424" s="395"/>
      <c r="I424" s="395"/>
      <c r="J424" s="441"/>
      <c r="K424" s="395"/>
      <c r="L424" s="442" t="str">
        <f t="shared" si="2"/>
        <v/>
      </c>
      <c r="M424" s="395"/>
      <c r="N424" s="442" t="str">
        <f t="shared" si="3"/>
        <v/>
      </c>
      <c r="O424" s="395"/>
      <c r="P424" s="395"/>
      <c r="Q424" s="395"/>
      <c r="R424" s="395"/>
      <c r="S424" s="395"/>
      <c r="T424" s="395"/>
      <c r="U424" s="395"/>
      <c r="V424" s="395"/>
      <c r="W424" s="395"/>
      <c r="X424" s="395"/>
      <c r="Y424" s="395"/>
      <c r="Z424" s="395"/>
      <c r="AA424" s="395"/>
    </row>
    <row r="425" ht="15.75" customHeight="1">
      <c r="A425" s="395"/>
      <c r="B425" s="395"/>
      <c r="C425" s="395"/>
      <c r="D425" s="395"/>
      <c r="E425" s="395"/>
      <c r="F425" s="395"/>
      <c r="G425" s="395"/>
      <c r="H425" s="395"/>
      <c r="I425" s="395"/>
      <c r="J425" s="441"/>
      <c r="K425" s="395"/>
      <c r="L425" s="442" t="str">
        <f t="shared" si="2"/>
        <v/>
      </c>
      <c r="M425" s="395"/>
      <c r="N425" s="442" t="str">
        <f t="shared" si="3"/>
        <v/>
      </c>
      <c r="O425" s="395"/>
      <c r="P425" s="395"/>
      <c r="Q425" s="395"/>
      <c r="R425" s="395"/>
      <c r="S425" s="395"/>
      <c r="T425" s="395"/>
      <c r="U425" s="395"/>
      <c r="V425" s="395"/>
      <c r="W425" s="395"/>
      <c r="X425" s="395"/>
      <c r="Y425" s="395"/>
      <c r="Z425" s="395"/>
      <c r="AA425" s="395"/>
    </row>
    <row r="426" ht="15.75" customHeight="1">
      <c r="A426" s="395"/>
      <c r="B426" s="395"/>
      <c r="C426" s="395"/>
      <c r="D426" s="395"/>
      <c r="E426" s="395"/>
      <c r="F426" s="395"/>
      <c r="G426" s="395"/>
      <c r="H426" s="395"/>
      <c r="I426" s="395"/>
      <c r="J426" s="441"/>
      <c r="K426" s="395"/>
      <c r="L426" s="442" t="str">
        <f t="shared" si="2"/>
        <v/>
      </c>
      <c r="M426" s="395"/>
      <c r="N426" s="442" t="str">
        <f t="shared" si="3"/>
        <v/>
      </c>
      <c r="O426" s="395"/>
      <c r="P426" s="395"/>
      <c r="Q426" s="395"/>
      <c r="R426" s="395"/>
      <c r="S426" s="395"/>
      <c r="T426" s="395"/>
      <c r="U426" s="395"/>
      <c r="V426" s="395"/>
      <c r="W426" s="395"/>
      <c r="X426" s="395"/>
      <c r="Y426" s="395"/>
      <c r="Z426" s="395"/>
      <c r="AA426" s="395"/>
    </row>
    <row r="427" ht="15.75" customHeight="1">
      <c r="A427" s="395"/>
      <c r="B427" s="395"/>
      <c r="C427" s="395"/>
      <c r="D427" s="395"/>
      <c r="E427" s="395"/>
      <c r="F427" s="395"/>
      <c r="G427" s="395"/>
      <c r="H427" s="395"/>
      <c r="I427" s="395"/>
      <c r="J427" s="441"/>
      <c r="K427" s="395"/>
      <c r="L427" s="442" t="str">
        <f t="shared" si="2"/>
        <v/>
      </c>
      <c r="M427" s="395"/>
      <c r="N427" s="442" t="str">
        <f t="shared" si="3"/>
        <v/>
      </c>
      <c r="O427" s="395"/>
      <c r="P427" s="395"/>
      <c r="Q427" s="395"/>
      <c r="R427" s="395"/>
      <c r="S427" s="395"/>
      <c r="T427" s="395"/>
      <c r="U427" s="395"/>
      <c r="V427" s="395"/>
      <c r="W427" s="395"/>
      <c r="X427" s="395"/>
      <c r="Y427" s="395"/>
      <c r="Z427" s="395"/>
      <c r="AA427" s="395"/>
    </row>
    <row r="428" ht="15.75" customHeight="1">
      <c r="A428" s="395"/>
      <c r="B428" s="395"/>
      <c r="C428" s="395"/>
      <c r="D428" s="395"/>
      <c r="E428" s="395"/>
      <c r="F428" s="395"/>
      <c r="G428" s="395"/>
      <c r="H428" s="395"/>
      <c r="I428" s="395"/>
      <c r="J428" s="441"/>
      <c r="K428" s="395"/>
      <c r="L428" s="442" t="str">
        <f t="shared" si="2"/>
        <v/>
      </c>
      <c r="M428" s="395"/>
      <c r="N428" s="442" t="str">
        <f t="shared" si="3"/>
        <v/>
      </c>
      <c r="O428" s="395"/>
      <c r="P428" s="395"/>
      <c r="Q428" s="395"/>
      <c r="R428" s="395"/>
      <c r="S428" s="395"/>
      <c r="T428" s="395"/>
      <c r="U428" s="395"/>
      <c r="V428" s="395"/>
      <c r="W428" s="395"/>
      <c r="X428" s="395"/>
      <c r="Y428" s="395"/>
      <c r="Z428" s="395"/>
      <c r="AA428" s="395"/>
    </row>
    <row r="429" ht="15.75" customHeight="1">
      <c r="A429" s="395"/>
      <c r="B429" s="395"/>
      <c r="C429" s="395"/>
      <c r="D429" s="395"/>
      <c r="E429" s="395"/>
      <c r="F429" s="395"/>
      <c r="G429" s="395"/>
      <c r="H429" s="395"/>
      <c r="I429" s="395"/>
      <c r="J429" s="441"/>
      <c r="K429" s="395"/>
      <c r="L429" s="442" t="str">
        <f t="shared" si="2"/>
        <v/>
      </c>
      <c r="M429" s="395"/>
      <c r="N429" s="442" t="str">
        <f t="shared" si="3"/>
        <v/>
      </c>
      <c r="O429" s="395"/>
      <c r="P429" s="395"/>
      <c r="Q429" s="395"/>
      <c r="R429" s="395"/>
      <c r="S429" s="395"/>
      <c r="T429" s="395"/>
      <c r="U429" s="395"/>
      <c r="V429" s="395"/>
      <c r="W429" s="395"/>
      <c r="X429" s="395"/>
      <c r="Y429" s="395"/>
      <c r="Z429" s="395"/>
      <c r="AA429" s="395"/>
    </row>
    <row r="430" ht="15.75" customHeight="1">
      <c r="A430" s="395"/>
      <c r="B430" s="395"/>
      <c r="C430" s="395"/>
      <c r="D430" s="395"/>
      <c r="E430" s="395"/>
      <c r="F430" s="395"/>
      <c r="G430" s="395"/>
      <c r="H430" s="395"/>
      <c r="I430" s="395"/>
      <c r="J430" s="441"/>
      <c r="K430" s="395"/>
      <c r="L430" s="442" t="str">
        <f t="shared" si="2"/>
        <v/>
      </c>
      <c r="M430" s="395"/>
      <c r="N430" s="442" t="str">
        <f t="shared" si="3"/>
        <v/>
      </c>
      <c r="O430" s="395"/>
      <c r="P430" s="395"/>
      <c r="Q430" s="395"/>
      <c r="R430" s="395"/>
      <c r="S430" s="395"/>
      <c r="T430" s="395"/>
      <c r="U430" s="395"/>
      <c r="V430" s="395"/>
      <c r="W430" s="395"/>
      <c r="X430" s="395"/>
      <c r="Y430" s="395"/>
      <c r="Z430" s="395"/>
      <c r="AA430" s="395"/>
    </row>
    <row r="431" ht="15.75" customHeight="1">
      <c r="A431" s="395"/>
      <c r="B431" s="395"/>
      <c r="C431" s="395"/>
      <c r="D431" s="395"/>
      <c r="E431" s="395"/>
      <c r="F431" s="395"/>
      <c r="G431" s="395"/>
      <c r="H431" s="395"/>
      <c r="I431" s="395"/>
      <c r="J431" s="441"/>
      <c r="K431" s="395"/>
      <c r="L431" s="442" t="str">
        <f t="shared" si="2"/>
        <v/>
      </c>
      <c r="M431" s="395"/>
      <c r="N431" s="442" t="str">
        <f t="shared" si="3"/>
        <v/>
      </c>
      <c r="O431" s="395"/>
      <c r="P431" s="395"/>
      <c r="Q431" s="395"/>
      <c r="R431" s="395"/>
      <c r="S431" s="395"/>
      <c r="T431" s="395"/>
      <c r="U431" s="395"/>
      <c r="V431" s="395"/>
      <c r="W431" s="395"/>
      <c r="X431" s="395"/>
      <c r="Y431" s="395"/>
      <c r="Z431" s="395"/>
      <c r="AA431" s="395"/>
    </row>
    <row r="432" ht="15.75" customHeight="1">
      <c r="A432" s="395"/>
      <c r="B432" s="395"/>
      <c r="C432" s="395"/>
      <c r="D432" s="395"/>
      <c r="E432" s="395"/>
      <c r="F432" s="395"/>
      <c r="G432" s="395"/>
      <c r="H432" s="395"/>
      <c r="I432" s="395"/>
      <c r="J432" s="441"/>
      <c r="K432" s="395"/>
      <c r="L432" s="442" t="str">
        <f t="shared" si="2"/>
        <v/>
      </c>
      <c r="M432" s="395"/>
      <c r="N432" s="442" t="str">
        <f t="shared" si="3"/>
        <v/>
      </c>
      <c r="O432" s="395"/>
      <c r="P432" s="395"/>
      <c r="Q432" s="395"/>
      <c r="R432" s="395"/>
      <c r="S432" s="395"/>
      <c r="T432" s="395"/>
      <c r="U432" s="395"/>
      <c r="V432" s="395"/>
      <c r="W432" s="395"/>
      <c r="X432" s="395"/>
      <c r="Y432" s="395"/>
      <c r="Z432" s="395"/>
      <c r="AA432" s="395"/>
    </row>
    <row r="433" ht="15.75" customHeight="1">
      <c r="A433" s="395"/>
      <c r="B433" s="395"/>
      <c r="C433" s="395"/>
      <c r="D433" s="395"/>
      <c r="E433" s="395"/>
      <c r="F433" s="395"/>
      <c r="G433" s="395"/>
      <c r="H433" s="395"/>
      <c r="I433" s="395"/>
      <c r="J433" s="441"/>
      <c r="K433" s="395"/>
      <c r="L433" s="442" t="str">
        <f t="shared" si="2"/>
        <v/>
      </c>
      <c r="M433" s="395"/>
      <c r="N433" s="442" t="str">
        <f t="shared" si="3"/>
        <v/>
      </c>
      <c r="O433" s="395"/>
      <c r="P433" s="395"/>
      <c r="Q433" s="395"/>
      <c r="R433" s="395"/>
      <c r="S433" s="395"/>
      <c r="T433" s="395"/>
      <c r="U433" s="395"/>
      <c r="V433" s="395"/>
      <c r="W433" s="395"/>
      <c r="X433" s="395"/>
      <c r="Y433" s="395"/>
      <c r="Z433" s="395"/>
      <c r="AA433" s="395"/>
    </row>
    <row r="434" ht="15.75" customHeight="1">
      <c r="A434" s="395"/>
      <c r="B434" s="395"/>
      <c r="C434" s="395"/>
      <c r="D434" s="395"/>
      <c r="E434" s="395"/>
      <c r="F434" s="395"/>
      <c r="G434" s="395"/>
      <c r="H434" s="395"/>
      <c r="I434" s="395"/>
      <c r="J434" s="441"/>
      <c r="K434" s="395"/>
      <c r="L434" s="442" t="str">
        <f t="shared" si="2"/>
        <v/>
      </c>
      <c r="M434" s="395"/>
      <c r="N434" s="442" t="str">
        <f t="shared" si="3"/>
        <v/>
      </c>
      <c r="O434" s="395"/>
      <c r="P434" s="395"/>
      <c r="Q434" s="395"/>
      <c r="R434" s="395"/>
      <c r="S434" s="395"/>
      <c r="T434" s="395"/>
      <c r="U434" s="395"/>
      <c r="V434" s="395"/>
      <c r="W434" s="395"/>
      <c r="X434" s="395"/>
      <c r="Y434" s="395"/>
      <c r="Z434" s="395"/>
      <c r="AA434" s="395"/>
    </row>
    <row r="435" ht="15.75" customHeight="1">
      <c r="A435" s="395"/>
      <c r="B435" s="395"/>
      <c r="C435" s="395"/>
      <c r="D435" s="395"/>
      <c r="E435" s="395"/>
      <c r="F435" s="395"/>
      <c r="G435" s="395"/>
      <c r="H435" s="395"/>
      <c r="I435" s="395"/>
      <c r="J435" s="441"/>
      <c r="K435" s="395"/>
      <c r="L435" s="442" t="str">
        <f t="shared" si="2"/>
        <v/>
      </c>
      <c r="M435" s="395"/>
      <c r="N435" s="442" t="str">
        <f t="shared" si="3"/>
        <v/>
      </c>
      <c r="O435" s="395"/>
      <c r="P435" s="395"/>
      <c r="Q435" s="395"/>
      <c r="R435" s="395"/>
      <c r="S435" s="395"/>
      <c r="T435" s="395"/>
      <c r="U435" s="395"/>
      <c r="V435" s="395"/>
      <c r="W435" s="395"/>
      <c r="X435" s="395"/>
      <c r="Y435" s="395"/>
      <c r="Z435" s="395"/>
      <c r="AA435" s="395"/>
    </row>
    <row r="436" ht="15.75" customHeight="1">
      <c r="A436" s="395"/>
      <c r="B436" s="395"/>
      <c r="C436" s="395"/>
      <c r="D436" s="395"/>
      <c r="E436" s="395"/>
      <c r="F436" s="395"/>
      <c r="G436" s="395"/>
      <c r="H436" s="395"/>
      <c r="I436" s="395"/>
      <c r="J436" s="441"/>
      <c r="K436" s="395"/>
      <c r="L436" s="442" t="str">
        <f t="shared" si="2"/>
        <v/>
      </c>
      <c r="M436" s="395"/>
      <c r="N436" s="442" t="str">
        <f t="shared" si="3"/>
        <v/>
      </c>
      <c r="O436" s="395"/>
      <c r="P436" s="395"/>
      <c r="Q436" s="395"/>
      <c r="R436" s="395"/>
      <c r="S436" s="395"/>
      <c r="T436" s="395"/>
      <c r="U436" s="395"/>
      <c r="V436" s="395"/>
      <c r="W436" s="395"/>
      <c r="X436" s="395"/>
      <c r="Y436" s="395"/>
      <c r="Z436" s="395"/>
      <c r="AA436" s="395"/>
    </row>
    <row r="437" ht="15.75" customHeight="1">
      <c r="A437" s="395"/>
      <c r="B437" s="395"/>
      <c r="C437" s="395"/>
      <c r="D437" s="395"/>
      <c r="E437" s="395"/>
      <c r="F437" s="395"/>
      <c r="G437" s="395"/>
      <c r="H437" s="395"/>
      <c r="I437" s="395"/>
      <c r="J437" s="441"/>
      <c r="K437" s="395"/>
      <c r="L437" s="442" t="str">
        <f t="shared" si="2"/>
        <v/>
      </c>
      <c r="M437" s="395"/>
      <c r="N437" s="442" t="str">
        <f t="shared" si="3"/>
        <v/>
      </c>
      <c r="O437" s="395"/>
      <c r="P437" s="395"/>
      <c r="Q437" s="395"/>
      <c r="R437" s="395"/>
      <c r="S437" s="395"/>
      <c r="T437" s="395"/>
      <c r="U437" s="395"/>
      <c r="V437" s="395"/>
      <c r="W437" s="395"/>
      <c r="X437" s="395"/>
      <c r="Y437" s="395"/>
      <c r="Z437" s="395"/>
      <c r="AA437" s="395"/>
    </row>
    <row r="438" ht="15.75" customHeight="1">
      <c r="A438" s="395"/>
      <c r="B438" s="395"/>
      <c r="C438" s="395"/>
      <c r="D438" s="395"/>
      <c r="E438" s="395"/>
      <c r="F438" s="395"/>
      <c r="G438" s="395"/>
      <c r="H438" s="395"/>
      <c r="I438" s="395"/>
      <c r="J438" s="441"/>
      <c r="K438" s="395"/>
      <c r="L438" s="442" t="str">
        <f t="shared" si="2"/>
        <v/>
      </c>
      <c r="M438" s="395"/>
      <c r="N438" s="442" t="str">
        <f t="shared" si="3"/>
        <v/>
      </c>
      <c r="O438" s="395"/>
      <c r="P438" s="395"/>
      <c r="Q438" s="395"/>
      <c r="R438" s="395"/>
      <c r="S438" s="395"/>
      <c r="T438" s="395"/>
      <c r="U438" s="395"/>
      <c r="V438" s="395"/>
      <c r="W438" s="395"/>
      <c r="X438" s="395"/>
      <c r="Y438" s="395"/>
      <c r="Z438" s="395"/>
      <c r="AA438" s="395"/>
    </row>
    <row r="439" ht="15.75" customHeight="1">
      <c r="A439" s="395"/>
      <c r="B439" s="395"/>
      <c r="C439" s="395"/>
      <c r="D439" s="395"/>
      <c r="E439" s="395"/>
      <c r="F439" s="395"/>
      <c r="G439" s="395"/>
      <c r="H439" s="395"/>
      <c r="I439" s="395"/>
      <c r="J439" s="441"/>
      <c r="K439" s="395"/>
      <c r="L439" s="442" t="str">
        <f t="shared" si="2"/>
        <v/>
      </c>
      <c r="M439" s="395"/>
      <c r="N439" s="442" t="str">
        <f t="shared" si="3"/>
        <v/>
      </c>
      <c r="O439" s="395"/>
      <c r="P439" s="395"/>
      <c r="Q439" s="395"/>
      <c r="R439" s="395"/>
      <c r="S439" s="395"/>
      <c r="T439" s="395"/>
      <c r="U439" s="395"/>
      <c r="V439" s="395"/>
      <c r="W439" s="395"/>
      <c r="X439" s="395"/>
      <c r="Y439" s="395"/>
      <c r="Z439" s="395"/>
      <c r="AA439" s="395"/>
    </row>
    <row r="440" ht="15.75" customHeight="1">
      <c r="A440" s="395"/>
      <c r="B440" s="395"/>
      <c r="C440" s="395"/>
      <c r="D440" s="395"/>
      <c r="E440" s="395"/>
      <c r="F440" s="395"/>
      <c r="G440" s="395"/>
      <c r="H440" s="395"/>
      <c r="I440" s="395"/>
      <c r="J440" s="441"/>
      <c r="K440" s="395"/>
      <c r="L440" s="442" t="str">
        <f t="shared" si="2"/>
        <v/>
      </c>
      <c r="M440" s="395"/>
      <c r="N440" s="442" t="str">
        <f t="shared" si="3"/>
        <v/>
      </c>
      <c r="O440" s="395"/>
      <c r="P440" s="395"/>
      <c r="Q440" s="395"/>
      <c r="R440" s="395"/>
      <c r="S440" s="395"/>
      <c r="T440" s="395"/>
      <c r="U440" s="395"/>
      <c r="V440" s="395"/>
      <c r="W440" s="395"/>
      <c r="X440" s="395"/>
      <c r="Y440" s="395"/>
      <c r="Z440" s="395"/>
      <c r="AA440" s="395"/>
    </row>
    <row r="441" ht="15.75" customHeight="1">
      <c r="A441" s="395"/>
      <c r="B441" s="395"/>
      <c r="C441" s="395"/>
      <c r="D441" s="395"/>
      <c r="E441" s="395"/>
      <c r="F441" s="395"/>
      <c r="G441" s="395"/>
      <c r="H441" s="395"/>
      <c r="I441" s="395"/>
      <c r="J441" s="441"/>
      <c r="K441" s="395"/>
      <c r="L441" s="442" t="str">
        <f t="shared" si="2"/>
        <v/>
      </c>
      <c r="M441" s="395"/>
      <c r="N441" s="442" t="str">
        <f t="shared" si="3"/>
        <v/>
      </c>
      <c r="O441" s="395"/>
      <c r="P441" s="395"/>
      <c r="Q441" s="395"/>
      <c r="R441" s="395"/>
      <c r="S441" s="395"/>
      <c r="T441" s="395"/>
      <c r="U441" s="395"/>
      <c r="V441" s="395"/>
      <c r="W441" s="395"/>
      <c r="X441" s="395"/>
      <c r="Y441" s="395"/>
      <c r="Z441" s="395"/>
      <c r="AA441" s="395"/>
    </row>
    <row r="442" ht="15.75" customHeight="1">
      <c r="A442" s="395"/>
      <c r="B442" s="395"/>
      <c r="C442" s="395"/>
      <c r="D442" s="395"/>
      <c r="E442" s="395"/>
      <c r="F442" s="395"/>
      <c r="G442" s="395"/>
      <c r="H442" s="395"/>
      <c r="I442" s="395"/>
      <c r="J442" s="441"/>
      <c r="K442" s="395"/>
      <c r="L442" s="442" t="str">
        <f t="shared" si="2"/>
        <v/>
      </c>
      <c r="M442" s="395"/>
      <c r="N442" s="442" t="str">
        <f t="shared" si="3"/>
        <v/>
      </c>
      <c r="O442" s="395"/>
      <c r="P442" s="395"/>
      <c r="Q442" s="395"/>
      <c r="R442" s="395"/>
      <c r="S442" s="395"/>
      <c r="T442" s="395"/>
      <c r="U442" s="395"/>
      <c r="V442" s="395"/>
      <c r="W442" s="395"/>
      <c r="X442" s="395"/>
      <c r="Y442" s="395"/>
      <c r="Z442" s="395"/>
      <c r="AA442" s="395"/>
    </row>
    <row r="443" ht="15.75" customHeight="1">
      <c r="A443" s="395"/>
      <c r="B443" s="395"/>
      <c r="C443" s="395"/>
      <c r="D443" s="395"/>
      <c r="E443" s="395"/>
      <c r="F443" s="395"/>
      <c r="G443" s="395"/>
      <c r="H443" s="395"/>
      <c r="I443" s="395"/>
      <c r="J443" s="441"/>
      <c r="K443" s="395"/>
      <c r="L443" s="442" t="str">
        <f t="shared" si="2"/>
        <v/>
      </c>
      <c r="M443" s="395"/>
      <c r="N443" s="442" t="str">
        <f t="shared" si="3"/>
        <v/>
      </c>
      <c r="O443" s="395"/>
      <c r="P443" s="395"/>
      <c r="Q443" s="395"/>
      <c r="R443" s="395"/>
      <c r="S443" s="395"/>
      <c r="T443" s="395"/>
      <c r="U443" s="395"/>
      <c r="V443" s="395"/>
      <c r="W443" s="395"/>
      <c r="X443" s="395"/>
      <c r="Y443" s="395"/>
      <c r="Z443" s="395"/>
      <c r="AA443" s="395"/>
    </row>
    <row r="444" ht="15.75" customHeight="1">
      <c r="A444" s="395"/>
      <c r="B444" s="395"/>
      <c r="C444" s="395"/>
      <c r="D444" s="395"/>
      <c r="E444" s="395"/>
      <c r="F444" s="395"/>
      <c r="G444" s="395"/>
      <c r="H444" s="395"/>
      <c r="I444" s="395"/>
      <c r="J444" s="441"/>
      <c r="K444" s="395"/>
      <c r="L444" s="442" t="str">
        <f t="shared" si="2"/>
        <v/>
      </c>
      <c r="M444" s="395"/>
      <c r="N444" s="442" t="str">
        <f t="shared" si="3"/>
        <v/>
      </c>
      <c r="O444" s="395"/>
      <c r="P444" s="395"/>
      <c r="Q444" s="395"/>
      <c r="R444" s="395"/>
      <c r="S444" s="395"/>
      <c r="T444" s="395"/>
      <c r="U444" s="395"/>
      <c r="V444" s="395"/>
      <c r="W444" s="395"/>
      <c r="X444" s="395"/>
      <c r="Y444" s="395"/>
      <c r="Z444" s="395"/>
      <c r="AA444" s="395"/>
    </row>
    <row r="445" ht="15.75" customHeight="1">
      <c r="A445" s="395"/>
      <c r="B445" s="395"/>
      <c r="C445" s="395"/>
      <c r="D445" s="395"/>
      <c r="E445" s="395"/>
      <c r="F445" s="395"/>
      <c r="G445" s="395"/>
      <c r="H445" s="395"/>
      <c r="I445" s="395"/>
      <c r="J445" s="441"/>
      <c r="K445" s="395"/>
      <c r="L445" s="442" t="str">
        <f t="shared" si="2"/>
        <v/>
      </c>
      <c r="M445" s="395"/>
      <c r="N445" s="442" t="str">
        <f t="shared" si="3"/>
        <v/>
      </c>
      <c r="O445" s="395"/>
      <c r="P445" s="395"/>
      <c r="Q445" s="395"/>
      <c r="R445" s="395"/>
      <c r="S445" s="395"/>
      <c r="T445" s="395"/>
      <c r="U445" s="395"/>
      <c r="V445" s="395"/>
      <c r="W445" s="395"/>
      <c r="X445" s="395"/>
      <c r="Y445" s="395"/>
      <c r="Z445" s="395"/>
      <c r="AA445" s="395"/>
    </row>
    <row r="446" ht="15.75" customHeight="1">
      <c r="A446" s="395"/>
      <c r="B446" s="395"/>
      <c r="C446" s="395"/>
      <c r="D446" s="395"/>
      <c r="E446" s="395"/>
      <c r="F446" s="395"/>
      <c r="G446" s="395"/>
      <c r="H446" s="395"/>
      <c r="I446" s="395"/>
      <c r="J446" s="441"/>
      <c r="K446" s="395"/>
      <c r="L446" s="442" t="str">
        <f t="shared" si="2"/>
        <v/>
      </c>
      <c r="M446" s="395"/>
      <c r="N446" s="442" t="str">
        <f t="shared" si="3"/>
        <v/>
      </c>
      <c r="O446" s="395"/>
      <c r="P446" s="395"/>
      <c r="Q446" s="395"/>
      <c r="R446" s="395"/>
      <c r="S446" s="395"/>
      <c r="T446" s="395"/>
      <c r="U446" s="395"/>
      <c r="V446" s="395"/>
      <c r="W446" s="395"/>
      <c r="X446" s="395"/>
      <c r="Y446" s="395"/>
      <c r="Z446" s="395"/>
      <c r="AA446" s="395"/>
    </row>
    <row r="447" ht="15.75" customHeight="1">
      <c r="A447" s="395"/>
      <c r="B447" s="395"/>
      <c r="C447" s="395"/>
      <c r="D447" s="395"/>
      <c r="E447" s="395"/>
      <c r="F447" s="395"/>
      <c r="G447" s="395"/>
      <c r="H447" s="395"/>
      <c r="I447" s="395"/>
      <c r="J447" s="441"/>
      <c r="K447" s="395"/>
      <c r="L447" s="442" t="str">
        <f t="shared" si="2"/>
        <v/>
      </c>
      <c r="M447" s="395"/>
      <c r="N447" s="442" t="str">
        <f t="shared" si="3"/>
        <v/>
      </c>
      <c r="O447" s="395"/>
      <c r="P447" s="395"/>
      <c r="Q447" s="395"/>
      <c r="R447" s="395"/>
      <c r="S447" s="395"/>
      <c r="T447" s="395"/>
      <c r="U447" s="395"/>
      <c r="V447" s="395"/>
      <c r="W447" s="395"/>
      <c r="X447" s="395"/>
      <c r="Y447" s="395"/>
      <c r="Z447" s="395"/>
      <c r="AA447" s="395"/>
    </row>
    <row r="448" ht="15.75" customHeight="1">
      <c r="A448" s="395"/>
      <c r="B448" s="395"/>
      <c r="C448" s="395"/>
      <c r="D448" s="395"/>
      <c r="E448" s="395"/>
      <c r="F448" s="395"/>
      <c r="G448" s="395"/>
      <c r="H448" s="395"/>
      <c r="I448" s="395"/>
      <c r="J448" s="441"/>
      <c r="K448" s="395"/>
      <c r="L448" s="442" t="str">
        <f t="shared" si="2"/>
        <v/>
      </c>
      <c r="M448" s="395"/>
      <c r="N448" s="442" t="str">
        <f t="shared" si="3"/>
        <v/>
      </c>
      <c r="O448" s="395"/>
      <c r="P448" s="395"/>
      <c r="Q448" s="395"/>
      <c r="R448" s="395"/>
      <c r="S448" s="395"/>
      <c r="T448" s="395"/>
      <c r="U448" s="395"/>
      <c r="V448" s="395"/>
      <c r="W448" s="395"/>
      <c r="X448" s="395"/>
      <c r="Y448" s="395"/>
      <c r="Z448" s="395"/>
      <c r="AA448" s="395"/>
    </row>
    <row r="449" ht="15.75" customHeight="1">
      <c r="A449" s="395"/>
      <c r="B449" s="395"/>
      <c r="C449" s="395"/>
      <c r="D449" s="395"/>
      <c r="E449" s="395"/>
      <c r="F449" s="395"/>
      <c r="G449" s="395"/>
      <c r="H449" s="395"/>
      <c r="I449" s="395"/>
      <c r="J449" s="441"/>
      <c r="K449" s="395"/>
      <c r="L449" s="442" t="str">
        <f t="shared" si="2"/>
        <v/>
      </c>
      <c r="M449" s="395"/>
      <c r="N449" s="442" t="str">
        <f t="shared" si="3"/>
        <v/>
      </c>
      <c r="O449" s="395"/>
      <c r="P449" s="395"/>
      <c r="Q449" s="395"/>
      <c r="R449" s="395"/>
      <c r="S449" s="395"/>
      <c r="T449" s="395"/>
      <c r="U449" s="395"/>
      <c r="V449" s="395"/>
      <c r="W449" s="395"/>
      <c r="X449" s="395"/>
      <c r="Y449" s="395"/>
      <c r="Z449" s="395"/>
      <c r="AA449" s="395"/>
    </row>
    <row r="450" ht="15.75" customHeight="1">
      <c r="A450" s="395"/>
      <c r="B450" s="395"/>
      <c r="C450" s="395"/>
      <c r="D450" s="395"/>
      <c r="E450" s="395"/>
      <c r="F450" s="395"/>
      <c r="G450" s="395"/>
      <c r="H450" s="395"/>
      <c r="I450" s="395"/>
      <c r="J450" s="441"/>
      <c r="K450" s="395"/>
      <c r="L450" s="442" t="str">
        <f t="shared" si="2"/>
        <v/>
      </c>
      <c r="M450" s="395"/>
      <c r="N450" s="442" t="str">
        <f t="shared" si="3"/>
        <v/>
      </c>
      <c r="O450" s="395"/>
      <c r="P450" s="395"/>
      <c r="Q450" s="395"/>
      <c r="R450" s="395"/>
      <c r="S450" s="395"/>
      <c r="T450" s="395"/>
      <c r="U450" s="395"/>
      <c r="V450" s="395"/>
      <c r="W450" s="395"/>
      <c r="X450" s="395"/>
      <c r="Y450" s="395"/>
      <c r="Z450" s="395"/>
      <c r="AA450" s="395"/>
    </row>
    <row r="451" ht="15.75" customHeight="1">
      <c r="A451" s="395"/>
      <c r="B451" s="395"/>
      <c r="C451" s="395"/>
      <c r="D451" s="395"/>
      <c r="E451" s="395"/>
      <c r="F451" s="395"/>
      <c r="G451" s="395"/>
      <c r="H451" s="395"/>
      <c r="I451" s="395"/>
      <c r="J451" s="441"/>
      <c r="K451" s="395"/>
      <c r="L451" s="442" t="str">
        <f t="shared" si="2"/>
        <v/>
      </c>
      <c r="M451" s="395"/>
      <c r="N451" s="442" t="str">
        <f t="shared" si="3"/>
        <v/>
      </c>
      <c r="O451" s="395"/>
      <c r="P451" s="395"/>
      <c r="Q451" s="395"/>
      <c r="R451" s="395"/>
      <c r="S451" s="395"/>
      <c r="T451" s="395"/>
      <c r="U451" s="395"/>
      <c r="V451" s="395"/>
      <c r="W451" s="395"/>
      <c r="X451" s="395"/>
      <c r="Y451" s="395"/>
      <c r="Z451" s="395"/>
      <c r="AA451" s="395"/>
    </row>
    <row r="452" ht="15.75" customHeight="1">
      <c r="A452" s="395"/>
      <c r="B452" s="395"/>
      <c r="C452" s="395"/>
      <c r="D452" s="395"/>
      <c r="E452" s="395"/>
      <c r="F452" s="395"/>
      <c r="G452" s="395"/>
      <c r="H452" s="395"/>
      <c r="I452" s="395"/>
      <c r="J452" s="441"/>
      <c r="K452" s="395"/>
      <c r="L452" s="442" t="str">
        <f t="shared" si="2"/>
        <v/>
      </c>
      <c r="M452" s="395"/>
      <c r="N452" s="442" t="str">
        <f t="shared" si="3"/>
        <v/>
      </c>
      <c r="O452" s="395"/>
      <c r="P452" s="395"/>
      <c r="Q452" s="395"/>
      <c r="R452" s="395"/>
      <c r="S452" s="395"/>
      <c r="T452" s="395"/>
      <c r="U452" s="395"/>
      <c r="V452" s="395"/>
      <c r="W452" s="395"/>
      <c r="X452" s="395"/>
      <c r="Y452" s="395"/>
      <c r="Z452" s="395"/>
      <c r="AA452" s="395"/>
    </row>
    <row r="453" ht="15.75" customHeight="1">
      <c r="A453" s="395"/>
      <c r="B453" s="395"/>
      <c r="C453" s="395"/>
      <c r="D453" s="395"/>
      <c r="E453" s="395"/>
      <c r="F453" s="395"/>
      <c r="G453" s="395"/>
      <c r="H453" s="395"/>
      <c r="I453" s="395"/>
      <c r="J453" s="441"/>
      <c r="K453" s="395"/>
      <c r="L453" s="442" t="str">
        <f t="shared" si="2"/>
        <v/>
      </c>
      <c r="M453" s="395"/>
      <c r="N453" s="442" t="str">
        <f t="shared" si="3"/>
        <v/>
      </c>
      <c r="O453" s="395"/>
      <c r="P453" s="395"/>
      <c r="Q453" s="395"/>
      <c r="R453" s="395"/>
      <c r="S453" s="395"/>
      <c r="T453" s="395"/>
      <c r="U453" s="395"/>
      <c r="V453" s="395"/>
      <c r="W453" s="395"/>
      <c r="X453" s="395"/>
      <c r="Y453" s="395"/>
      <c r="Z453" s="395"/>
      <c r="AA453" s="395"/>
    </row>
    <row r="454" ht="15.75" customHeight="1">
      <c r="A454" s="395"/>
      <c r="B454" s="395"/>
      <c r="C454" s="395"/>
      <c r="D454" s="395"/>
      <c r="E454" s="395"/>
      <c r="F454" s="395"/>
      <c r="G454" s="395"/>
      <c r="H454" s="395"/>
      <c r="I454" s="395"/>
      <c r="J454" s="441"/>
      <c r="K454" s="395"/>
      <c r="L454" s="442" t="str">
        <f t="shared" si="2"/>
        <v/>
      </c>
      <c r="M454" s="395"/>
      <c r="N454" s="442" t="str">
        <f t="shared" si="3"/>
        <v/>
      </c>
      <c r="O454" s="395"/>
      <c r="P454" s="395"/>
      <c r="Q454" s="395"/>
      <c r="R454" s="395"/>
      <c r="S454" s="395"/>
      <c r="T454" s="395"/>
      <c r="U454" s="395"/>
      <c r="V454" s="395"/>
      <c r="W454" s="395"/>
      <c r="X454" s="395"/>
      <c r="Y454" s="395"/>
      <c r="Z454" s="395"/>
      <c r="AA454" s="395"/>
    </row>
    <row r="455" ht="15.75" customHeight="1">
      <c r="A455" s="395"/>
      <c r="B455" s="395"/>
      <c r="C455" s="395"/>
      <c r="D455" s="395"/>
      <c r="E455" s="395"/>
      <c r="F455" s="395"/>
      <c r="G455" s="395"/>
      <c r="H455" s="395"/>
      <c r="I455" s="395"/>
      <c r="J455" s="441"/>
      <c r="K455" s="395"/>
      <c r="L455" s="442" t="str">
        <f t="shared" si="2"/>
        <v/>
      </c>
      <c r="M455" s="395"/>
      <c r="N455" s="442" t="str">
        <f t="shared" si="3"/>
        <v/>
      </c>
      <c r="O455" s="395"/>
      <c r="P455" s="395"/>
      <c r="Q455" s="395"/>
      <c r="R455" s="395"/>
      <c r="S455" s="395"/>
      <c r="T455" s="395"/>
      <c r="U455" s="395"/>
      <c r="V455" s="395"/>
      <c r="W455" s="395"/>
      <c r="X455" s="395"/>
      <c r="Y455" s="395"/>
      <c r="Z455" s="395"/>
      <c r="AA455" s="395"/>
    </row>
    <row r="456" ht="15.75" customHeight="1">
      <c r="A456" s="395"/>
      <c r="B456" s="395"/>
      <c r="C456" s="395"/>
      <c r="D456" s="395"/>
      <c r="E456" s="395"/>
      <c r="F456" s="395"/>
      <c r="G456" s="395"/>
      <c r="H456" s="395"/>
      <c r="I456" s="395"/>
      <c r="J456" s="441"/>
      <c r="K456" s="395"/>
      <c r="L456" s="442" t="str">
        <f t="shared" si="2"/>
        <v/>
      </c>
      <c r="M456" s="395"/>
      <c r="N456" s="442" t="str">
        <f t="shared" si="3"/>
        <v/>
      </c>
      <c r="O456" s="395"/>
      <c r="P456" s="395"/>
      <c r="Q456" s="395"/>
      <c r="R456" s="395"/>
      <c r="S456" s="395"/>
      <c r="T456" s="395"/>
      <c r="U456" s="395"/>
      <c r="V456" s="395"/>
      <c r="W456" s="395"/>
      <c r="X456" s="395"/>
      <c r="Y456" s="395"/>
      <c r="Z456" s="395"/>
      <c r="AA456" s="395"/>
    </row>
    <row r="457" ht="15.75" customHeight="1">
      <c r="A457" s="395"/>
      <c r="B457" s="395"/>
      <c r="C457" s="395"/>
      <c r="D457" s="395"/>
      <c r="E457" s="395"/>
      <c r="F457" s="395"/>
      <c r="G457" s="395"/>
      <c r="H457" s="395"/>
      <c r="I457" s="395"/>
      <c r="J457" s="441"/>
      <c r="K457" s="395"/>
      <c r="L457" s="442" t="str">
        <f t="shared" si="2"/>
        <v/>
      </c>
      <c r="M457" s="395"/>
      <c r="N457" s="442" t="str">
        <f t="shared" si="3"/>
        <v/>
      </c>
      <c r="O457" s="395"/>
      <c r="P457" s="395"/>
      <c r="Q457" s="395"/>
      <c r="R457" s="395"/>
      <c r="S457" s="395"/>
      <c r="T457" s="395"/>
      <c r="U457" s="395"/>
      <c r="V457" s="395"/>
      <c r="W457" s="395"/>
      <c r="X457" s="395"/>
      <c r="Y457" s="395"/>
      <c r="Z457" s="395"/>
      <c r="AA457" s="395"/>
    </row>
    <row r="458" ht="15.75" customHeight="1">
      <c r="A458" s="395"/>
      <c r="B458" s="395"/>
      <c r="C458" s="395"/>
      <c r="D458" s="395"/>
      <c r="E458" s="395"/>
      <c r="F458" s="395"/>
      <c r="G458" s="395"/>
      <c r="H458" s="395"/>
      <c r="I458" s="395"/>
      <c r="J458" s="441"/>
      <c r="K458" s="395"/>
      <c r="L458" s="442" t="str">
        <f t="shared" si="2"/>
        <v/>
      </c>
      <c r="M458" s="395"/>
      <c r="N458" s="442" t="str">
        <f t="shared" si="3"/>
        <v/>
      </c>
      <c r="O458" s="395"/>
      <c r="P458" s="395"/>
      <c r="Q458" s="395"/>
      <c r="R458" s="395"/>
      <c r="S458" s="395"/>
      <c r="T458" s="395"/>
      <c r="U458" s="395"/>
      <c r="V458" s="395"/>
      <c r="W458" s="395"/>
      <c r="X458" s="395"/>
      <c r="Y458" s="395"/>
      <c r="Z458" s="395"/>
      <c r="AA458" s="395"/>
    </row>
    <row r="459" ht="15.75" customHeight="1">
      <c r="A459" s="395"/>
      <c r="B459" s="395"/>
      <c r="C459" s="395"/>
      <c r="D459" s="395"/>
      <c r="E459" s="395"/>
      <c r="F459" s="395"/>
      <c r="G459" s="395"/>
      <c r="H459" s="395"/>
      <c r="I459" s="395"/>
      <c r="J459" s="441"/>
      <c r="K459" s="395"/>
      <c r="L459" s="442" t="str">
        <f t="shared" si="2"/>
        <v/>
      </c>
      <c r="M459" s="395"/>
      <c r="N459" s="442" t="str">
        <f t="shared" si="3"/>
        <v/>
      </c>
      <c r="O459" s="395"/>
      <c r="P459" s="395"/>
      <c r="Q459" s="395"/>
      <c r="R459" s="395"/>
      <c r="S459" s="395"/>
      <c r="T459" s="395"/>
      <c r="U459" s="395"/>
      <c r="V459" s="395"/>
      <c r="W459" s="395"/>
      <c r="X459" s="395"/>
      <c r="Y459" s="395"/>
      <c r="Z459" s="395"/>
      <c r="AA459" s="395"/>
    </row>
    <row r="460" ht="15.75" customHeight="1">
      <c r="A460" s="395"/>
      <c r="B460" s="395"/>
      <c r="C460" s="395"/>
      <c r="D460" s="395"/>
      <c r="E460" s="395"/>
      <c r="F460" s="395"/>
      <c r="G460" s="395"/>
      <c r="H460" s="395"/>
      <c r="I460" s="395"/>
      <c r="J460" s="441"/>
      <c r="K460" s="395"/>
      <c r="L460" s="442" t="str">
        <f t="shared" si="2"/>
        <v/>
      </c>
      <c r="M460" s="395"/>
      <c r="N460" s="442" t="str">
        <f t="shared" si="3"/>
        <v/>
      </c>
      <c r="O460" s="395"/>
      <c r="P460" s="395"/>
      <c r="Q460" s="395"/>
      <c r="R460" s="395"/>
      <c r="S460" s="395"/>
      <c r="T460" s="395"/>
      <c r="U460" s="395"/>
      <c r="V460" s="395"/>
      <c r="W460" s="395"/>
      <c r="X460" s="395"/>
      <c r="Y460" s="395"/>
      <c r="Z460" s="395"/>
      <c r="AA460" s="395"/>
    </row>
    <row r="461" ht="15.75" customHeight="1">
      <c r="A461" s="395"/>
      <c r="B461" s="395"/>
      <c r="C461" s="395"/>
      <c r="D461" s="395"/>
      <c r="E461" s="395"/>
      <c r="F461" s="395"/>
      <c r="G461" s="395"/>
      <c r="H461" s="395"/>
      <c r="I461" s="395"/>
      <c r="J461" s="441"/>
      <c r="K461" s="395"/>
      <c r="L461" s="442" t="str">
        <f t="shared" si="2"/>
        <v/>
      </c>
      <c r="M461" s="395"/>
      <c r="N461" s="442" t="str">
        <f t="shared" si="3"/>
        <v/>
      </c>
      <c r="O461" s="395"/>
      <c r="P461" s="395"/>
      <c r="Q461" s="395"/>
      <c r="R461" s="395"/>
      <c r="S461" s="395"/>
      <c r="T461" s="395"/>
      <c r="U461" s="395"/>
      <c r="V461" s="395"/>
      <c r="W461" s="395"/>
      <c r="X461" s="395"/>
      <c r="Y461" s="395"/>
      <c r="Z461" s="395"/>
      <c r="AA461" s="395"/>
    </row>
    <row r="462" ht="15.75" customHeight="1">
      <c r="A462" s="395"/>
      <c r="B462" s="395"/>
      <c r="C462" s="395"/>
      <c r="D462" s="395"/>
      <c r="E462" s="395"/>
      <c r="F462" s="395"/>
      <c r="G462" s="395"/>
      <c r="H462" s="395"/>
      <c r="I462" s="395"/>
      <c r="J462" s="441"/>
      <c r="K462" s="395"/>
      <c r="L462" s="442" t="str">
        <f t="shared" si="2"/>
        <v/>
      </c>
      <c r="M462" s="395"/>
      <c r="N462" s="442" t="str">
        <f t="shared" si="3"/>
        <v/>
      </c>
      <c r="O462" s="395"/>
      <c r="P462" s="395"/>
      <c r="Q462" s="395"/>
      <c r="R462" s="395"/>
      <c r="S462" s="395"/>
      <c r="T462" s="395"/>
      <c r="U462" s="395"/>
      <c r="V462" s="395"/>
      <c r="W462" s="395"/>
      <c r="X462" s="395"/>
      <c r="Y462" s="395"/>
      <c r="Z462" s="395"/>
      <c r="AA462" s="395"/>
    </row>
    <row r="463" ht="15.75" customHeight="1">
      <c r="A463" s="395"/>
      <c r="B463" s="395"/>
      <c r="C463" s="395"/>
      <c r="D463" s="395"/>
      <c r="E463" s="395"/>
      <c r="F463" s="395"/>
      <c r="G463" s="395"/>
      <c r="H463" s="395"/>
      <c r="I463" s="395"/>
      <c r="J463" s="441"/>
      <c r="K463" s="395"/>
      <c r="L463" s="442" t="str">
        <f t="shared" si="2"/>
        <v/>
      </c>
      <c r="M463" s="395"/>
      <c r="N463" s="442" t="str">
        <f t="shared" si="3"/>
        <v/>
      </c>
      <c r="O463" s="395"/>
      <c r="P463" s="395"/>
      <c r="Q463" s="395"/>
      <c r="R463" s="395"/>
      <c r="S463" s="395"/>
      <c r="T463" s="395"/>
      <c r="U463" s="395"/>
      <c r="V463" s="395"/>
      <c r="W463" s="395"/>
      <c r="X463" s="395"/>
      <c r="Y463" s="395"/>
      <c r="Z463" s="395"/>
      <c r="AA463" s="395"/>
    </row>
    <row r="464" ht="15.75" customHeight="1">
      <c r="A464" s="395"/>
      <c r="B464" s="395"/>
      <c r="C464" s="395"/>
      <c r="D464" s="395"/>
      <c r="E464" s="395"/>
      <c r="F464" s="395"/>
      <c r="G464" s="395"/>
      <c r="H464" s="395"/>
      <c r="I464" s="395"/>
      <c r="J464" s="441"/>
      <c r="K464" s="395"/>
      <c r="L464" s="442" t="str">
        <f t="shared" si="2"/>
        <v/>
      </c>
      <c r="M464" s="395"/>
      <c r="N464" s="442" t="str">
        <f t="shared" si="3"/>
        <v/>
      </c>
      <c r="O464" s="395"/>
      <c r="P464" s="395"/>
      <c r="Q464" s="395"/>
      <c r="R464" s="395"/>
      <c r="S464" s="395"/>
      <c r="T464" s="395"/>
      <c r="U464" s="395"/>
      <c r="V464" s="395"/>
      <c r="W464" s="395"/>
      <c r="X464" s="395"/>
      <c r="Y464" s="395"/>
      <c r="Z464" s="395"/>
      <c r="AA464" s="395"/>
    </row>
    <row r="465" ht="15.75" customHeight="1">
      <c r="A465" s="395"/>
      <c r="B465" s="395"/>
      <c r="C465" s="395"/>
      <c r="D465" s="395"/>
      <c r="E465" s="395"/>
      <c r="F465" s="395"/>
      <c r="G465" s="395"/>
      <c r="H465" s="395"/>
      <c r="I465" s="395"/>
      <c r="J465" s="441"/>
      <c r="K465" s="395"/>
      <c r="L465" s="442" t="str">
        <f t="shared" si="2"/>
        <v/>
      </c>
      <c r="M465" s="395"/>
      <c r="N465" s="442" t="str">
        <f t="shared" si="3"/>
        <v/>
      </c>
      <c r="O465" s="395"/>
      <c r="P465" s="395"/>
      <c r="Q465" s="395"/>
      <c r="R465" s="395"/>
      <c r="S465" s="395"/>
      <c r="T465" s="395"/>
      <c r="U465" s="395"/>
      <c r="V465" s="395"/>
      <c r="W465" s="395"/>
      <c r="X465" s="395"/>
      <c r="Y465" s="395"/>
      <c r="Z465" s="395"/>
      <c r="AA465" s="395"/>
    </row>
    <row r="466" ht="15.75" customHeight="1">
      <c r="A466" s="395"/>
      <c r="B466" s="395"/>
      <c r="C466" s="395"/>
      <c r="D466" s="395"/>
      <c r="E466" s="395"/>
      <c r="F466" s="395"/>
      <c r="G466" s="395"/>
      <c r="H466" s="395"/>
      <c r="I466" s="395"/>
      <c r="J466" s="441"/>
      <c r="K466" s="395"/>
      <c r="L466" s="442" t="str">
        <f t="shared" si="2"/>
        <v/>
      </c>
      <c r="M466" s="395"/>
      <c r="N466" s="442" t="str">
        <f t="shared" si="3"/>
        <v/>
      </c>
      <c r="O466" s="395"/>
      <c r="P466" s="395"/>
      <c r="Q466" s="395"/>
      <c r="R466" s="395"/>
      <c r="S466" s="395"/>
      <c r="T466" s="395"/>
      <c r="U466" s="395"/>
      <c r="V466" s="395"/>
      <c r="W466" s="395"/>
      <c r="X466" s="395"/>
      <c r="Y466" s="395"/>
      <c r="Z466" s="395"/>
      <c r="AA466" s="395"/>
    </row>
    <row r="467" ht="15.75" customHeight="1">
      <c r="A467" s="395"/>
      <c r="B467" s="395"/>
      <c r="C467" s="395"/>
      <c r="D467" s="395"/>
      <c r="E467" s="395"/>
      <c r="F467" s="395"/>
      <c r="G467" s="395"/>
      <c r="H467" s="395"/>
      <c r="I467" s="395"/>
      <c r="J467" s="441"/>
      <c r="K467" s="395"/>
      <c r="L467" s="442" t="str">
        <f t="shared" si="2"/>
        <v/>
      </c>
      <c r="M467" s="395"/>
      <c r="N467" s="442" t="str">
        <f t="shared" si="3"/>
        <v/>
      </c>
      <c r="O467" s="395"/>
      <c r="P467" s="395"/>
      <c r="Q467" s="395"/>
      <c r="R467" s="395"/>
      <c r="S467" s="395"/>
      <c r="T467" s="395"/>
      <c r="U467" s="395"/>
      <c r="V467" s="395"/>
      <c r="W467" s="395"/>
      <c r="X467" s="395"/>
      <c r="Y467" s="395"/>
      <c r="Z467" s="395"/>
      <c r="AA467" s="395"/>
    </row>
    <row r="468" ht="15.75" customHeight="1">
      <c r="A468" s="395"/>
      <c r="B468" s="395"/>
      <c r="C468" s="395"/>
      <c r="D468" s="395"/>
      <c r="E468" s="395"/>
      <c r="F468" s="395"/>
      <c r="G468" s="395"/>
      <c r="H468" s="395"/>
      <c r="I468" s="395"/>
      <c r="J468" s="441"/>
      <c r="K468" s="395"/>
      <c r="L468" s="442" t="str">
        <f t="shared" si="2"/>
        <v/>
      </c>
      <c r="M468" s="395"/>
      <c r="N468" s="442" t="str">
        <f t="shared" si="3"/>
        <v/>
      </c>
      <c r="O468" s="395"/>
      <c r="P468" s="395"/>
      <c r="Q468" s="395"/>
      <c r="R468" s="395"/>
      <c r="S468" s="395"/>
      <c r="T468" s="395"/>
      <c r="U468" s="395"/>
      <c r="V468" s="395"/>
      <c r="W468" s="395"/>
      <c r="X468" s="395"/>
      <c r="Y468" s="395"/>
      <c r="Z468" s="395"/>
      <c r="AA468" s="395"/>
    </row>
    <row r="469" ht="15.75" customHeight="1">
      <c r="A469" s="395"/>
      <c r="B469" s="395"/>
      <c r="C469" s="395"/>
      <c r="D469" s="395"/>
      <c r="E469" s="395"/>
      <c r="F469" s="395"/>
      <c r="G469" s="395"/>
      <c r="H469" s="395"/>
      <c r="I469" s="395"/>
      <c r="J469" s="441"/>
      <c r="K469" s="395"/>
      <c r="L469" s="442" t="str">
        <f t="shared" si="2"/>
        <v/>
      </c>
      <c r="M469" s="395"/>
      <c r="N469" s="442" t="str">
        <f t="shared" si="3"/>
        <v/>
      </c>
      <c r="O469" s="395"/>
      <c r="P469" s="395"/>
      <c r="Q469" s="395"/>
      <c r="R469" s="395"/>
      <c r="S469" s="395"/>
      <c r="T469" s="395"/>
      <c r="U469" s="395"/>
      <c r="V469" s="395"/>
      <c r="W469" s="395"/>
      <c r="X469" s="395"/>
      <c r="Y469" s="395"/>
      <c r="Z469" s="395"/>
      <c r="AA469" s="395"/>
    </row>
    <row r="470" ht="15.75" customHeight="1">
      <c r="A470" s="395"/>
      <c r="B470" s="395"/>
      <c r="C470" s="395"/>
      <c r="D470" s="395"/>
      <c r="E470" s="395"/>
      <c r="F470" s="395"/>
      <c r="G470" s="395"/>
      <c r="H470" s="395"/>
      <c r="I470" s="395"/>
      <c r="J470" s="441"/>
      <c r="K470" s="395"/>
      <c r="L470" s="442" t="str">
        <f t="shared" si="2"/>
        <v/>
      </c>
      <c r="M470" s="395"/>
      <c r="N470" s="442" t="str">
        <f t="shared" si="3"/>
        <v/>
      </c>
      <c r="O470" s="395"/>
      <c r="P470" s="395"/>
      <c r="Q470" s="395"/>
      <c r="R470" s="395"/>
      <c r="S470" s="395"/>
      <c r="T470" s="395"/>
      <c r="U470" s="395"/>
      <c r="V470" s="395"/>
      <c r="W470" s="395"/>
      <c r="X470" s="395"/>
      <c r="Y470" s="395"/>
      <c r="Z470" s="395"/>
      <c r="AA470" s="395"/>
    </row>
    <row r="471" ht="15.75" customHeight="1">
      <c r="A471" s="395"/>
      <c r="B471" s="395"/>
      <c r="C471" s="395"/>
      <c r="D471" s="395"/>
      <c r="E471" s="395"/>
      <c r="F471" s="395"/>
      <c r="G471" s="395"/>
      <c r="H471" s="395"/>
      <c r="I471" s="395"/>
      <c r="J471" s="441"/>
      <c r="K471" s="395"/>
      <c r="L471" s="442" t="str">
        <f t="shared" si="2"/>
        <v/>
      </c>
      <c r="M471" s="395"/>
      <c r="N471" s="442" t="str">
        <f t="shared" si="3"/>
        <v/>
      </c>
      <c r="O471" s="395"/>
      <c r="P471" s="395"/>
      <c r="Q471" s="395"/>
      <c r="R471" s="395"/>
      <c r="S471" s="395"/>
      <c r="T471" s="395"/>
      <c r="U471" s="395"/>
      <c r="V471" s="395"/>
      <c r="W471" s="395"/>
      <c r="X471" s="395"/>
      <c r="Y471" s="395"/>
      <c r="Z471" s="395"/>
      <c r="AA471" s="395"/>
    </row>
    <row r="472" ht="15.75" customHeight="1">
      <c r="A472" s="395"/>
      <c r="B472" s="395"/>
      <c r="C472" s="395"/>
      <c r="D472" s="395"/>
      <c r="E472" s="395"/>
      <c r="F472" s="395"/>
      <c r="G472" s="395"/>
      <c r="H472" s="395"/>
      <c r="I472" s="395"/>
      <c r="J472" s="441"/>
      <c r="K472" s="395"/>
      <c r="L472" s="442" t="str">
        <f t="shared" si="2"/>
        <v/>
      </c>
      <c r="M472" s="395"/>
      <c r="N472" s="442" t="str">
        <f t="shared" si="3"/>
        <v/>
      </c>
      <c r="O472" s="395"/>
      <c r="P472" s="395"/>
      <c r="Q472" s="395"/>
      <c r="R472" s="395"/>
      <c r="S472" s="395"/>
      <c r="T472" s="395"/>
      <c r="U472" s="395"/>
      <c r="V472" s="395"/>
      <c r="W472" s="395"/>
      <c r="X472" s="395"/>
      <c r="Y472" s="395"/>
      <c r="Z472" s="395"/>
      <c r="AA472" s="395"/>
    </row>
    <row r="473" ht="15.75" customHeight="1">
      <c r="A473" s="395"/>
      <c r="B473" s="395"/>
      <c r="C473" s="395"/>
      <c r="D473" s="395"/>
      <c r="E473" s="395"/>
      <c r="F473" s="395"/>
      <c r="G473" s="395"/>
      <c r="H473" s="395"/>
      <c r="I473" s="395"/>
      <c r="J473" s="441"/>
      <c r="K473" s="395"/>
      <c r="L473" s="442" t="str">
        <f t="shared" si="2"/>
        <v/>
      </c>
      <c r="M473" s="395"/>
      <c r="N473" s="442" t="str">
        <f t="shared" si="3"/>
        <v/>
      </c>
      <c r="O473" s="395"/>
      <c r="P473" s="395"/>
      <c r="Q473" s="395"/>
      <c r="R473" s="395"/>
      <c r="S473" s="395"/>
      <c r="T473" s="395"/>
      <c r="U473" s="395"/>
      <c r="V473" s="395"/>
      <c r="W473" s="395"/>
      <c r="X473" s="395"/>
      <c r="Y473" s="395"/>
      <c r="Z473" s="395"/>
      <c r="AA473" s="395"/>
    </row>
    <row r="474" ht="15.75" customHeight="1">
      <c r="A474" s="395"/>
      <c r="B474" s="395"/>
      <c r="C474" s="395"/>
      <c r="D474" s="395"/>
      <c r="E474" s="395"/>
      <c r="F474" s="395"/>
      <c r="G474" s="395"/>
      <c r="H474" s="395"/>
      <c r="I474" s="395"/>
      <c r="J474" s="441"/>
      <c r="K474" s="395"/>
      <c r="L474" s="442" t="str">
        <f t="shared" si="2"/>
        <v/>
      </c>
      <c r="M474" s="395"/>
      <c r="N474" s="442" t="str">
        <f t="shared" si="3"/>
        <v/>
      </c>
      <c r="O474" s="395"/>
      <c r="P474" s="395"/>
      <c r="Q474" s="395"/>
      <c r="R474" s="395"/>
      <c r="S474" s="395"/>
      <c r="T474" s="395"/>
      <c r="U474" s="395"/>
      <c r="V474" s="395"/>
      <c r="W474" s="395"/>
      <c r="X474" s="395"/>
      <c r="Y474" s="395"/>
      <c r="Z474" s="395"/>
      <c r="AA474" s="395"/>
    </row>
    <row r="475" ht="15.75" customHeight="1">
      <c r="A475" s="395"/>
      <c r="B475" s="395"/>
      <c r="C475" s="395"/>
      <c r="D475" s="395"/>
      <c r="E475" s="395"/>
      <c r="F475" s="395"/>
      <c r="G475" s="395"/>
      <c r="H475" s="395"/>
      <c r="I475" s="395"/>
      <c r="J475" s="441"/>
      <c r="K475" s="395"/>
      <c r="L475" s="442" t="str">
        <f t="shared" si="2"/>
        <v/>
      </c>
      <c r="M475" s="395"/>
      <c r="N475" s="442" t="str">
        <f t="shared" si="3"/>
        <v/>
      </c>
      <c r="O475" s="395"/>
      <c r="P475" s="395"/>
      <c r="Q475" s="395"/>
      <c r="R475" s="395"/>
      <c r="S475" s="395"/>
      <c r="T475" s="395"/>
      <c r="U475" s="395"/>
      <c r="V475" s="395"/>
      <c r="W475" s="395"/>
      <c r="X475" s="395"/>
      <c r="Y475" s="395"/>
      <c r="Z475" s="395"/>
      <c r="AA475" s="395"/>
    </row>
    <row r="476" ht="15.75" customHeight="1">
      <c r="A476" s="395"/>
      <c r="B476" s="395"/>
      <c r="C476" s="395"/>
      <c r="D476" s="395"/>
      <c r="E476" s="395"/>
      <c r="F476" s="395"/>
      <c r="G476" s="395"/>
      <c r="H476" s="395"/>
      <c r="I476" s="395"/>
      <c r="J476" s="441"/>
      <c r="K476" s="395"/>
      <c r="L476" s="442" t="str">
        <f t="shared" si="2"/>
        <v/>
      </c>
      <c r="M476" s="395"/>
      <c r="N476" s="442" t="str">
        <f t="shared" si="3"/>
        <v/>
      </c>
      <c r="O476" s="395"/>
      <c r="P476" s="395"/>
      <c r="Q476" s="395"/>
      <c r="R476" s="395"/>
      <c r="S476" s="395"/>
      <c r="T476" s="395"/>
      <c r="U476" s="395"/>
      <c r="V476" s="395"/>
      <c r="W476" s="395"/>
      <c r="X476" s="395"/>
      <c r="Y476" s="395"/>
      <c r="Z476" s="395"/>
      <c r="AA476" s="395"/>
    </row>
    <row r="477" ht="15.75" customHeight="1">
      <c r="A477" s="395"/>
      <c r="B477" s="395"/>
      <c r="C477" s="395"/>
      <c r="D477" s="395"/>
      <c r="E477" s="395"/>
      <c r="F477" s="395"/>
      <c r="G477" s="395"/>
      <c r="H477" s="395"/>
      <c r="I477" s="395"/>
      <c r="J477" s="441"/>
      <c r="K477" s="395"/>
      <c r="L477" s="442" t="str">
        <f t="shared" si="2"/>
        <v/>
      </c>
      <c r="M477" s="395"/>
      <c r="N477" s="442" t="str">
        <f t="shared" si="3"/>
        <v/>
      </c>
      <c r="O477" s="395"/>
      <c r="P477" s="395"/>
      <c r="Q477" s="395"/>
      <c r="R477" s="395"/>
      <c r="S477" s="395"/>
      <c r="T477" s="395"/>
      <c r="U477" s="395"/>
      <c r="V477" s="395"/>
      <c r="W477" s="395"/>
      <c r="X477" s="395"/>
      <c r="Y477" s="395"/>
      <c r="Z477" s="395"/>
      <c r="AA477" s="395"/>
    </row>
    <row r="478" ht="15.75" customHeight="1">
      <c r="A478" s="395"/>
      <c r="B478" s="395"/>
      <c r="C478" s="395"/>
      <c r="D478" s="395"/>
      <c r="E478" s="395"/>
      <c r="F478" s="395"/>
      <c r="G478" s="395"/>
      <c r="H478" s="395"/>
      <c r="I478" s="395"/>
      <c r="J478" s="441"/>
      <c r="K478" s="395"/>
      <c r="L478" s="442" t="str">
        <f t="shared" si="2"/>
        <v/>
      </c>
      <c r="M478" s="395"/>
      <c r="N478" s="442" t="str">
        <f t="shared" si="3"/>
        <v/>
      </c>
      <c r="O478" s="395"/>
      <c r="P478" s="395"/>
      <c r="Q478" s="395"/>
      <c r="R478" s="395"/>
      <c r="S478" s="395"/>
      <c r="T478" s="395"/>
      <c r="U478" s="395"/>
      <c r="V478" s="395"/>
      <c r="W478" s="395"/>
      <c r="X478" s="395"/>
      <c r="Y478" s="395"/>
      <c r="Z478" s="395"/>
      <c r="AA478" s="395"/>
    </row>
    <row r="479" ht="15.75" customHeight="1">
      <c r="A479" s="395"/>
      <c r="B479" s="395"/>
      <c r="C479" s="395"/>
      <c r="D479" s="395"/>
      <c r="E479" s="395"/>
      <c r="F479" s="395"/>
      <c r="G479" s="395"/>
      <c r="H479" s="395"/>
      <c r="I479" s="395"/>
      <c r="J479" s="441"/>
      <c r="K479" s="395"/>
      <c r="L479" s="442" t="str">
        <f t="shared" si="2"/>
        <v/>
      </c>
      <c r="M479" s="395"/>
      <c r="N479" s="442" t="str">
        <f t="shared" si="3"/>
        <v/>
      </c>
      <c r="O479" s="395"/>
      <c r="P479" s="395"/>
      <c r="Q479" s="395"/>
      <c r="R479" s="395"/>
      <c r="S479" s="395"/>
      <c r="T479" s="395"/>
      <c r="U479" s="395"/>
      <c r="V479" s="395"/>
      <c r="W479" s="395"/>
      <c r="X479" s="395"/>
      <c r="Y479" s="395"/>
      <c r="Z479" s="395"/>
      <c r="AA479" s="395"/>
    </row>
    <row r="480" ht="15.75" customHeight="1">
      <c r="A480" s="395"/>
      <c r="B480" s="395"/>
      <c r="C480" s="395"/>
      <c r="D480" s="395"/>
      <c r="E480" s="395"/>
      <c r="F480" s="395"/>
      <c r="G480" s="395"/>
      <c r="H480" s="395"/>
      <c r="I480" s="395"/>
      <c r="J480" s="441"/>
      <c r="K480" s="395"/>
      <c r="L480" s="442" t="str">
        <f t="shared" si="2"/>
        <v/>
      </c>
      <c r="M480" s="395"/>
      <c r="N480" s="442" t="str">
        <f t="shared" si="3"/>
        <v/>
      </c>
      <c r="O480" s="395"/>
      <c r="P480" s="395"/>
      <c r="Q480" s="395"/>
      <c r="R480" s="395"/>
      <c r="S480" s="395"/>
      <c r="T480" s="395"/>
      <c r="U480" s="395"/>
      <c r="V480" s="395"/>
      <c r="W480" s="395"/>
      <c r="X480" s="395"/>
      <c r="Y480" s="395"/>
      <c r="Z480" s="395"/>
      <c r="AA480" s="395"/>
    </row>
    <row r="481" ht="15.75" customHeight="1">
      <c r="A481" s="395"/>
      <c r="B481" s="395"/>
      <c r="C481" s="395"/>
      <c r="D481" s="395"/>
      <c r="E481" s="395"/>
      <c r="F481" s="395"/>
      <c r="G481" s="395"/>
      <c r="H481" s="395"/>
      <c r="I481" s="395"/>
      <c r="J481" s="441"/>
      <c r="K481" s="395"/>
      <c r="L481" s="442" t="str">
        <f t="shared" si="2"/>
        <v/>
      </c>
      <c r="M481" s="395"/>
      <c r="N481" s="442" t="str">
        <f t="shared" si="3"/>
        <v/>
      </c>
      <c r="O481" s="395"/>
      <c r="P481" s="395"/>
      <c r="Q481" s="395"/>
      <c r="R481" s="395"/>
      <c r="S481" s="395"/>
      <c r="T481" s="395"/>
      <c r="U481" s="395"/>
      <c r="V481" s="395"/>
      <c r="W481" s="395"/>
      <c r="X481" s="395"/>
      <c r="Y481" s="395"/>
      <c r="Z481" s="395"/>
      <c r="AA481" s="395"/>
    </row>
    <row r="482" ht="15.75" customHeight="1">
      <c r="A482" s="395"/>
      <c r="B482" s="395"/>
      <c r="C482" s="395"/>
      <c r="D482" s="395"/>
      <c r="E482" s="395"/>
      <c r="F482" s="395"/>
      <c r="G482" s="395"/>
      <c r="H482" s="395"/>
      <c r="I482" s="395"/>
      <c r="J482" s="441"/>
      <c r="K482" s="395"/>
      <c r="L482" s="442" t="str">
        <f t="shared" si="2"/>
        <v/>
      </c>
      <c r="M482" s="395"/>
      <c r="N482" s="442" t="str">
        <f t="shared" si="3"/>
        <v/>
      </c>
      <c r="O482" s="395"/>
      <c r="P482" s="395"/>
      <c r="Q482" s="395"/>
      <c r="R482" s="395"/>
      <c r="S482" s="395"/>
      <c r="T482" s="395"/>
      <c r="U482" s="395"/>
      <c r="V482" s="395"/>
      <c r="W482" s="395"/>
      <c r="X482" s="395"/>
      <c r="Y482" s="395"/>
      <c r="Z482" s="395"/>
      <c r="AA482" s="395"/>
    </row>
    <row r="483" ht="15.75" customHeight="1">
      <c r="A483" s="395"/>
      <c r="B483" s="395"/>
      <c r="C483" s="395"/>
      <c r="D483" s="395"/>
      <c r="E483" s="395"/>
      <c r="F483" s="395"/>
      <c r="G483" s="395"/>
      <c r="H483" s="395"/>
      <c r="I483" s="395"/>
      <c r="J483" s="441"/>
      <c r="K483" s="395"/>
      <c r="L483" s="442" t="str">
        <f t="shared" si="2"/>
        <v/>
      </c>
      <c r="M483" s="395"/>
      <c r="N483" s="442" t="str">
        <f t="shared" si="3"/>
        <v/>
      </c>
      <c r="O483" s="395"/>
      <c r="P483" s="395"/>
      <c r="Q483" s="395"/>
      <c r="R483" s="395"/>
      <c r="S483" s="395"/>
      <c r="T483" s="395"/>
      <c r="U483" s="395"/>
      <c r="V483" s="395"/>
      <c r="W483" s="395"/>
      <c r="X483" s="395"/>
      <c r="Y483" s="395"/>
      <c r="Z483" s="395"/>
      <c r="AA483" s="395"/>
    </row>
    <row r="484" ht="15.75" customHeight="1">
      <c r="A484" s="395"/>
      <c r="B484" s="395"/>
      <c r="C484" s="395"/>
      <c r="D484" s="395"/>
      <c r="E484" s="395"/>
      <c r="F484" s="395"/>
      <c r="G484" s="395"/>
      <c r="H484" s="395"/>
      <c r="I484" s="395"/>
      <c r="J484" s="441"/>
      <c r="K484" s="395"/>
      <c r="L484" s="442" t="str">
        <f t="shared" si="2"/>
        <v/>
      </c>
      <c r="M484" s="395"/>
      <c r="N484" s="442" t="str">
        <f t="shared" si="3"/>
        <v/>
      </c>
      <c r="O484" s="395"/>
      <c r="P484" s="395"/>
      <c r="Q484" s="395"/>
      <c r="R484" s="395"/>
      <c r="S484" s="395"/>
      <c r="T484" s="395"/>
      <c r="U484" s="395"/>
      <c r="V484" s="395"/>
      <c r="W484" s="395"/>
      <c r="X484" s="395"/>
      <c r="Y484" s="395"/>
      <c r="Z484" s="395"/>
      <c r="AA484" s="395"/>
    </row>
    <row r="485" ht="15.75" customHeight="1">
      <c r="A485" s="395"/>
      <c r="B485" s="395"/>
      <c r="C485" s="395"/>
      <c r="D485" s="395"/>
      <c r="E485" s="395"/>
      <c r="F485" s="395"/>
      <c r="G485" s="395"/>
      <c r="H485" s="395"/>
      <c r="I485" s="395"/>
      <c r="J485" s="441"/>
      <c r="K485" s="395"/>
      <c r="L485" s="442" t="str">
        <f t="shared" si="2"/>
        <v/>
      </c>
      <c r="M485" s="395"/>
      <c r="N485" s="442" t="str">
        <f t="shared" si="3"/>
        <v/>
      </c>
      <c r="O485" s="395"/>
      <c r="P485" s="395"/>
      <c r="Q485" s="395"/>
      <c r="R485" s="395"/>
      <c r="S485" s="395"/>
      <c r="T485" s="395"/>
      <c r="U485" s="395"/>
      <c r="V485" s="395"/>
      <c r="W485" s="395"/>
      <c r="X485" s="395"/>
      <c r="Y485" s="395"/>
      <c r="Z485" s="395"/>
      <c r="AA485" s="395"/>
    </row>
    <row r="486" ht="15.75" customHeight="1">
      <c r="A486" s="395"/>
      <c r="B486" s="395"/>
      <c r="C486" s="395"/>
      <c r="D486" s="395"/>
      <c r="E486" s="395"/>
      <c r="F486" s="395"/>
      <c r="G486" s="395"/>
      <c r="H486" s="395"/>
      <c r="I486" s="395"/>
      <c r="J486" s="441"/>
      <c r="K486" s="395"/>
      <c r="L486" s="442" t="str">
        <f t="shared" si="2"/>
        <v/>
      </c>
      <c r="M486" s="395"/>
      <c r="N486" s="442" t="str">
        <f t="shared" si="3"/>
        <v/>
      </c>
      <c r="O486" s="395"/>
      <c r="P486" s="395"/>
      <c r="Q486" s="395"/>
      <c r="R486" s="395"/>
      <c r="S486" s="395"/>
      <c r="T486" s="395"/>
      <c r="U486" s="395"/>
      <c r="V486" s="395"/>
      <c r="W486" s="395"/>
      <c r="X486" s="395"/>
      <c r="Y486" s="395"/>
      <c r="Z486" s="395"/>
      <c r="AA486" s="395"/>
    </row>
    <row r="487" ht="15.75" customHeight="1">
      <c r="A487" s="395"/>
      <c r="B487" s="395"/>
      <c r="C487" s="395"/>
      <c r="D487" s="395"/>
      <c r="E487" s="395"/>
      <c r="F487" s="395"/>
      <c r="G487" s="395"/>
      <c r="H487" s="395"/>
      <c r="I487" s="395"/>
      <c r="J487" s="441"/>
      <c r="K487" s="395"/>
      <c r="L487" s="442" t="str">
        <f t="shared" si="2"/>
        <v/>
      </c>
      <c r="M487" s="395"/>
      <c r="N487" s="442" t="str">
        <f t="shared" si="3"/>
        <v/>
      </c>
      <c r="O487" s="395"/>
      <c r="P487" s="395"/>
      <c r="Q487" s="395"/>
      <c r="R487" s="395"/>
      <c r="S487" s="395"/>
      <c r="T487" s="395"/>
      <c r="U487" s="395"/>
      <c r="V487" s="395"/>
      <c r="W487" s="395"/>
      <c r="X487" s="395"/>
      <c r="Y487" s="395"/>
      <c r="Z487" s="395"/>
      <c r="AA487" s="395"/>
    </row>
    <row r="488" ht="15.75" customHeight="1">
      <c r="A488" s="395"/>
      <c r="B488" s="395"/>
      <c r="C488" s="395"/>
      <c r="D488" s="395"/>
      <c r="E488" s="395"/>
      <c r="F488" s="395"/>
      <c r="G488" s="395"/>
      <c r="H488" s="395"/>
      <c r="I488" s="395"/>
      <c r="J488" s="441"/>
      <c r="K488" s="395"/>
      <c r="L488" s="442" t="str">
        <f t="shared" si="2"/>
        <v/>
      </c>
      <c r="M488" s="395"/>
      <c r="N488" s="442" t="str">
        <f t="shared" si="3"/>
        <v/>
      </c>
      <c r="O488" s="395"/>
      <c r="P488" s="395"/>
      <c r="Q488" s="395"/>
      <c r="R488" s="395"/>
      <c r="S488" s="395"/>
      <c r="T488" s="395"/>
      <c r="U488" s="395"/>
      <c r="V488" s="395"/>
      <c r="W488" s="395"/>
      <c r="X488" s="395"/>
      <c r="Y488" s="395"/>
      <c r="Z488" s="395"/>
      <c r="AA488" s="395"/>
    </row>
    <row r="489" ht="15.75" customHeight="1">
      <c r="A489" s="395"/>
      <c r="B489" s="395"/>
      <c r="C489" s="395"/>
      <c r="D489" s="395"/>
      <c r="E489" s="395"/>
      <c r="F489" s="395"/>
      <c r="G489" s="395"/>
      <c r="H489" s="395"/>
      <c r="I489" s="395"/>
      <c r="J489" s="441"/>
      <c r="K489" s="395"/>
      <c r="L489" s="442" t="str">
        <f t="shared" si="2"/>
        <v/>
      </c>
      <c r="M489" s="395"/>
      <c r="N489" s="442" t="str">
        <f t="shared" si="3"/>
        <v/>
      </c>
      <c r="O489" s="395"/>
      <c r="P489" s="395"/>
      <c r="Q489" s="395"/>
      <c r="R489" s="395"/>
      <c r="S489" s="395"/>
      <c r="T489" s="395"/>
      <c r="U489" s="395"/>
      <c r="V489" s="395"/>
      <c r="W489" s="395"/>
      <c r="X489" s="395"/>
      <c r="Y489" s="395"/>
      <c r="Z489" s="395"/>
      <c r="AA489" s="395"/>
    </row>
    <row r="490" ht="15.75" customHeight="1">
      <c r="A490" s="395"/>
      <c r="B490" s="395"/>
      <c r="C490" s="395"/>
      <c r="D490" s="395"/>
      <c r="E490" s="395"/>
      <c r="F490" s="395"/>
      <c r="G490" s="395"/>
      <c r="H490" s="395"/>
      <c r="I490" s="395"/>
      <c r="J490" s="441"/>
      <c r="K490" s="395"/>
      <c r="L490" s="442" t="str">
        <f t="shared" si="2"/>
        <v/>
      </c>
      <c r="M490" s="395"/>
      <c r="N490" s="442" t="str">
        <f t="shared" si="3"/>
        <v/>
      </c>
      <c r="O490" s="395"/>
      <c r="P490" s="395"/>
      <c r="Q490" s="395"/>
      <c r="R490" s="395"/>
      <c r="S490" s="395"/>
      <c r="T490" s="395"/>
      <c r="U490" s="395"/>
      <c r="V490" s="395"/>
      <c r="W490" s="395"/>
      <c r="X490" s="395"/>
      <c r="Y490" s="395"/>
      <c r="Z490" s="395"/>
      <c r="AA490" s="395"/>
    </row>
    <row r="491" ht="15.75" customHeight="1">
      <c r="A491" s="395"/>
      <c r="B491" s="395"/>
      <c r="C491" s="395"/>
      <c r="D491" s="395"/>
      <c r="E491" s="395"/>
      <c r="F491" s="395"/>
      <c r="G491" s="395"/>
      <c r="H491" s="395"/>
      <c r="I491" s="395"/>
      <c r="J491" s="441"/>
      <c r="K491" s="395"/>
      <c r="L491" s="442" t="str">
        <f t="shared" si="2"/>
        <v/>
      </c>
      <c r="M491" s="395"/>
      <c r="N491" s="442" t="str">
        <f t="shared" si="3"/>
        <v/>
      </c>
      <c r="O491" s="395"/>
      <c r="P491" s="395"/>
      <c r="Q491" s="395"/>
      <c r="R491" s="395"/>
      <c r="S491" s="395"/>
      <c r="T491" s="395"/>
      <c r="U491" s="395"/>
      <c r="V491" s="395"/>
      <c r="W491" s="395"/>
      <c r="X491" s="395"/>
      <c r="Y491" s="395"/>
      <c r="Z491" s="395"/>
      <c r="AA491" s="395"/>
    </row>
    <row r="492" ht="15.75" customHeight="1">
      <c r="A492" s="395"/>
      <c r="B492" s="395"/>
      <c r="C492" s="395"/>
      <c r="D492" s="395"/>
      <c r="E492" s="395"/>
      <c r="F492" s="395"/>
      <c r="G492" s="395"/>
      <c r="H492" s="395"/>
      <c r="I492" s="395"/>
      <c r="J492" s="441"/>
      <c r="K492" s="395"/>
      <c r="L492" s="442" t="str">
        <f t="shared" si="2"/>
        <v/>
      </c>
      <c r="M492" s="395"/>
      <c r="N492" s="442" t="str">
        <f t="shared" si="3"/>
        <v/>
      </c>
      <c r="O492" s="395"/>
      <c r="P492" s="395"/>
      <c r="Q492" s="395"/>
      <c r="R492" s="395"/>
      <c r="S492" s="395"/>
      <c r="T492" s="395"/>
      <c r="U492" s="395"/>
      <c r="V492" s="395"/>
      <c r="W492" s="395"/>
      <c r="X492" s="395"/>
      <c r="Y492" s="395"/>
      <c r="Z492" s="395"/>
      <c r="AA492" s="395"/>
    </row>
    <row r="493" ht="15.75" customHeight="1">
      <c r="A493" s="395"/>
      <c r="B493" s="395"/>
      <c r="C493" s="395"/>
      <c r="D493" s="395"/>
      <c r="E493" s="395"/>
      <c r="F493" s="395"/>
      <c r="G493" s="395"/>
      <c r="H493" s="395"/>
      <c r="I493" s="395"/>
      <c r="J493" s="441"/>
      <c r="K493" s="395"/>
      <c r="L493" s="442" t="str">
        <f t="shared" si="2"/>
        <v/>
      </c>
      <c r="M493" s="395"/>
      <c r="N493" s="442" t="str">
        <f t="shared" si="3"/>
        <v/>
      </c>
      <c r="O493" s="395"/>
      <c r="P493" s="395"/>
      <c r="Q493" s="395"/>
      <c r="R493" s="395"/>
      <c r="S493" s="395"/>
      <c r="T493" s="395"/>
      <c r="U493" s="395"/>
      <c r="V493" s="395"/>
      <c r="W493" s="395"/>
      <c r="X493" s="395"/>
      <c r="Y493" s="395"/>
      <c r="Z493" s="395"/>
      <c r="AA493" s="395"/>
    </row>
    <row r="494" ht="15.75" customHeight="1">
      <c r="A494" s="395"/>
      <c r="B494" s="395"/>
      <c r="C494" s="395"/>
      <c r="D494" s="395"/>
      <c r="E494" s="395"/>
      <c r="F494" s="395"/>
      <c r="G494" s="395"/>
      <c r="H494" s="395"/>
      <c r="I494" s="395"/>
      <c r="J494" s="441"/>
      <c r="K494" s="395"/>
      <c r="L494" s="442" t="str">
        <f t="shared" si="2"/>
        <v/>
      </c>
      <c r="M494" s="395"/>
      <c r="N494" s="442" t="str">
        <f t="shared" si="3"/>
        <v/>
      </c>
      <c r="O494" s="395"/>
      <c r="P494" s="395"/>
      <c r="Q494" s="395"/>
      <c r="R494" s="395"/>
      <c r="S494" s="395"/>
      <c r="T494" s="395"/>
      <c r="U494" s="395"/>
      <c r="V494" s="395"/>
      <c r="W494" s="395"/>
      <c r="X494" s="395"/>
      <c r="Y494" s="395"/>
      <c r="Z494" s="395"/>
      <c r="AA494" s="395"/>
    </row>
    <row r="495" ht="15.75" customHeight="1">
      <c r="A495" s="395"/>
      <c r="B495" s="395"/>
      <c r="C495" s="395"/>
      <c r="D495" s="395"/>
      <c r="E495" s="395"/>
      <c r="F495" s="395"/>
      <c r="G495" s="395"/>
      <c r="H495" s="395"/>
      <c r="I495" s="395"/>
      <c r="J495" s="441"/>
      <c r="K495" s="395"/>
      <c r="L495" s="442" t="str">
        <f t="shared" si="2"/>
        <v/>
      </c>
      <c r="M495" s="395"/>
      <c r="N495" s="442" t="str">
        <f t="shared" si="3"/>
        <v/>
      </c>
      <c r="O495" s="395"/>
      <c r="P495" s="395"/>
      <c r="Q495" s="395"/>
      <c r="R495" s="395"/>
      <c r="S495" s="395"/>
      <c r="T495" s="395"/>
      <c r="U495" s="395"/>
      <c r="V495" s="395"/>
      <c r="W495" s="395"/>
      <c r="X495" s="395"/>
      <c r="Y495" s="395"/>
      <c r="Z495" s="395"/>
      <c r="AA495" s="395"/>
    </row>
    <row r="496" ht="15.75" customHeight="1">
      <c r="A496" s="395"/>
      <c r="B496" s="395"/>
      <c r="C496" s="395"/>
      <c r="D496" s="395"/>
      <c r="E496" s="395"/>
      <c r="F496" s="395"/>
      <c r="G496" s="395"/>
      <c r="H496" s="395"/>
      <c r="I496" s="395"/>
      <c r="J496" s="441"/>
      <c r="K496" s="395"/>
      <c r="L496" s="442" t="str">
        <f t="shared" si="2"/>
        <v/>
      </c>
      <c r="M496" s="395"/>
      <c r="N496" s="442" t="str">
        <f t="shared" si="3"/>
        <v/>
      </c>
      <c r="O496" s="395"/>
      <c r="P496" s="395"/>
      <c r="Q496" s="395"/>
      <c r="R496" s="395"/>
      <c r="S496" s="395"/>
      <c r="T496" s="395"/>
      <c r="U496" s="395"/>
      <c r="V496" s="395"/>
      <c r="W496" s="395"/>
      <c r="X496" s="395"/>
      <c r="Y496" s="395"/>
      <c r="Z496" s="395"/>
      <c r="AA496" s="395"/>
    </row>
    <row r="497" ht="15.75" customHeight="1">
      <c r="A497" s="395"/>
      <c r="B497" s="395"/>
      <c r="C497" s="395"/>
      <c r="D497" s="395"/>
      <c r="E497" s="395"/>
      <c r="F497" s="395"/>
      <c r="G497" s="395"/>
      <c r="H497" s="395"/>
      <c r="I497" s="395"/>
      <c r="J497" s="441"/>
      <c r="K497" s="395"/>
      <c r="L497" s="442" t="str">
        <f t="shared" si="2"/>
        <v/>
      </c>
      <c r="M497" s="395"/>
      <c r="N497" s="442" t="str">
        <f t="shared" si="3"/>
        <v/>
      </c>
      <c r="O497" s="395"/>
      <c r="P497" s="395"/>
      <c r="Q497" s="395"/>
      <c r="R497" s="395"/>
      <c r="S497" s="395"/>
      <c r="T497" s="395"/>
      <c r="U497" s="395"/>
      <c r="V497" s="395"/>
      <c r="W497" s="395"/>
      <c r="X497" s="395"/>
      <c r="Y497" s="395"/>
      <c r="Z497" s="395"/>
      <c r="AA497" s="395"/>
    </row>
    <row r="498" ht="15.75" customHeight="1">
      <c r="A498" s="395"/>
      <c r="B498" s="395"/>
      <c r="C498" s="395"/>
      <c r="D498" s="395"/>
      <c r="E498" s="395"/>
      <c r="F498" s="395"/>
      <c r="G498" s="395"/>
      <c r="H498" s="395"/>
      <c r="I498" s="395"/>
      <c r="J498" s="441"/>
      <c r="K498" s="395"/>
      <c r="L498" s="442" t="str">
        <f t="shared" si="2"/>
        <v/>
      </c>
      <c r="M498" s="395"/>
      <c r="N498" s="442" t="str">
        <f t="shared" si="3"/>
        <v/>
      </c>
      <c r="O498" s="395"/>
      <c r="P498" s="395"/>
      <c r="Q498" s="395"/>
      <c r="R498" s="395"/>
      <c r="S498" s="395"/>
      <c r="T498" s="395"/>
      <c r="U498" s="395"/>
      <c r="V498" s="395"/>
      <c r="W498" s="395"/>
      <c r="X498" s="395"/>
      <c r="Y498" s="395"/>
      <c r="Z498" s="395"/>
      <c r="AA498" s="395"/>
    </row>
    <row r="499" ht="15.75" customHeight="1">
      <c r="A499" s="395"/>
      <c r="B499" s="395"/>
      <c r="C499" s="395"/>
      <c r="D499" s="395"/>
      <c r="E499" s="395"/>
      <c r="F499" s="395"/>
      <c r="G499" s="395"/>
      <c r="H499" s="395"/>
      <c r="I499" s="395"/>
      <c r="J499" s="441"/>
      <c r="K499" s="395"/>
      <c r="L499" s="442" t="str">
        <f t="shared" si="2"/>
        <v/>
      </c>
      <c r="M499" s="395"/>
      <c r="N499" s="442" t="str">
        <f t="shared" si="3"/>
        <v/>
      </c>
      <c r="O499" s="395"/>
      <c r="P499" s="395"/>
      <c r="Q499" s="395"/>
      <c r="R499" s="395"/>
      <c r="S499" s="395"/>
      <c r="T499" s="395"/>
      <c r="U499" s="395"/>
      <c r="V499" s="395"/>
      <c r="W499" s="395"/>
      <c r="X499" s="395"/>
      <c r="Y499" s="395"/>
      <c r="Z499" s="395"/>
      <c r="AA499" s="395"/>
    </row>
    <row r="500" ht="15.75" customHeight="1">
      <c r="A500" s="395"/>
      <c r="B500" s="395"/>
      <c r="C500" s="395"/>
      <c r="D500" s="395"/>
      <c r="E500" s="395"/>
      <c r="F500" s="395"/>
      <c r="G500" s="395"/>
      <c r="H500" s="395"/>
      <c r="I500" s="395"/>
      <c r="J500" s="441"/>
      <c r="K500" s="395"/>
      <c r="L500" s="442" t="str">
        <f t="shared" si="2"/>
        <v/>
      </c>
      <c r="M500" s="395"/>
      <c r="N500" s="442" t="str">
        <f t="shared" si="3"/>
        <v/>
      </c>
      <c r="O500" s="395"/>
      <c r="P500" s="395"/>
      <c r="Q500" s="395"/>
      <c r="R500" s="395"/>
      <c r="S500" s="395"/>
      <c r="T500" s="395"/>
      <c r="U500" s="395"/>
      <c r="V500" s="395"/>
      <c r="W500" s="395"/>
      <c r="X500" s="395"/>
      <c r="Y500" s="395"/>
      <c r="Z500" s="395"/>
      <c r="AA500" s="395"/>
    </row>
    <row r="501" ht="15.75" customHeight="1">
      <c r="A501" s="395"/>
      <c r="B501" s="395"/>
      <c r="C501" s="395"/>
      <c r="D501" s="395"/>
      <c r="E501" s="395"/>
      <c r="F501" s="395"/>
      <c r="G501" s="395"/>
      <c r="H501" s="395"/>
      <c r="I501" s="395"/>
      <c r="J501" s="441"/>
      <c r="K501" s="395"/>
      <c r="L501" s="442" t="str">
        <f t="shared" si="2"/>
        <v/>
      </c>
      <c r="M501" s="395"/>
      <c r="N501" s="442" t="str">
        <f t="shared" si="3"/>
        <v/>
      </c>
      <c r="O501" s="395"/>
      <c r="P501" s="395"/>
      <c r="Q501" s="395"/>
      <c r="R501" s="395"/>
      <c r="S501" s="395"/>
      <c r="T501" s="395"/>
      <c r="U501" s="395"/>
      <c r="V501" s="395"/>
      <c r="W501" s="395"/>
      <c r="X501" s="395"/>
      <c r="Y501" s="395"/>
      <c r="Z501" s="395"/>
      <c r="AA501" s="395"/>
    </row>
    <row r="502" ht="15.75" customHeight="1">
      <c r="A502" s="395"/>
      <c r="B502" s="395"/>
      <c r="C502" s="395"/>
      <c r="D502" s="395"/>
      <c r="E502" s="395"/>
      <c r="F502" s="395"/>
      <c r="G502" s="395"/>
      <c r="H502" s="395"/>
      <c r="I502" s="395"/>
      <c r="J502" s="441"/>
      <c r="K502" s="395"/>
      <c r="L502" s="442" t="str">
        <f t="shared" si="2"/>
        <v/>
      </c>
      <c r="M502" s="395"/>
      <c r="N502" s="442" t="str">
        <f t="shared" si="3"/>
        <v/>
      </c>
      <c r="O502" s="395"/>
      <c r="P502" s="395"/>
      <c r="Q502" s="395"/>
      <c r="R502" s="395"/>
      <c r="S502" s="395"/>
      <c r="T502" s="395"/>
      <c r="U502" s="395"/>
      <c r="V502" s="395"/>
      <c r="W502" s="395"/>
      <c r="X502" s="395"/>
      <c r="Y502" s="395"/>
      <c r="Z502" s="395"/>
      <c r="AA502" s="395"/>
    </row>
    <row r="503" ht="15.75" customHeight="1">
      <c r="A503" s="395"/>
      <c r="B503" s="395"/>
      <c r="C503" s="395"/>
      <c r="D503" s="395"/>
      <c r="E503" s="395"/>
      <c r="F503" s="395"/>
      <c r="G503" s="395"/>
      <c r="H503" s="395"/>
      <c r="I503" s="395"/>
      <c r="J503" s="441"/>
      <c r="K503" s="395"/>
      <c r="L503" s="442" t="str">
        <f t="shared" si="2"/>
        <v/>
      </c>
      <c r="M503" s="395"/>
      <c r="N503" s="442" t="str">
        <f t="shared" si="3"/>
        <v/>
      </c>
      <c r="O503" s="395"/>
      <c r="P503" s="395"/>
      <c r="Q503" s="395"/>
      <c r="R503" s="395"/>
      <c r="S503" s="395"/>
      <c r="T503" s="395"/>
      <c r="U503" s="395"/>
      <c r="V503" s="395"/>
      <c r="W503" s="395"/>
      <c r="X503" s="395"/>
      <c r="Y503" s="395"/>
      <c r="Z503" s="395"/>
      <c r="AA503" s="395"/>
    </row>
    <row r="504" ht="15.75" customHeight="1">
      <c r="A504" s="395"/>
      <c r="B504" s="395"/>
      <c r="C504" s="395"/>
      <c r="D504" s="395"/>
      <c r="E504" s="395"/>
      <c r="F504" s="395"/>
      <c r="G504" s="395"/>
      <c r="H504" s="395"/>
      <c r="I504" s="395"/>
      <c r="J504" s="441"/>
      <c r="K504" s="395"/>
      <c r="L504" s="442" t="str">
        <f t="shared" si="2"/>
        <v/>
      </c>
      <c r="M504" s="395"/>
      <c r="N504" s="442" t="str">
        <f t="shared" si="3"/>
        <v/>
      </c>
      <c r="O504" s="395"/>
      <c r="P504" s="395"/>
      <c r="Q504" s="395"/>
      <c r="R504" s="395"/>
      <c r="S504" s="395"/>
      <c r="T504" s="395"/>
      <c r="U504" s="395"/>
      <c r="V504" s="395"/>
      <c r="W504" s="395"/>
      <c r="X504" s="395"/>
      <c r="Y504" s="395"/>
      <c r="Z504" s="395"/>
      <c r="AA504" s="395"/>
    </row>
    <row r="505" ht="15.75" customHeight="1">
      <c r="A505" s="395"/>
      <c r="B505" s="395"/>
      <c r="C505" s="395"/>
      <c r="D505" s="395"/>
      <c r="E505" s="395"/>
      <c r="F505" s="395"/>
      <c r="G505" s="395"/>
      <c r="H505" s="395"/>
      <c r="I505" s="395"/>
      <c r="J505" s="441"/>
      <c r="K505" s="395"/>
      <c r="L505" s="442" t="str">
        <f t="shared" si="2"/>
        <v/>
      </c>
      <c r="M505" s="395"/>
      <c r="N505" s="442" t="str">
        <f t="shared" si="3"/>
        <v/>
      </c>
      <c r="O505" s="395"/>
      <c r="P505" s="395"/>
      <c r="Q505" s="395"/>
      <c r="R505" s="395"/>
      <c r="S505" s="395"/>
      <c r="T505" s="395"/>
      <c r="U505" s="395"/>
      <c r="V505" s="395"/>
      <c r="W505" s="395"/>
      <c r="X505" s="395"/>
      <c r="Y505" s="395"/>
      <c r="Z505" s="395"/>
      <c r="AA505" s="395"/>
    </row>
    <row r="506" ht="15.75" customHeight="1">
      <c r="A506" s="395"/>
      <c r="B506" s="395"/>
      <c r="C506" s="395"/>
      <c r="D506" s="395"/>
      <c r="E506" s="395"/>
      <c r="F506" s="395"/>
      <c r="G506" s="395"/>
      <c r="H506" s="395"/>
      <c r="I506" s="395"/>
      <c r="J506" s="441"/>
      <c r="K506" s="395"/>
      <c r="L506" s="442" t="str">
        <f t="shared" si="2"/>
        <v/>
      </c>
      <c r="M506" s="395"/>
      <c r="N506" s="442" t="str">
        <f t="shared" si="3"/>
        <v/>
      </c>
      <c r="O506" s="395"/>
      <c r="P506" s="395"/>
      <c r="Q506" s="395"/>
      <c r="R506" s="395"/>
      <c r="S506" s="395"/>
      <c r="T506" s="395"/>
      <c r="U506" s="395"/>
      <c r="V506" s="395"/>
      <c r="W506" s="395"/>
      <c r="X506" s="395"/>
      <c r="Y506" s="395"/>
      <c r="Z506" s="395"/>
      <c r="AA506" s="395"/>
    </row>
    <row r="507" ht="15.75" customHeight="1">
      <c r="A507" s="395"/>
      <c r="B507" s="395"/>
      <c r="C507" s="395"/>
      <c r="D507" s="395"/>
      <c r="E507" s="395"/>
      <c r="F507" s="395"/>
      <c r="G507" s="395"/>
      <c r="H507" s="395"/>
      <c r="I507" s="395"/>
      <c r="J507" s="441"/>
      <c r="K507" s="395"/>
      <c r="L507" s="442" t="str">
        <f t="shared" si="2"/>
        <v/>
      </c>
      <c r="M507" s="395"/>
      <c r="N507" s="442" t="str">
        <f t="shared" si="3"/>
        <v/>
      </c>
      <c r="O507" s="395"/>
      <c r="P507" s="395"/>
      <c r="Q507" s="395"/>
      <c r="R507" s="395"/>
      <c r="S507" s="395"/>
      <c r="T507" s="395"/>
      <c r="U507" s="395"/>
      <c r="V507" s="395"/>
      <c r="W507" s="395"/>
      <c r="X507" s="395"/>
      <c r="Y507" s="395"/>
      <c r="Z507" s="395"/>
      <c r="AA507" s="395"/>
    </row>
    <row r="508" ht="15.75" customHeight="1">
      <c r="A508" s="395"/>
      <c r="B508" s="395"/>
      <c r="C508" s="395"/>
      <c r="D508" s="395"/>
      <c r="E508" s="395"/>
      <c r="F508" s="395"/>
      <c r="G508" s="395"/>
      <c r="H508" s="395"/>
      <c r="I508" s="395"/>
      <c r="J508" s="441"/>
      <c r="K508" s="395"/>
      <c r="L508" s="442" t="str">
        <f t="shared" si="2"/>
        <v/>
      </c>
      <c r="M508" s="395"/>
      <c r="N508" s="442" t="str">
        <f t="shared" si="3"/>
        <v/>
      </c>
      <c r="O508" s="395"/>
      <c r="P508" s="395"/>
      <c r="Q508" s="395"/>
      <c r="R508" s="395"/>
      <c r="S508" s="395"/>
      <c r="T508" s="395"/>
      <c r="U508" s="395"/>
      <c r="V508" s="395"/>
      <c r="W508" s="395"/>
      <c r="X508" s="395"/>
      <c r="Y508" s="395"/>
      <c r="Z508" s="395"/>
      <c r="AA508" s="395"/>
    </row>
    <row r="509" ht="15.75" customHeight="1">
      <c r="A509" s="395"/>
      <c r="B509" s="395"/>
      <c r="C509" s="395"/>
      <c r="D509" s="395"/>
      <c r="E509" s="395"/>
      <c r="F509" s="395"/>
      <c r="G509" s="395"/>
      <c r="H509" s="395"/>
      <c r="I509" s="395"/>
      <c r="J509" s="441"/>
      <c r="K509" s="395"/>
      <c r="L509" s="442" t="str">
        <f t="shared" si="2"/>
        <v/>
      </c>
      <c r="M509" s="395"/>
      <c r="N509" s="442" t="str">
        <f t="shared" si="3"/>
        <v/>
      </c>
      <c r="O509" s="395"/>
      <c r="P509" s="395"/>
      <c r="Q509" s="395"/>
      <c r="R509" s="395"/>
      <c r="S509" s="395"/>
      <c r="T509" s="395"/>
      <c r="U509" s="395"/>
      <c r="V509" s="395"/>
      <c r="W509" s="395"/>
      <c r="X509" s="395"/>
      <c r="Y509" s="395"/>
      <c r="Z509" s="395"/>
      <c r="AA509" s="395"/>
    </row>
    <row r="510" ht="15.75" customHeight="1">
      <c r="A510" s="395"/>
      <c r="B510" s="395"/>
      <c r="C510" s="395"/>
      <c r="D510" s="395"/>
      <c r="E510" s="395"/>
      <c r="F510" s="395"/>
      <c r="G510" s="395"/>
      <c r="H510" s="395"/>
      <c r="I510" s="395"/>
      <c r="J510" s="441"/>
      <c r="K510" s="395"/>
      <c r="L510" s="442" t="str">
        <f t="shared" si="2"/>
        <v/>
      </c>
      <c r="M510" s="395"/>
      <c r="N510" s="442" t="str">
        <f t="shared" si="3"/>
        <v/>
      </c>
      <c r="O510" s="395"/>
      <c r="P510" s="395"/>
      <c r="Q510" s="395"/>
      <c r="R510" s="395"/>
      <c r="S510" s="395"/>
      <c r="T510" s="395"/>
      <c r="U510" s="395"/>
      <c r="V510" s="395"/>
      <c r="W510" s="395"/>
      <c r="X510" s="395"/>
      <c r="Y510" s="395"/>
      <c r="Z510" s="395"/>
      <c r="AA510" s="395"/>
    </row>
    <row r="511" ht="15.75" customHeight="1">
      <c r="A511" s="395"/>
      <c r="B511" s="395"/>
      <c r="C511" s="395"/>
      <c r="D511" s="395"/>
      <c r="E511" s="395"/>
      <c r="F511" s="395"/>
      <c r="G511" s="395"/>
      <c r="H511" s="395"/>
      <c r="I511" s="395"/>
      <c r="J511" s="441"/>
      <c r="K511" s="395"/>
      <c r="L511" s="442" t="str">
        <f t="shared" si="2"/>
        <v/>
      </c>
      <c r="M511" s="395"/>
      <c r="N511" s="442" t="str">
        <f t="shared" si="3"/>
        <v/>
      </c>
      <c r="O511" s="395"/>
      <c r="P511" s="395"/>
      <c r="Q511" s="395"/>
      <c r="R511" s="395"/>
      <c r="S511" s="395"/>
      <c r="T511" s="395"/>
      <c r="U511" s="395"/>
      <c r="V511" s="395"/>
      <c r="W511" s="395"/>
      <c r="X511" s="395"/>
      <c r="Y511" s="395"/>
      <c r="Z511" s="395"/>
      <c r="AA511" s="395"/>
    </row>
    <row r="512" ht="15.75" customHeight="1">
      <c r="A512" s="395"/>
      <c r="B512" s="395"/>
      <c r="C512" s="395"/>
      <c r="D512" s="395"/>
      <c r="E512" s="395"/>
      <c r="F512" s="395"/>
      <c r="G512" s="395"/>
      <c r="H512" s="395"/>
      <c r="I512" s="395"/>
      <c r="J512" s="441"/>
      <c r="K512" s="395"/>
      <c r="L512" s="442" t="str">
        <f t="shared" si="2"/>
        <v/>
      </c>
      <c r="M512" s="395"/>
      <c r="N512" s="442" t="str">
        <f t="shared" si="3"/>
        <v/>
      </c>
      <c r="O512" s="395"/>
      <c r="P512" s="395"/>
      <c r="Q512" s="395"/>
      <c r="R512" s="395"/>
      <c r="S512" s="395"/>
      <c r="T512" s="395"/>
      <c r="U512" s="395"/>
      <c r="V512" s="395"/>
      <c r="W512" s="395"/>
      <c r="X512" s="395"/>
      <c r="Y512" s="395"/>
      <c r="Z512" s="395"/>
      <c r="AA512" s="395"/>
    </row>
    <row r="513" ht="15.75" customHeight="1">
      <c r="A513" s="395"/>
      <c r="B513" s="395"/>
      <c r="C513" s="395"/>
      <c r="D513" s="395"/>
      <c r="E513" s="395"/>
      <c r="F513" s="395"/>
      <c r="G513" s="395"/>
      <c r="H513" s="395"/>
      <c r="I513" s="395"/>
      <c r="J513" s="441"/>
      <c r="K513" s="395"/>
      <c r="L513" s="442" t="str">
        <f t="shared" si="2"/>
        <v/>
      </c>
      <c r="M513" s="395"/>
      <c r="N513" s="442" t="str">
        <f t="shared" si="3"/>
        <v/>
      </c>
      <c r="O513" s="395"/>
      <c r="P513" s="395"/>
      <c r="Q513" s="395"/>
      <c r="R513" s="395"/>
      <c r="S513" s="395"/>
      <c r="T513" s="395"/>
      <c r="U513" s="395"/>
      <c r="V513" s="395"/>
      <c r="W513" s="395"/>
      <c r="X513" s="395"/>
      <c r="Y513" s="395"/>
      <c r="Z513" s="395"/>
      <c r="AA513" s="395"/>
    </row>
    <row r="514" ht="15.75" customHeight="1">
      <c r="A514" s="395"/>
      <c r="B514" s="395"/>
      <c r="C514" s="395"/>
      <c r="D514" s="395"/>
      <c r="E514" s="395"/>
      <c r="F514" s="395"/>
      <c r="G514" s="395"/>
      <c r="H514" s="395"/>
      <c r="I514" s="395"/>
      <c r="J514" s="441"/>
      <c r="K514" s="395"/>
      <c r="L514" s="442" t="str">
        <f t="shared" si="2"/>
        <v/>
      </c>
      <c r="M514" s="395"/>
      <c r="N514" s="442" t="str">
        <f t="shared" si="3"/>
        <v/>
      </c>
      <c r="O514" s="395"/>
      <c r="P514" s="395"/>
      <c r="Q514" s="395"/>
      <c r="R514" s="395"/>
      <c r="S514" s="395"/>
      <c r="T514" s="395"/>
      <c r="U514" s="395"/>
      <c r="V514" s="395"/>
      <c r="W514" s="395"/>
      <c r="X514" s="395"/>
      <c r="Y514" s="395"/>
      <c r="Z514" s="395"/>
      <c r="AA514" s="395"/>
    </row>
    <row r="515" ht="15.75" customHeight="1">
      <c r="A515" s="395"/>
      <c r="B515" s="395"/>
      <c r="C515" s="395"/>
      <c r="D515" s="395"/>
      <c r="E515" s="395"/>
      <c r="F515" s="395"/>
      <c r="G515" s="395"/>
      <c r="H515" s="395"/>
      <c r="I515" s="395"/>
      <c r="J515" s="441"/>
      <c r="K515" s="395"/>
      <c r="L515" s="442" t="str">
        <f t="shared" si="2"/>
        <v/>
      </c>
      <c r="M515" s="395"/>
      <c r="N515" s="442" t="str">
        <f t="shared" si="3"/>
        <v/>
      </c>
      <c r="O515" s="395"/>
      <c r="P515" s="395"/>
      <c r="Q515" s="395"/>
      <c r="R515" s="395"/>
      <c r="S515" s="395"/>
      <c r="T515" s="395"/>
      <c r="U515" s="395"/>
      <c r="V515" s="395"/>
      <c r="W515" s="395"/>
      <c r="X515" s="395"/>
      <c r="Y515" s="395"/>
      <c r="Z515" s="395"/>
      <c r="AA515" s="395"/>
    </row>
    <row r="516" ht="15.75" customHeight="1">
      <c r="A516" s="395"/>
      <c r="B516" s="395"/>
      <c r="C516" s="395"/>
      <c r="D516" s="395"/>
      <c r="E516" s="395"/>
      <c r="F516" s="395"/>
      <c r="G516" s="395"/>
      <c r="H516" s="395"/>
      <c r="I516" s="395"/>
      <c r="J516" s="441"/>
      <c r="K516" s="395"/>
      <c r="L516" s="442" t="str">
        <f t="shared" si="2"/>
        <v/>
      </c>
      <c r="M516" s="395"/>
      <c r="N516" s="442" t="str">
        <f t="shared" si="3"/>
        <v/>
      </c>
      <c r="O516" s="395"/>
      <c r="P516" s="395"/>
      <c r="Q516" s="395"/>
      <c r="R516" s="395"/>
      <c r="S516" s="395"/>
      <c r="T516" s="395"/>
      <c r="U516" s="395"/>
      <c r="V516" s="395"/>
      <c r="W516" s="395"/>
      <c r="X516" s="395"/>
      <c r="Y516" s="395"/>
      <c r="Z516" s="395"/>
      <c r="AA516" s="395"/>
    </row>
    <row r="517" ht="15.75" customHeight="1">
      <c r="A517" s="395"/>
      <c r="B517" s="395"/>
      <c r="C517" s="395"/>
      <c r="D517" s="395"/>
      <c r="E517" s="395"/>
      <c r="F517" s="395"/>
      <c r="G517" s="395"/>
      <c r="H517" s="395"/>
      <c r="I517" s="395"/>
      <c r="J517" s="441"/>
      <c r="K517" s="395"/>
      <c r="L517" s="442" t="str">
        <f t="shared" si="2"/>
        <v/>
      </c>
      <c r="M517" s="395"/>
      <c r="N517" s="442" t="str">
        <f t="shared" si="3"/>
        <v/>
      </c>
      <c r="O517" s="395"/>
      <c r="P517" s="395"/>
      <c r="Q517" s="395"/>
      <c r="R517" s="395"/>
      <c r="S517" s="395"/>
      <c r="T517" s="395"/>
      <c r="U517" s="395"/>
      <c r="V517" s="395"/>
      <c r="W517" s="395"/>
      <c r="X517" s="395"/>
      <c r="Y517" s="395"/>
      <c r="Z517" s="395"/>
      <c r="AA517" s="395"/>
    </row>
    <row r="518" ht="15.75" customHeight="1">
      <c r="A518" s="395"/>
      <c r="B518" s="395"/>
      <c r="C518" s="395"/>
      <c r="D518" s="395"/>
      <c r="E518" s="395"/>
      <c r="F518" s="395"/>
      <c r="G518" s="395"/>
      <c r="H518" s="395"/>
      <c r="I518" s="395"/>
      <c r="J518" s="441"/>
      <c r="K518" s="395"/>
      <c r="L518" s="442" t="str">
        <f t="shared" si="2"/>
        <v/>
      </c>
      <c r="M518" s="395"/>
      <c r="N518" s="442" t="str">
        <f t="shared" si="3"/>
        <v/>
      </c>
      <c r="O518" s="395"/>
      <c r="P518" s="395"/>
      <c r="Q518" s="395"/>
      <c r="R518" s="395"/>
      <c r="S518" s="395"/>
      <c r="T518" s="395"/>
      <c r="U518" s="395"/>
      <c r="V518" s="395"/>
      <c r="W518" s="395"/>
      <c r="X518" s="395"/>
      <c r="Y518" s="395"/>
      <c r="Z518" s="395"/>
      <c r="AA518" s="395"/>
    </row>
    <row r="519" ht="15.75" customHeight="1">
      <c r="A519" s="395"/>
      <c r="B519" s="395"/>
      <c r="C519" s="395"/>
      <c r="D519" s="395"/>
      <c r="E519" s="395"/>
      <c r="F519" s="395"/>
      <c r="G519" s="395"/>
      <c r="H519" s="395"/>
      <c r="I519" s="395"/>
      <c r="J519" s="441"/>
      <c r="K519" s="395"/>
      <c r="L519" s="442" t="str">
        <f t="shared" si="2"/>
        <v/>
      </c>
      <c r="M519" s="395"/>
      <c r="N519" s="442" t="str">
        <f t="shared" si="3"/>
        <v/>
      </c>
      <c r="O519" s="395"/>
      <c r="P519" s="395"/>
      <c r="Q519" s="395"/>
      <c r="R519" s="395"/>
      <c r="S519" s="395"/>
      <c r="T519" s="395"/>
      <c r="U519" s="395"/>
      <c r="V519" s="395"/>
      <c r="W519" s="395"/>
      <c r="X519" s="395"/>
      <c r="Y519" s="395"/>
      <c r="Z519" s="395"/>
      <c r="AA519" s="395"/>
    </row>
    <row r="520" ht="15.75" customHeight="1">
      <c r="A520" s="395"/>
      <c r="B520" s="395"/>
      <c r="C520" s="395"/>
      <c r="D520" s="395"/>
      <c r="E520" s="395"/>
      <c r="F520" s="395"/>
      <c r="G520" s="395"/>
      <c r="H520" s="395"/>
      <c r="I520" s="395"/>
      <c r="J520" s="441"/>
      <c r="K520" s="395"/>
      <c r="L520" s="442" t="str">
        <f t="shared" si="2"/>
        <v/>
      </c>
      <c r="M520" s="395"/>
      <c r="N520" s="442" t="str">
        <f t="shared" si="3"/>
        <v/>
      </c>
      <c r="O520" s="395"/>
      <c r="P520" s="395"/>
      <c r="Q520" s="395"/>
      <c r="R520" s="395"/>
      <c r="S520" s="395"/>
      <c r="T520" s="395"/>
      <c r="U520" s="395"/>
      <c r="V520" s="395"/>
      <c r="W520" s="395"/>
      <c r="X520" s="395"/>
      <c r="Y520" s="395"/>
      <c r="Z520" s="395"/>
      <c r="AA520" s="395"/>
    </row>
    <row r="521" ht="15.75" customHeight="1">
      <c r="A521" s="395"/>
      <c r="B521" s="395"/>
      <c r="C521" s="395"/>
      <c r="D521" s="395"/>
      <c r="E521" s="395"/>
      <c r="F521" s="395"/>
      <c r="G521" s="395"/>
      <c r="H521" s="395"/>
      <c r="I521" s="395"/>
      <c r="J521" s="441"/>
      <c r="K521" s="395"/>
      <c r="L521" s="442" t="str">
        <f t="shared" si="2"/>
        <v/>
      </c>
      <c r="M521" s="395"/>
      <c r="N521" s="442" t="str">
        <f t="shared" si="3"/>
        <v/>
      </c>
      <c r="O521" s="395"/>
      <c r="P521" s="395"/>
      <c r="Q521" s="395"/>
      <c r="R521" s="395"/>
      <c r="S521" s="395"/>
      <c r="T521" s="395"/>
      <c r="U521" s="395"/>
      <c r="V521" s="395"/>
      <c r="W521" s="395"/>
      <c r="X521" s="395"/>
      <c r="Y521" s="395"/>
      <c r="Z521" s="395"/>
      <c r="AA521" s="395"/>
    </row>
    <row r="522" ht="15.75" customHeight="1">
      <c r="A522" s="395"/>
      <c r="B522" s="395"/>
      <c r="C522" s="395"/>
      <c r="D522" s="395"/>
      <c r="E522" s="395"/>
      <c r="F522" s="395"/>
      <c r="G522" s="395"/>
      <c r="H522" s="395"/>
      <c r="I522" s="395"/>
      <c r="J522" s="441"/>
      <c r="K522" s="395"/>
      <c r="L522" s="442" t="str">
        <f t="shared" si="2"/>
        <v/>
      </c>
      <c r="M522" s="395"/>
      <c r="N522" s="442" t="str">
        <f t="shared" si="3"/>
        <v/>
      </c>
      <c r="O522" s="395"/>
      <c r="P522" s="395"/>
      <c r="Q522" s="395"/>
      <c r="R522" s="395"/>
      <c r="S522" s="395"/>
      <c r="T522" s="395"/>
      <c r="U522" s="395"/>
      <c r="V522" s="395"/>
      <c r="W522" s="395"/>
      <c r="X522" s="395"/>
      <c r="Y522" s="395"/>
      <c r="Z522" s="395"/>
      <c r="AA522" s="395"/>
    </row>
    <row r="523" ht="15.75" customHeight="1">
      <c r="A523" s="395"/>
      <c r="B523" s="395"/>
      <c r="C523" s="395"/>
      <c r="D523" s="395"/>
      <c r="E523" s="395"/>
      <c r="F523" s="395"/>
      <c r="G523" s="395"/>
      <c r="H523" s="395"/>
      <c r="I523" s="395"/>
      <c r="J523" s="441"/>
      <c r="K523" s="395"/>
      <c r="L523" s="442" t="str">
        <f t="shared" si="2"/>
        <v/>
      </c>
      <c r="M523" s="395"/>
      <c r="N523" s="442" t="str">
        <f t="shared" si="3"/>
        <v/>
      </c>
      <c r="O523" s="395"/>
      <c r="P523" s="395"/>
      <c r="Q523" s="395"/>
      <c r="R523" s="395"/>
      <c r="S523" s="395"/>
      <c r="T523" s="395"/>
      <c r="U523" s="395"/>
      <c r="V523" s="395"/>
      <c r="W523" s="395"/>
      <c r="X523" s="395"/>
      <c r="Y523" s="395"/>
      <c r="Z523" s="395"/>
      <c r="AA523" s="395"/>
    </row>
    <row r="524" ht="15.75" customHeight="1">
      <c r="A524" s="395"/>
      <c r="B524" s="395"/>
      <c r="C524" s="395"/>
      <c r="D524" s="395"/>
      <c r="E524" s="395"/>
      <c r="F524" s="395"/>
      <c r="G524" s="395"/>
      <c r="H524" s="395"/>
      <c r="I524" s="395"/>
      <c r="J524" s="441"/>
      <c r="K524" s="395"/>
      <c r="L524" s="442" t="str">
        <f t="shared" si="2"/>
        <v/>
      </c>
      <c r="M524" s="395"/>
      <c r="N524" s="442" t="str">
        <f t="shared" si="3"/>
        <v/>
      </c>
      <c r="O524" s="395"/>
      <c r="P524" s="395"/>
      <c r="Q524" s="395"/>
      <c r="R524" s="395"/>
      <c r="S524" s="395"/>
      <c r="T524" s="395"/>
      <c r="U524" s="395"/>
      <c r="V524" s="395"/>
      <c r="W524" s="395"/>
      <c r="X524" s="395"/>
      <c r="Y524" s="395"/>
      <c r="Z524" s="395"/>
      <c r="AA524" s="395"/>
    </row>
    <row r="525" ht="15.75" customHeight="1">
      <c r="A525" s="395"/>
      <c r="B525" s="395"/>
      <c r="C525" s="395"/>
      <c r="D525" s="395"/>
      <c r="E525" s="395"/>
      <c r="F525" s="395"/>
      <c r="G525" s="395"/>
      <c r="H525" s="395"/>
      <c r="I525" s="395"/>
      <c r="J525" s="441"/>
      <c r="K525" s="395"/>
      <c r="L525" s="442" t="str">
        <f t="shared" si="2"/>
        <v/>
      </c>
      <c r="M525" s="395"/>
      <c r="N525" s="442" t="str">
        <f t="shared" si="3"/>
        <v/>
      </c>
      <c r="O525" s="395"/>
      <c r="P525" s="395"/>
      <c r="Q525" s="395"/>
      <c r="R525" s="395"/>
      <c r="S525" s="395"/>
      <c r="T525" s="395"/>
      <c r="U525" s="395"/>
      <c r="V525" s="395"/>
      <c r="W525" s="395"/>
      <c r="X525" s="395"/>
      <c r="Y525" s="395"/>
      <c r="Z525" s="395"/>
      <c r="AA525" s="395"/>
    </row>
    <row r="526" ht="15.75" customHeight="1">
      <c r="A526" s="395"/>
      <c r="B526" s="395"/>
      <c r="C526" s="395"/>
      <c r="D526" s="395"/>
      <c r="E526" s="395"/>
      <c r="F526" s="395"/>
      <c r="G526" s="395"/>
      <c r="H526" s="395"/>
      <c r="I526" s="395"/>
      <c r="J526" s="441"/>
      <c r="K526" s="395"/>
      <c r="L526" s="442" t="str">
        <f t="shared" si="2"/>
        <v/>
      </c>
      <c r="M526" s="395"/>
      <c r="N526" s="442" t="str">
        <f t="shared" si="3"/>
        <v/>
      </c>
      <c r="O526" s="395"/>
      <c r="P526" s="395"/>
      <c r="Q526" s="395"/>
      <c r="R526" s="395"/>
      <c r="S526" s="395"/>
      <c r="T526" s="395"/>
      <c r="U526" s="395"/>
      <c r="V526" s="395"/>
      <c r="W526" s="395"/>
      <c r="X526" s="395"/>
      <c r="Y526" s="395"/>
      <c r="Z526" s="395"/>
      <c r="AA526" s="395"/>
    </row>
    <row r="527" ht="15.75" customHeight="1">
      <c r="A527" s="395"/>
      <c r="B527" s="395"/>
      <c r="C527" s="395"/>
      <c r="D527" s="395"/>
      <c r="E527" s="395"/>
      <c r="F527" s="395"/>
      <c r="G527" s="395"/>
      <c r="H527" s="395"/>
      <c r="I527" s="395"/>
      <c r="J527" s="441"/>
      <c r="K527" s="395"/>
      <c r="L527" s="442" t="str">
        <f t="shared" si="2"/>
        <v/>
      </c>
      <c r="M527" s="395"/>
      <c r="N527" s="442" t="str">
        <f t="shared" si="3"/>
        <v/>
      </c>
      <c r="O527" s="395"/>
      <c r="P527" s="395"/>
      <c r="Q527" s="395"/>
      <c r="R527" s="395"/>
      <c r="S527" s="395"/>
      <c r="T527" s="395"/>
      <c r="U527" s="395"/>
      <c r="V527" s="395"/>
      <c r="W527" s="395"/>
      <c r="X527" s="395"/>
      <c r="Y527" s="395"/>
      <c r="Z527" s="395"/>
      <c r="AA527" s="395"/>
    </row>
    <row r="528" ht="15.75" customHeight="1">
      <c r="A528" s="395"/>
      <c r="B528" s="395"/>
      <c r="C528" s="395"/>
      <c r="D528" s="395"/>
      <c r="E528" s="395"/>
      <c r="F528" s="395"/>
      <c r="G528" s="395"/>
      <c r="H528" s="395"/>
      <c r="I528" s="395"/>
      <c r="J528" s="441"/>
      <c r="K528" s="395"/>
      <c r="L528" s="442" t="str">
        <f t="shared" si="2"/>
        <v/>
      </c>
      <c r="M528" s="395"/>
      <c r="N528" s="442" t="str">
        <f t="shared" si="3"/>
        <v/>
      </c>
      <c r="O528" s="395"/>
      <c r="P528" s="395"/>
      <c r="Q528" s="395"/>
      <c r="R528" s="395"/>
      <c r="S528" s="395"/>
      <c r="T528" s="395"/>
      <c r="U528" s="395"/>
      <c r="V528" s="395"/>
      <c r="W528" s="395"/>
      <c r="X528" s="395"/>
      <c r="Y528" s="395"/>
      <c r="Z528" s="395"/>
      <c r="AA528" s="395"/>
    </row>
    <row r="529" ht="15.75" customHeight="1">
      <c r="A529" s="395"/>
      <c r="B529" s="395"/>
      <c r="C529" s="395"/>
      <c r="D529" s="395"/>
      <c r="E529" s="395"/>
      <c r="F529" s="395"/>
      <c r="G529" s="395"/>
      <c r="H529" s="395"/>
      <c r="I529" s="395"/>
      <c r="J529" s="441"/>
      <c r="K529" s="395"/>
      <c r="L529" s="442" t="str">
        <f t="shared" si="2"/>
        <v/>
      </c>
      <c r="M529" s="395"/>
      <c r="N529" s="442" t="str">
        <f t="shared" si="3"/>
        <v/>
      </c>
      <c r="O529" s="395"/>
      <c r="P529" s="395"/>
      <c r="Q529" s="395"/>
      <c r="R529" s="395"/>
      <c r="S529" s="395"/>
      <c r="T529" s="395"/>
      <c r="U529" s="395"/>
      <c r="V529" s="395"/>
      <c r="W529" s="395"/>
      <c r="X529" s="395"/>
      <c r="Y529" s="395"/>
      <c r="Z529" s="395"/>
      <c r="AA529" s="395"/>
    </row>
    <row r="530" ht="15.75" customHeight="1">
      <c r="A530" s="395"/>
      <c r="B530" s="395"/>
      <c r="C530" s="395"/>
      <c r="D530" s="395"/>
      <c r="E530" s="395"/>
      <c r="F530" s="395"/>
      <c r="G530" s="395"/>
      <c r="H530" s="395"/>
      <c r="I530" s="395"/>
      <c r="J530" s="441"/>
      <c r="K530" s="395"/>
      <c r="L530" s="442" t="str">
        <f t="shared" si="2"/>
        <v/>
      </c>
      <c r="M530" s="395"/>
      <c r="N530" s="442" t="str">
        <f t="shared" si="3"/>
        <v/>
      </c>
      <c r="O530" s="395"/>
      <c r="P530" s="395"/>
      <c r="Q530" s="395"/>
      <c r="R530" s="395"/>
      <c r="S530" s="395"/>
      <c r="T530" s="395"/>
      <c r="U530" s="395"/>
      <c r="V530" s="395"/>
      <c r="W530" s="395"/>
      <c r="X530" s="395"/>
      <c r="Y530" s="395"/>
      <c r="Z530" s="395"/>
      <c r="AA530" s="395"/>
    </row>
    <row r="531" ht="15.75" customHeight="1">
      <c r="A531" s="395"/>
      <c r="B531" s="395"/>
      <c r="C531" s="395"/>
      <c r="D531" s="395"/>
      <c r="E531" s="395"/>
      <c r="F531" s="395"/>
      <c r="G531" s="395"/>
      <c r="H531" s="395"/>
      <c r="I531" s="395"/>
      <c r="J531" s="441"/>
      <c r="K531" s="395"/>
      <c r="L531" s="442" t="str">
        <f t="shared" si="2"/>
        <v/>
      </c>
      <c r="M531" s="395"/>
      <c r="N531" s="442" t="str">
        <f t="shared" si="3"/>
        <v/>
      </c>
      <c r="O531" s="395"/>
      <c r="P531" s="395"/>
      <c r="Q531" s="395"/>
      <c r="R531" s="395"/>
      <c r="S531" s="395"/>
      <c r="T531" s="395"/>
      <c r="U531" s="395"/>
      <c r="V531" s="395"/>
      <c r="W531" s="395"/>
      <c r="X531" s="395"/>
      <c r="Y531" s="395"/>
      <c r="Z531" s="395"/>
      <c r="AA531" s="395"/>
    </row>
    <row r="532" ht="15.75" customHeight="1">
      <c r="A532" s="395"/>
      <c r="B532" s="395"/>
      <c r="C532" s="395"/>
      <c r="D532" s="395"/>
      <c r="E532" s="395"/>
      <c r="F532" s="395"/>
      <c r="G532" s="395"/>
      <c r="H532" s="395"/>
      <c r="I532" s="395"/>
      <c r="J532" s="441"/>
      <c r="K532" s="395"/>
      <c r="L532" s="442" t="str">
        <f t="shared" si="2"/>
        <v/>
      </c>
      <c r="M532" s="395"/>
      <c r="N532" s="442" t="str">
        <f t="shared" si="3"/>
        <v/>
      </c>
      <c r="O532" s="395"/>
      <c r="P532" s="395"/>
      <c r="Q532" s="395"/>
      <c r="R532" s="395"/>
      <c r="S532" s="395"/>
      <c r="T532" s="395"/>
      <c r="U532" s="395"/>
      <c r="V532" s="395"/>
      <c r="W532" s="395"/>
      <c r="X532" s="395"/>
      <c r="Y532" s="395"/>
      <c r="Z532" s="395"/>
      <c r="AA532" s="395"/>
    </row>
    <row r="533" ht="15.75" customHeight="1">
      <c r="A533" s="395"/>
      <c r="B533" s="395"/>
      <c r="C533" s="395"/>
      <c r="D533" s="395"/>
      <c r="E533" s="395"/>
      <c r="F533" s="395"/>
      <c r="G533" s="395"/>
      <c r="H533" s="395"/>
      <c r="I533" s="395"/>
      <c r="J533" s="441"/>
      <c r="K533" s="395"/>
      <c r="L533" s="442" t="str">
        <f t="shared" si="2"/>
        <v/>
      </c>
      <c r="M533" s="395"/>
      <c r="N533" s="442" t="str">
        <f t="shared" si="3"/>
        <v/>
      </c>
      <c r="O533" s="395"/>
      <c r="P533" s="395"/>
      <c r="Q533" s="395"/>
      <c r="R533" s="395"/>
      <c r="S533" s="395"/>
      <c r="T533" s="395"/>
      <c r="U533" s="395"/>
      <c r="V533" s="395"/>
      <c r="W533" s="395"/>
      <c r="X533" s="395"/>
      <c r="Y533" s="395"/>
      <c r="Z533" s="395"/>
      <c r="AA533" s="395"/>
    </row>
    <row r="534" ht="15.75" customHeight="1">
      <c r="A534" s="395"/>
      <c r="B534" s="395"/>
      <c r="C534" s="395"/>
      <c r="D534" s="395"/>
      <c r="E534" s="395"/>
      <c r="F534" s="395"/>
      <c r="G534" s="395"/>
      <c r="H534" s="395"/>
      <c r="I534" s="395"/>
      <c r="J534" s="441"/>
      <c r="K534" s="395"/>
      <c r="L534" s="442" t="str">
        <f t="shared" si="2"/>
        <v/>
      </c>
      <c r="M534" s="395"/>
      <c r="N534" s="442" t="str">
        <f t="shared" si="3"/>
        <v/>
      </c>
      <c r="O534" s="395"/>
      <c r="P534" s="395"/>
      <c r="Q534" s="395"/>
      <c r="R534" s="395"/>
      <c r="S534" s="395"/>
      <c r="T534" s="395"/>
      <c r="U534" s="395"/>
      <c r="V534" s="395"/>
      <c r="W534" s="395"/>
      <c r="X534" s="395"/>
      <c r="Y534" s="395"/>
      <c r="Z534" s="395"/>
      <c r="AA534" s="395"/>
    </row>
    <row r="535" ht="15.75" customHeight="1">
      <c r="A535" s="395"/>
      <c r="B535" s="395"/>
      <c r="C535" s="395"/>
      <c r="D535" s="395"/>
      <c r="E535" s="395"/>
      <c r="F535" s="395"/>
      <c r="G535" s="395"/>
      <c r="H535" s="395"/>
      <c r="I535" s="395"/>
      <c r="J535" s="441"/>
      <c r="K535" s="395"/>
      <c r="L535" s="442" t="str">
        <f t="shared" si="2"/>
        <v/>
      </c>
      <c r="M535" s="395"/>
      <c r="N535" s="442" t="str">
        <f t="shared" si="3"/>
        <v/>
      </c>
      <c r="O535" s="395"/>
      <c r="P535" s="395"/>
      <c r="Q535" s="395"/>
      <c r="R535" s="395"/>
      <c r="S535" s="395"/>
      <c r="T535" s="395"/>
      <c r="U535" s="395"/>
      <c r="V535" s="395"/>
      <c r="W535" s="395"/>
      <c r="X535" s="395"/>
      <c r="Y535" s="395"/>
      <c r="Z535" s="395"/>
      <c r="AA535" s="395"/>
    </row>
    <row r="536" ht="15.75" customHeight="1">
      <c r="A536" s="395"/>
      <c r="B536" s="395"/>
      <c r="C536" s="395"/>
      <c r="D536" s="395"/>
      <c r="E536" s="395"/>
      <c r="F536" s="395"/>
      <c r="G536" s="395"/>
      <c r="H536" s="395"/>
      <c r="I536" s="395"/>
      <c r="J536" s="441"/>
      <c r="K536" s="395"/>
      <c r="L536" s="442" t="str">
        <f t="shared" si="2"/>
        <v/>
      </c>
      <c r="M536" s="395"/>
      <c r="N536" s="442" t="str">
        <f t="shared" si="3"/>
        <v/>
      </c>
      <c r="O536" s="395"/>
      <c r="P536" s="395"/>
      <c r="Q536" s="395"/>
      <c r="R536" s="395"/>
      <c r="S536" s="395"/>
      <c r="T536" s="395"/>
      <c r="U536" s="395"/>
      <c r="V536" s="395"/>
      <c r="W536" s="395"/>
      <c r="X536" s="395"/>
      <c r="Y536" s="395"/>
      <c r="Z536" s="395"/>
      <c r="AA536" s="395"/>
    </row>
    <row r="537" ht="15.75" customHeight="1">
      <c r="A537" s="395"/>
      <c r="B537" s="395"/>
      <c r="C537" s="395"/>
      <c r="D537" s="395"/>
      <c r="E537" s="395"/>
      <c r="F537" s="395"/>
      <c r="G537" s="395"/>
      <c r="H537" s="395"/>
      <c r="I537" s="395"/>
      <c r="J537" s="441"/>
      <c r="K537" s="395"/>
      <c r="L537" s="442" t="str">
        <f t="shared" si="2"/>
        <v/>
      </c>
      <c r="M537" s="395"/>
      <c r="N537" s="442" t="str">
        <f t="shared" si="3"/>
        <v/>
      </c>
      <c r="O537" s="395"/>
      <c r="P537" s="395"/>
      <c r="Q537" s="395"/>
      <c r="R537" s="395"/>
      <c r="S537" s="395"/>
      <c r="T537" s="395"/>
      <c r="U537" s="395"/>
      <c r="V537" s="395"/>
      <c r="W537" s="395"/>
      <c r="X537" s="395"/>
      <c r="Y537" s="395"/>
      <c r="Z537" s="395"/>
      <c r="AA537" s="395"/>
    </row>
    <row r="538" ht="15.75" customHeight="1">
      <c r="A538" s="395"/>
      <c r="B538" s="395"/>
      <c r="C538" s="395"/>
      <c r="D538" s="395"/>
      <c r="E538" s="395"/>
      <c r="F538" s="395"/>
      <c r="G538" s="395"/>
      <c r="H538" s="395"/>
      <c r="I538" s="395"/>
      <c r="J538" s="441"/>
      <c r="K538" s="395"/>
      <c r="L538" s="442" t="str">
        <f t="shared" si="2"/>
        <v/>
      </c>
      <c r="M538" s="395"/>
      <c r="N538" s="442" t="str">
        <f t="shared" si="3"/>
        <v/>
      </c>
      <c r="O538" s="395"/>
      <c r="P538" s="395"/>
      <c r="Q538" s="395"/>
      <c r="R538" s="395"/>
      <c r="S538" s="395"/>
      <c r="T538" s="395"/>
      <c r="U538" s="395"/>
      <c r="V538" s="395"/>
      <c r="W538" s="395"/>
      <c r="X538" s="395"/>
      <c r="Y538" s="395"/>
      <c r="Z538" s="395"/>
      <c r="AA538" s="395"/>
    </row>
    <row r="539" ht="15.75" customHeight="1">
      <c r="A539" s="395"/>
      <c r="B539" s="395"/>
      <c r="C539" s="395"/>
      <c r="D539" s="395"/>
      <c r="E539" s="395"/>
      <c r="F539" s="395"/>
      <c r="G539" s="395"/>
      <c r="H539" s="395"/>
      <c r="I539" s="395"/>
      <c r="J539" s="441"/>
      <c r="K539" s="395"/>
      <c r="L539" s="442" t="str">
        <f t="shared" si="2"/>
        <v/>
      </c>
      <c r="M539" s="395"/>
      <c r="N539" s="442" t="str">
        <f t="shared" si="3"/>
        <v/>
      </c>
      <c r="O539" s="395"/>
      <c r="P539" s="395"/>
      <c r="Q539" s="395"/>
      <c r="R539" s="395"/>
      <c r="S539" s="395"/>
      <c r="T539" s="395"/>
      <c r="U539" s="395"/>
      <c r="V539" s="395"/>
      <c r="W539" s="395"/>
      <c r="X539" s="395"/>
      <c r="Y539" s="395"/>
      <c r="Z539" s="395"/>
      <c r="AA539" s="395"/>
    </row>
    <row r="540" ht="15.75" customHeight="1">
      <c r="A540" s="395"/>
      <c r="B540" s="395"/>
      <c r="C540" s="395"/>
      <c r="D540" s="395"/>
      <c r="E540" s="395"/>
      <c r="F540" s="395"/>
      <c r="G540" s="395"/>
      <c r="H540" s="395"/>
      <c r="I540" s="395"/>
      <c r="J540" s="441"/>
      <c r="K540" s="395"/>
      <c r="L540" s="442" t="str">
        <f t="shared" si="2"/>
        <v/>
      </c>
      <c r="M540" s="395"/>
      <c r="N540" s="442" t="str">
        <f t="shared" si="3"/>
        <v/>
      </c>
      <c r="O540" s="395"/>
      <c r="P540" s="395"/>
      <c r="Q540" s="395"/>
      <c r="R540" s="395"/>
      <c r="S540" s="395"/>
      <c r="T540" s="395"/>
      <c r="U540" s="395"/>
      <c r="V540" s="395"/>
      <c r="W540" s="395"/>
      <c r="X540" s="395"/>
      <c r="Y540" s="395"/>
      <c r="Z540" s="395"/>
      <c r="AA540" s="395"/>
    </row>
    <row r="541" ht="15.75" customHeight="1">
      <c r="A541" s="395"/>
      <c r="B541" s="395"/>
      <c r="C541" s="395"/>
      <c r="D541" s="395"/>
      <c r="E541" s="395"/>
      <c r="F541" s="395"/>
      <c r="G541" s="395"/>
      <c r="H541" s="395"/>
      <c r="I541" s="395"/>
      <c r="J541" s="441"/>
      <c r="K541" s="395"/>
      <c r="L541" s="442" t="str">
        <f t="shared" si="2"/>
        <v/>
      </c>
      <c r="M541" s="395"/>
      <c r="N541" s="442" t="str">
        <f t="shared" si="3"/>
        <v/>
      </c>
      <c r="O541" s="395"/>
      <c r="P541" s="395"/>
      <c r="Q541" s="395"/>
      <c r="R541" s="395"/>
      <c r="S541" s="395"/>
      <c r="T541" s="395"/>
      <c r="U541" s="395"/>
      <c r="V541" s="395"/>
      <c r="W541" s="395"/>
      <c r="X541" s="395"/>
      <c r="Y541" s="395"/>
      <c r="Z541" s="395"/>
      <c r="AA541" s="395"/>
    </row>
    <row r="542" ht="15.75" customHeight="1">
      <c r="A542" s="395"/>
      <c r="B542" s="395"/>
      <c r="C542" s="395"/>
      <c r="D542" s="395"/>
      <c r="E542" s="395"/>
      <c r="F542" s="395"/>
      <c r="G542" s="395"/>
      <c r="H542" s="395"/>
      <c r="I542" s="395"/>
      <c r="J542" s="441"/>
      <c r="K542" s="395"/>
      <c r="L542" s="442" t="str">
        <f t="shared" si="2"/>
        <v/>
      </c>
      <c r="M542" s="395"/>
      <c r="N542" s="442" t="str">
        <f t="shared" si="3"/>
        <v/>
      </c>
      <c r="O542" s="395"/>
      <c r="P542" s="395"/>
      <c r="Q542" s="395"/>
      <c r="R542" s="395"/>
      <c r="S542" s="395"/>
      <c r="T542" s="395"/>
      <c r="U542" s="395"/>
      <c r="V542" s="395"/>
      <c r="W542" s="395"/>
      <c r="X542" s="395"/>
      <c r="Y542" s="395"/>
      <c r="Z542" s="395"/>
      <c r="AA542" s="395"/>
    </row>
    <row r="543" ht="15.75" customHeight="1">
      <c r="A543" s="395"/>
      <c r="B543" s="395"/>
      <c r="C543" s="395"/>
      <c r="D543" s="395"/>
      <c r="E543" s="395"/>
      <c r="F543" s="395"/>
      <c r="G543" s="395"/>
      <c r="H543" s="395"/>
      <c r="I543" s="395"/>
      <c r="J543" s="441"/>
      <c r="K543" s="395"/>
      <c r="L543" s="442" t="str">
        <f t="shared" si="2"/>
        <v/>
      </c>
      <c r="M543" s="395"/>
      <c r="N543" s="442" t="str">
        <f t="shared" si="3"/>
        <v/>
      </c>
      <c r="O543" s="395"/>
      <c r="P543" s="395"/>
      <c r="Q543" s="395"/>
      <c r="R543" s="395"/>
      <c r="S543" s="395"/>
      <c r="T543" s="395"/>
      <c r="U543" s="395"/>
      <c r="V543" s="395"/>
      <c r="W543" s="395"/>
      <c r="X543" s="395"/>
      <c r="Y543" s="395"/>
      <c r="Z543" s="395"/>
      <c r="AA543" s="395"/>
    </row>
    <row r="544" ht="15.75" customHeight="1">
      <c r="A544" s="395"/>
      <c r="B544" s="395"/>
      <c r="C544" s="395"/>
      <c r="D544" s="395"/>
      <c r="E544" s="395"/>
      <c r="F544" s="395"/>
      <c r="G544" s="395"/>
      <c r="H544" s="395"/>
      <c r="I544" s="395"/>
      <c r="J544" s="441"/>
      <c r="K544" s="395"/>
      <c r="L544" s="442" t="str">
        <f t="shared" si="2"/>
        <v/>
      </c>
      <c r="M544" s="395"/>
      <c r="N544" s="442" t="str">
        <f t="shared" si="3"/>
        <v/>
      </c>
      <c r="O544" s="395"/>
      <c r="P544" s="395"/>
      <c r="Q544" s="395"/>
      <c r="R544" s="395"/>
      <c r="S544" s="395"/>
      <c r="T544" s="395"/>
      <c r="U544" s="395"/>
      <c r="V544" s="395"/>
      <c r="W544" s="395"/>
      <c r="X544" s="395"/>
      <c r="Y544" s="395"/>
      <c r="Z544" s="395"/>
      <c r="AA544" s="395"/>
    </row>
    <row r="545" ht="15.75" customHeight="1">
      <c r="A545" s="395"/>
      <c r="B545" s="395"/>
      <c r="C545" s="395"/>
      <c r="D545" s="395"/>
      <c r="E545" s="395"/>
      <c r="F545" s="395"/>
      <c r="G545" s="395"/>
      <c r="H545" s="395"/>
      <c r="I545" s="395"/>
      <c r="J545" s="441"/>
      <c r="K545" s="395"/>
      <c r="L545" s="442" t="str">
        <f t="shared" si="2"/>
        <v/>
      </c>
      <c r="M545" s="395"/>
      <c r="N545" s="442" t="str">
        <f t="shared" si="3"/>
        <v/>
      </c>
      <c r="O545" s="395"/>
      <c r="P545" s="395"/>
      <c r="Q545" s="395"/>
      <c r="R545" s="395"/>
      <c r="S545" s="395"/>
      <c r="T545" s="395"/>
      <c r="U545" s="395"/>
      <c r="V545" s="395"/>
      <c r="W545" s="395"/>
      <c r="X545" s="395"/>
      <c r="Y545" s="395"/>
      <c r="Z545" s="395"/>
      <c r="AA545" s="395"/>
    </row>
    <row r="546" ht="15.75" customHeight="1">
      <c r="A546" s="395"/>
      <c r="B546" s="395"/>
      <c r="C546" s="395"/>
      <c r="D546" s="395"/>
      <c r="E546" s="395"/>
      <c r="F546" s="395"/>
      <c r="G546" s="395"/>
      <c r="H546" s="395"/>
      <c r="I546" s="395"/>
      <c r="J546" s="441"/>
      <c r="K546" s="395"/>
      <c r="L546" s="442" t="str">
        <f t="shared" si="2"/>
        <v/>
      </c>
      <c r="M546" s="395"/>
      <c r="N546" s="442" t="str">
        <f t="shared" si="3"/>
        <v/>
      </c>
      <c r="O546" s="395"/>
      <c r="P546" s="395"/>
      <c r="Q546" s="395"/>
      <c r="R546" s="395"/>
      <c r="S546" s="395"/>
      <c r="T546" s="395"/>
      <c r="U546" s="395"/>
      <c r="V546" s="395"/>
      <c r="W546" s="395"/>
      <c r="X546" s="395"/>
      <c r="Y546" s="395"/>
      <c r="Z546" s="395"/>
      <c r="AA546" s="395"/>
    </row>
    <row r="547" ht="15.75" customHeight="1">
      <c r="A547" s="395"/>
      <c r="B547" s="395"/>
      <c r="C547" s="395"/>
      <c r="D547" s="395"/>
      <c r="E547" s="395"/>
      <c r="F547" s="395"/>
      <c r="G547" s="395"/>
      <c r="H547" s="395"/>
      <c r="I547" s="395"/>
      <c r="J547" s="441"/>
      <c r="K547" s="395"/>
      <c r="L547" s="442" t="str">
        <f t="shared" si="2"/>
        <v/>
      </c>
      <c r="M547" s="395"/>
      <c r="N547" s="442" t="str">
        <f t="shared" si="3"/>
        <v/>
      </c>
      <c r="O547" s="395"/>
      <c r="P547" s="395"/>
      <c r="Q547" s="395"/>
      <c r="R547" s="395"/>
      <c r="S547" s="395"/>
      <c r="T547" s="395"/>
      <c r="U547" s="395"/>
      <c r="V547" s="395"/>
      <c r="W547" s="395"/>
      <c r="X547" s="395"/>
      <c r="Y547" s="395"/>
      <c r="Z547" s="395"/>
      <c r="AA547" s="395"/>
    </row>
    <row r="548" ht="15.75" customHeight="1">
      <c r="A548" s="395"/>
      <c r="B548" s="395"/>
      <c r="C548" s="395"/>
      <c r="D548" s="395"/>
      <c r="E548" s="395"/>
      <c r="F548" s="395"/>
      <c r="G548" s="395"/>
      <c r="H548" s="395"/>
      <c r="I548" s="395"/>
      <c r="J548" s="441"/>
      <c r="K548" s="395"/>
      <c r="L548" s="442" t="str">
        <f t="shared" si="2"/>
        <v/>
      </c>
      <c r="M548" s="395"/>
      <c r="N548" s="442" t="str">
        <f t="shared" si="3"/>
        <v/>
      </c>
      <c r="O548" s="395"/>
      <c r="P548" s="395"/>
      <c r="Q548" s="395"/>
      <c r="R548" s="395"/>
      <c r="S548" s="395"/>
      <c r="T548" s="395"/>
      <c r="U548" s="395"/>
      <c r="V548" s="395"/>
      <c r="W548" s="395"/>
      <c r="X548" s="395"/>
      <c r="Y548" s="395"/>
      <c r="Z548" s="395"/>
      <c r="AA548" s="395"/>
    </row>
    <row r="549" ht="15.75" customHeight="1">
      <c r="A549" s="395"/>
      <c r="B549" s="395"/>
      <c r="C549" s="395"/>
      <c r="D549" s="395"/>
      <c r="E549" s="395"/>
      <c r="F549" s="395"/>
      <c r="G549" s="395"/>
      <c r="H549" s="395"/>
      <c r="I549" s="395"/>
      <c r="J549" s="441"/>
      <c r="K549" s="395"/>
      <c r="L549" s="442" t="str">
        <f t="shared" si="2"/>
        <v/>
      </c>
      <c r="M549" s="395"/>
      <c r="N549" s="442" t="str">
        <f t="shared" si="3"/>
        <v/>
      </c>
      <c r="O549" s="395"/>
      <c r="P549" s="395"/>
      <c r="Q549" s="395"/>
      <c r="R549" s="395"/>
      <c r="S549" s="395"/>
      <c r="T549" s="395"/>
      <c r="U549" s="395"/>
      <c r="V549" s="395"/>
      <c r="W549" s="395"/>
      <c r="X549" s="395"/>
      <c r="Y549" s="395"/>
      <c r="Z549" s="395"/>
      <c r="AA549" s="395"/>
    </row>
    <row r="550" ht="15.75" customHeight="1">
      <c r="A550" s="395"/>
      <c r="B550" s="395"/>
      <c r="C550" s="395"/>
      <c r="D550" s="395"/>
      <c r="E550" s="395"/>
      <c r="F550" s="395"/>
      <c r="G550" s="395"/>
      <c r="H550" s="395"/>
      <c r="I550" s="395"/>
      <c r="J550" s="441"/>
      <c r="K550" s="395"/>
      <c r="L550" s="442" t="str">
        <f t="shared" si="2"/>
        <v/>
      </c>
      <c r="M550" s="395"/>
      <c r="N550" s="442" t="str">
        <f t="shared" si="3"/>
        <v/>
      </c>
      <c r="O550" s="395"/>
      <c r="P550" s="395"/>
      <c r="Q550" s="395"/>
      <c r="R550" s="395"/>
      <c r="S550" s="395"/>
      <c r="T550" s="395"/>
      <c r="U550" s="395"/>
      <c r="V550" s="395"/>
      <c r="W550" s="395"/>
      <c r="X550" s="395"/>
      <c r="Y550" s="395"/>
      <c r="Z550" s="395"/>
      <c r="AA550" s="395"/>
    </row>
    <row r="551" ht="15.75" customHeight="1">
      <c r="A551" s="395"/>
      <c r="B551" s="395"/>
      <c r="C551" s="395"/>
      <c r="D551" s="395"/>
      <c r="E551" s="395"/>
      <c r="F551" s="395"/>
      <c r="G551" s="395"/>
      <c r="H551" s="395"/>
      <c r="I551" s="395"/>
      <c r="J551" s="441"/>
      <c r="K551" s="395"/>
      <c r="L551" s="442" t="str">
        <f t="shared" si="2"/>
        <v/>
      </c>
      <c r="M551" s="395"/>
      <c r="N551" s="442" t="str">
        <f t="shared" si="3"/>
        <v/>
      </c>
      <c r="O551" s="395"/>
      <c r="P551" s="395"/>
      <c r="Q551" s="395"/>
      <c r="R551" s="395"/>
      <c r="S551" s="395"/>
      <c r="T551" s="395"/>
      <c r="U551" s="395"/>
      <c r="V551" s="395"/>
      <c r="W551" s="395"/>
      <c r="X551" s="395"/>
      <c r="Y551" s="395"/>
      <c r="Z551" s="395"/>
      <c r="AA551" s="395"/>
    </row>
    <row r="552" ht="15.75" customHeight="1">
      <c r="A552" s="395"/>
      <c r="B552" s="395"/>
      <c r="C552" s="395"/>
      <c r="D552" s="395"/>
      <c r="E552" s="395"/>
      <c r="F552" s="395"/>
      <c r="G552" s="395"/>
      <c r="H552" s="395"/>
      <c r="I552" s="395"/>
      <c r="J552" s="441"/>
      <c r="K552" s="395"/>
      <c r="L552" s="442" t="str">
        <f t="shared" si="2"/>
        <v/>
      </c>
      <c r="M552" s="395"/>
      <c r="N552" s="442" t="str">
        <f t="shared" si="3"/>
        <v/>
      </c>
      <c r="O552" s="395"/>
      <c r="P552" s="395"/>
      <c r="Q552" s="395"/>
      <c r="R552" s="395"/>
      <c r="S552" s="395"/>
      <c r="T552" s="395"/>
      <c r="U552" s="395"/>
      <c r="V552" s="395"/>
      <c r="W552" s="395"/>
      <c r="X552" s="395"/>
      <c r="Y552" s="395"/>
      <c r="Z552" s="395"/>
      <c r="AA552" s="395"/>
    </row>
    <row r="553" ht="15.75" customHeight="1">
      <c r="A553" s="395"/>
      <c r="B553" s="395"/>
      <c r="C553" s="395"/>
      <c r="D553" s="395"/>
      <c r="E553" s="395"/>
      <c r="F553" s="395"/>
      <c r="G553" s="395"/>
      <c r="H553" s="395"/>
      <c r="I553" s="395"/>
      <c r="J553" s="441"/>
      <c r="K553" s="395"/>
      <c r="L553" s="442" t="str">
        <f t="shared" si="2"/>
        <v/>
      </c>
      <c r="M553" s="395"/>
      <c r="N553" s="442" t="str">
        <f t="shared" si="3"/>
        <v/>
      </c>
      <c r="O553" s="395"/>
      <c r="P553" s="395"/>
      <c r="Q553" s="395"/>
      <c r="R553" s="395"/>
      <c r="S553" s="395"/>
      <c r="T553" s="395"/>
      <c r="U553" s="395"/>
      <c r="V553" s="395"/>
      <c r="W553" s="395"/>
      <c r="X553" s="395"/>
      <c r="Y553" s="395"/>
      <c r="Z553" s="395"/>
      <c r="AA553" s="395"/>
    </row>
    <row r="554" ht="15.75" customHeight="1">
      <c r="A554" s="395"/>
      <c r="B554" s="395"/>
      <c r="C554" s="395"/>
      <c r="D554" s="395"/>
      <c r="E554" s="395"/>
      <c r="F554" s="395"/>
      <c r="G554" s="395"/>
      <c r="H554" s="395"/>
      <c r="I554" s="395"/>
      <c r="J554" s="441"/>
      <c r="K554" s="395"/>
      <c r="L554" s="442" t="str">
        <f t="shared" si="2"/>
        <v/>
      </c>
      <c r="M554" s="395"/>
      <c r="N554" s="442" t="str">
        <f t="shared" si="3"/>
        <v/>
      </c>
      <c r="O554" s="395"/>
      <c r="P554" s="395"/>
      <c r="Q554" s="395"/>
      <c r="R554" s="395"/>
      <c r="S554" s="395"/>
      <c r="T554" s="395"/>
      <c r="U554" s="395"/>
      <c r="V554" s="395"/>
      <c r="W554" s="395"/>
      <c r="X554" s="395"/>
      <c r="Y554" s="395"/>
      <c r="Z554" s="395"/>
      <c r="AA554" s="395"/>
    </row>
    <row r="555" ht="15.75" customHeight="1">
      <c r="A555" s="395"/>
      <c r="B555" s="395"/>
      <c r="C555" s="395"/>
      <c r="D555" s="395"/>
      <c r="E555" s="395"/>
      <c r="F555" s="395"/>
      <c r="G555" s="395"/>
      <c r="H555" s="395"/>
      <c r="I555" s="395"/>
      <c r="J555" s="441"/>
      <c r="K555" s="395"/>
      <c r="L555" s="442" t="str">
        <f t="shared" si="2"/>
        <v/>
      </c>
      <c r="M555" s="395"/>
      <c r="N555" s="442" t="str">
        <f t="shared" si="3"/>
        <v/>
      </c>
      <c r="O555" s="395"/>
      <c r="P555" s="395"/>
      <c r="Q555" s="395"/>
      <c r="R555" s="395"/>
      <c r="S555" s="395"/>
      <c r="T555" s="395"/>
      <c r="U555" s="395"/>
      <c r="V555" s="395"/>
      <c r="W555" s="395"/>
      <c r="X555" s="395"/>
      <c r="Y555" s="395"/>
      <c r="Z555" s="395"/>
      <c r="AA555" s="395"/>
    </row>
    <row r="556" ht="15.75" customHeight="1">
      <c r="A556" s="395"/>
      <c r="B556" s="395"/>
      <c r="C556" s="395"/>
      <c r="D556" s="395"/>
      <c r="E556" s="395"/>
      <c r="F556" s="395"/>
      <c r="G556" s="395"/>
      <c r="H556" s="395"/>
      <c r="I556" s="395"/>
      <c r="J556" s="441"/>
      <c r="K556" s="395"/>
      <c r="L556" s="442" t="str">
        <f t="shared" si="2"/>
        <v/>
      </c>
      <c r="M556" s="395"/>
      <c r="N556" s="442" t="str">
        <f t="shared" si="3"/>
        <v/>
      </c>
      <c r="O556" s="395"/>
      <c r="P556" s="395"/>
      <c r="Q556" s="395"/>
      <c r="R556" s="395"/>
      <c r="S556" s="395"/>
      <c r="T556" s="395"/>
      <c r="U556" s="395"/>
      <c r="V556" s="395"/>
      <c r="W556" s="395"/>
      <c r="X556" s="395"/>
      <c r="Y556" s="395"/>
      <c r="Z556" s="395"/>
      <c r="AA556" s="395"/>
    </row>
    <row r="557" ht="15.75" customHeight="1">
      <c r="A557" s="395"/>
      <c r="B557" s="395"/>
      <c r="C557" s="395"/>
      <c r="D557" s="395"/>
      <c r="E557" s="395"/>
      <c r="F557" s="395"/>
      <c r="G557" s="395"/>
      <c r="H557" s="395"/>
      <c r="I557" s="395"/>
      <c r="J557" s="441"/>
      <c r="K557" s="395"/>
      <c r="L557" s="442" t="str">
        <f t="shared" si="2"/>
        <v/>
      </c>
      <c r="M557" s="395"/>
      <c r="N557" s="442" t="str">
        <f t="shared" si="3"/>
        <v/>
      </c>
      <c r="O557" s="395"/>
      <c r="P557" s="395"/>
      <c r="Q557" s="395"/>
      <c r="R557" s="395"/>
      <c r="S557" s="395"/>
      <c r="T557" s="395"/>
      <c r="U557" s="395"/>
      <c r="V557" s="395"/>
      <c r="W557" s="395"/>
      <c r="X557" s="395"/>
      <c r="Y557" s="395"/>
      <c r="Z557" s="395"/>
      <c r="AA557" s="395"/>
    </row>
    <row r="558" ht="15.75" customHeight="1">
      <c r="A558" s="395"/>
      <c r="B558" s="395"/>
      <c r="C558" s="395"/>
      <c r="D558" s="395"/>
      <c r="E558" s="395"/>
      <c r="F558" s="395"/>
      <c r="G558" s="395"/>
      <c r="H558" s="395"/>
      <c r="I558" s="395"/>
      <c r="J558" s="441"/>
      <c r="K558" s="395"/>
      <c r="L558" s="442" t="str">
        <f t="shared" si="2"/>
        <v/>
      </c>
      <c r="M558" s="395"/>
      <c r="N558" s="442" t="str">
        <f t="shared" si="3"/>
        <v/>
      </c>
      <c r="O558" s="395"/>
      <c r="P558" s="395"/>
      <c r="Q558" s="395"/>
      <c r="R558" s="395"/>
      <c r="S558" s="395"/>
      <c r="T558" s="395"/>
      <c r="U558" s="395"/>
      <c r="V558" s="395"/>
      <c r="W558" s="395"/>
      <c r="X558" s="395"/>
      <c r="Y558" s="395"/>
      <c r="Z558" s="395"/>
      <c r="AA558" s="395"/>
    </row>
    <row r="559" ht="15.75" customHeight="1">
      <c r="A559" s="395"/>
      <c r="B559" s="395"/>
      <c r="C559" s="395"/>
      <c r="D559" s="395"/>
      <c r="E559" s="395"/>
      <c r="F559" s="395"/>
      <c r="G559" s="395"/>
      <c r="H559" s="395"/>
      <c r="I559" s="395"/>
      <c r="J559" s="441"/>
      <c r="K559" s="395"/>
      <c r="L559" s="442" t="str">
        <f t="shared" si="2"/>
        <v/>
      </c>
      <c r="M559" s="395"/>
      <c r="N559" s="442" t="str">
        <f t="shared" si="3"/>
        <v/>
      </c>
      <c r="O559" s="395"/>
      <c r="P559" s="395"/>
      <c r="Q559" s="395"/>
      <c r="R559" s="395"/>
      <c r="S559" s="395"/>
      <c r="T559" s="395"/>
      <c r="U559" s="395"/>
      <c r="V559" s="395"/>
      <c r="W559" s="395"/>
      <c r="X559" s="395"/>
      <c r="Y559" s="395"/>
      <c r="Z559" s="395"/>
      <c r="AA559" s="395"/>
    </row>
    <row r="560" ht="15.75" customHeight="1">
      <c r="A560" s="395"/>
      <c r="B560" s="395"/>
      <c r="C560" s="395"/>
      <c r="D560" s="395"/>
      <c r="E560" s="395"/>
      <c r="F560" s="395"/>
      <c r="G560" s="395"/>
      <c r="H560" s="395"/>
      <c r="I560" s="395"/>
      <c r="J560" s="441"/>
      <c r="K560" s="395"/>
      <c r="L560" s="442" t="str">
        <f t="shared" si="2"/>
        <v/>
      </c>
      <c r="M560" s="395"/>
      <c r="N560" s="442" t="str">
        <f t="shared" si="3"/>
        <v/>
      </c>
      <c r="O560" s="395"/>
      <c r="P560" s="395"/>
      <c r="Q560" s="395"/>
      <c r="R560" s="395"/>
      <c r="S560" s="395"/>
      <c r="T560" s="395"/>
      <c r="U560" s="395"/>
      <c r="V560" s="395"/>
      <c r="W560" s="395"/>
      <c r="X560" s="395"/>
      <c r="Y560" s="395"/>
      <c r="Z560" s="395"/>
      <c r="AA560" s="395"/>
    </row>
    <row r="561" ht="15.75" customHeight="1">
      <c r="A561" s="395"/>
      <c r="B561" s="395"/>
      <c r="C561" s="395"/>
      <c r="D561" s="395"/>
      <c r="E561" s="395"/>
      <c r="F561" s="395"/>
      <c r="G561" s="395"/>
      <c r="H561" s="395"/>
      <c r="I561" s="395"/>
      <c r="J561" s="441"/>
      <c r="K561" s="395"/>
      <c r="L561" s="442" t="str">
        <f t="shared" si="2"/>
        <v/>
      </c>
      <c r="M561" s="395"/>
      <c r="N561" s="442" t="str">
        <f t="shared" si="3"/>
        <v/>
      </c>
      <c r="O561" s="395"/>
      <c r="P561" s="395"/>
      <c r="Q561" s="395"/>
      <c r="R561" s="395"/>
      <c r="S561" s="395"/>
      <c r="T561" s="395"/>
      <c r="U561" s="395"/>
      <c r="V561" s="395"/>
      <c r="W561" s="395"/>
      <c r="X561" s="395"/>
      <c r="Y561" s="395"/>
      <c r="Z561" s="395"/>
      <c r="AA561" s="395"/>
    </row>
    <row r="562" ht="15.75" customHeight="1">
      <c r="A562" s="395"/>
      <c r="B562" s="395"/>
      <c r="C562" s="395"/>
      <c r="D562" s="395"/>
      <c r="E562" s="395"/>
      <c r="F562" s="395"/>
      <c r="G562" s="395"/>
      <c r="H562" s="395"/>
      <c r="I562" s="395"/>
      <c r="J562" s="441"/>
      <c r="K562" s="395"/>
      <c r="L562" s="442" t="str">
        <f t="shared" si="2"/>
        <v/>
      </c>
      <c r="M562" s="395"/>
      <c r="N562" s="442" t="str">
        <f t="shared" si="3"/>
        <v/>
      </c>
      <c r="O562" s="395"/>
      <c r="P562" s="395"/>
      <c r="Q562" s="395"/>
      <c r="R562" s="395"/>
      <c r="S562" s="395"/>
      <c r="T562" s="395"/>
      <c r="U562" s="395"/>
      <c r="V562" s="395"/>
      <c r="W562" s="395"/>
      <c r="X562" s="395"/>
      <c r="Y562" s="395"/>
      <c r="Z562" s="395"/>
      <c r="AA562" s="395"/>
    </row>
    <row r="563" ht="15.75" customHeight="1">
      <c r="A563" s="395"/>
      <c r="B563" s="395"/>
      <c r="C563" s="395"/>
      <c r="D563" s="395"/>
      <c r="E563" s="395"/>
      <c r="F563" s="395"/>
      <c r="G563" s="395"/>
      <c r="H563" s="395"/>
      <c r="I563" s="395"/>
      <c r="J563" s="441"/>
      <c r="K563" s="395"/>
      <c r="L563" s="442" t="str">
        <f t="shared" si="2"/>
        <v/>
      </c>
      <c r="M563" s="395"/>
      <c r="N563" s="442" t="str">
        <f t="shared" si="3"/>
        <v/>
      </c>
      <c r="O563" s="395"/>
      <c r="P563" s="395"/>
      <c r="Q563" s="395"/>
      <c r="R563" s="395"/>
      <c r="S563" s="395"/>
      <c r="T563" s="395"/>
      <c r="U563" s="395"/>
      <c r="V563" s="395"/>
      <c r="W563" s="395"/>
      <c r="X563" s="395"/>
      <c r="Y563" s="395"/>
      <c r="Z563" s="395"/>
      <c r="AA563" s="395"/>
    </row>
    <row r="564" ht="15.75" customHeight="1">
      <c r="A564" s="395"/>
      <c r="B564" s="395"/>
      <c r="C564" s="395"/>
      <c r="D564" s="395"/>
      <c r="E564" s="395"/>
      <c r="F564" s="395"/>
      <c r="G564" s="395"/>
      <c r="H564" s="395"/>
      <c r="I564" s="395"/>
      <c r="J564" s="441"/>
      <c r="K564" s="395"/>
      <c r="L564" s="442" t="str">
        <f t="shared" si="2"/>
        <v/>
      </c>
      <c r="M564" s="395"/>
      <c r="N564" s="442" t="str">
        <f t="shared" si="3"/>
        <v/>
      </c>
      <c r="O564" s="395"/>
      <c r="P564" s="395"/>
      <c r="Q564" s="395"/>
      <c r="R564" s="395"/>
      <c r="S564" s="395"/>
      <c r="T564" s="395"/>
      <c r="U564" s="395"/>
      <c r="V564" s="395"/>
      <c r="W564" s="395"/>
      <c r="X564" s="395"/>
      <c r="Y564" s="395"/>
      <c r="Z564" s="395"/>
      <c r="AA564" s="395"/>
    </row>
    <row r="565" ht="15.75" customHeight="1">
      <c r="A565" s="395"/>
      <c r="B565" s="395"/>
      <c r="C565" s="395"/>
      <c r="D565" s="395"/>
      <c r="E565" s="395"/>
      <c r="F565" s="395"/>
      <c r="G565" s="395"/>
      <c r="H565" s="395"/>
      <c r="I565" s="395"/>
      <c r="J565" s="441"/>
      <c r="K565" s="395"/>
      <c r="L565" s="442" t="str">
        <f t="shared" si="2"/>
        <v/>
      </c>
      <c r="M565" s="395"/>
      <c r="N565" s="442" t="str">
        <f t="shared" si="3"/>
        <v/>
      </c>
      <c r="O565" s="395"/>
      <c r="P565" s="395"/>
      <c r="Q565" s="395"/>
      <c r="R565" s="395"/>
      <c r="S565" s="395"/>
      <c r="T565" s="395"/>
      <c r="U565" s="395"/>
      <c r="V565" s="395"/>
      <c r="W565" s="395"/>
      <c r="X565" s="395"/>
      <c r="Y565" s="395"/>
      <c r="Z565" s="395"/>
      <c r="AA565" s="395"/>
    </row>
    <row r="566" ht="15.75" customHeight="1">
      <c r="A566" s="395"/>
      <c r="B566" s="395"/>
      <c r="C566" s="395"/>
      <c r="D566" s="395"/>
      <c r="E566" s="395"/>
      <c r="F566" s="395"/>
      <c r="G566" s="395"/>
      <c r="H566" s="395"/>
      <c r="I566" s="395"/>
      <c r="J566" s="441"/>
      <c r="K566" s="395"/>
      <c r="L566" s="442" t="str">
        <f t="shared" si="2"/>
        <v/>
      </c>
      <c r="M566" s="395"/>
      <c r="N566" s="442" t="str">
        <f t="shared" si="3"/>
        <v/>
      </c>
      <c r="O566" s="395"/>
      <c r="P566" s="395"/>
      <c r="Q566" s="395"/>
      <c r="R566" s="395"/>
      <c r="S566" s="395"/>
      <c r="T566" s="395"/>
      <c r="U566" s="395"/>
      <c r="V566" s="395"/>
      <c r="W566" s="395"/>
      <c r="X566" s="395"/>
      <c r="Y566" s="395"/>
      <c r="Z566" s="395"/>
      <c r="AA566" s="395"/>
    </row>
    <row r="567" ht="15.75" customHeight="1">
      <c r="A567" s="395"/>
      <c r="B567" s="395"/>
      <c r="C567" s="395"/>
      <c r="D567" s="395"/>
      <c r="E567" s="395"/>
      <c r="F567" s="395"/>
      <c r="G567" s="395"/>
      <c r="H567" s="395"/>
      <c r="I567" s="395"/>
      <c r="J567" s="441"/>
      <c r="K567" s="395"/>
      <c r="L567" s="442" t="str">
        <f t="shared" si="2"/>
        <v/>
      </c>
      <c r="M567" s="395"/>
      <c r="N567" s="442" t="str">
        <f t="shared" si="3"/>
        <v/>
      </c>
      <c r="O567" s="395"/>
      <c r="P567" s="395"/>
      <c r="Q567" s="395"/>
      <c r="R567" s="395"/>
      <c r="S567" s="395"/>
      <c r="T567" s="395"/>
      <c r="U567" s="395"/>
      <c r="V567" s="395"/>
      <c r="W567" s="395"/>
      <c r="X567" s="395"/>
      <c r="Y567" s="395"/>
      <c r="Z567" s="395"/>
      <c r="AA567" s="395"/>
    </row>
    <row r="568" ht="15.75" customHeight="1">
      <c r="A568" s="395"/>
      <c r="B568" s="395"/>
      <c r="C568" s="395"/>
      <c r="D568" s="395"/>
      <c r="E568" s="395"/>
      <c r="F568" s="395"/>
      <c r="G568" s="395"/>
      <c r="H568" s="395"/>
      <c r="I568" s="395"/>
      <c r="J568" s="441"/>
      <c r="K568" s="395"/>
      <c r="L568" s="442" t="str">
        <f t="shared" si="2"/>
        <v/>
      </c>
      <c r="M568" s="395"/>
      <c r="N568" s="442" t="str">
        <f t="shared" si="3"/>
        <v/>
      </c>
      <c r="O568" s="395"/>
      <c r="P568" s="395"/>
      <c r="Q568" s="395"/>
      <c r="R568" s="395"/>
      <c r="S568" s="395"/>
      <c r="T568" s="395"/>
      <c r="U568" s="395"/>
      <c r="V568" s="395"/>
      <c r="W568" s="395"/>
      <c r="X568" s="395"/>
      <c r="Y568" s="395"/>
      <c r="Z568" s="395"/>
      <c r="AA568" s="395"/>
    </row>
    <row r="569" ht="15.75" customHeight="1">
      <c r="A569" s="395"/>
      <c r="B569" s="395"/>
      <c r="C569" s="395"/>
      <c r="D569" s="395"/>
      <c r="E569" s="395"/>
      <c r="F569" s="395"/>
      <c r="G569" s="395"/>
      <c r="H569" s="395"/>
      <c r="I569" s="395"/>
      <c r="J569" s="441"/>
      <c r="K569" s="395"/>
      <c r="L569" s="442" t="str">
        <f t="shared" si="2"/>
        <v/>
      </c>
      <c r="M569" s="395"/>
      <c r="N569" s="442" t="str">
        <f t="shared" si="3"/>
        <v/>
      </c>
      <c r="O569" s="395"/>
      <c r="P569" s="395"/>
      <c r="Q569" s="395"/>
      <c r="R569" s="395"/>
      <c r="S569" s="395"/>
      <c r="T569" s="395"/>
      <c r="U569" s="395"/>
      <c r="V569" s="395"/>
      <c r="W569" s="395"/>
      <c r="X569" s="395"/>
      <c r="Y569" s="395"/>
      <c r="Z569" s="395"/>
      <c r="AA569" s="395"/>
    </row>
    <row r="570" ht="15.75" customHeight="1">
      <c r="A570" s="395"/>
      <c r="B570" s="395"/>
      <c r="C570" s="395"/>
      <c r="D570" s="395"/>
      <c r="E570" s="395"/>
      <c r="F570" s="395"/>
      <c r="G570" s="395"/>
      <c r="H570" s="395"/>
      <c r="I570" s="395"/>
      <c r="J570" s="441"/>
      <c r="K570" s="395"/>
      <c r="L570" s="442" t="str">
        <f t="shared" si="2"/>
        <v/>
      </c>
      <c r="M570" s="395"/>
      <c r="N570" s="442" t="str">
        <f t="shared" si="3"/>
        <v/>
      </c>
      <c r="O570" s="395"/>
      <c r="P570" s="395"/>
      <c r="Q570" s="395"/>
      <c r="R570" s="395"/>
      <c r="S570" s="395"/>
      <c r="T570" s="395"/>
      <c r="U570" s="395"/>
      <c r="V570" s="395"/>
      <c r="W570" s="395"/>
      <c r="X570" s="395"/>
      <c r="Y570" s="395"/>
      <c r="Z570" s="395"/>
      <c r="AA570" s="395"/>
    </row>
    <row r="571" ht="15.75" customHeight="1">
      <c r="A571" s="395"/>
      <c r="B571" s="395"/>
      <c r="C571" s="395"/>
      <c r="D571" s="395"/>
      <c r="E571" s="395"/>
      <c r="F571" s="395"/>
      <c r="G571" s="395"/>
      <c r="H571" s="395"/>
      <c r="I571" s="395"/>
      <c r="J571" s="441"/>
      <c r="K571" s="395"/>
      <c r="L571" s="442" t="str">
        <f t="shared" si="2"/>
        <v/>
      </c>
      <c r="M571" s="395"/>
      <c r="N571" s="442" t="str">
        <f t="shared" si="3"/>
        <v/>
      </c>
      <c r="O571" s="395"/>
      <c r="P571" s="395"/>
      <c r="Q571" s="395"/>
      <c r="R571" s="395"/>
      <c r="S571" s="395"/>
      <c r="T571" s="395"/>
      <c r="U571" s="395"/>
      <c r="V571" s="395"/>
      <c r="W571" s="395"/>
      <c r="X571" s="395"/>
      <c r="Y571" s="395"/>
      <c r="Z571" s="395"/>
      <c r="AA571" s="395"/>
    </row>
    <row r="572" ht="15.75" customHeight="1">
      <c r="A572" s="395"/>
      <c r="B572" s="395"/>
      <c r="C572" s="395"/>
      <c r="D572" s="395"/>
      <c r="E572" s="395"/>
      <c r="F572" s="395"/>
      <c r="G572" s="395"/>
      <c r="H572" s="395"/>
      <c r="I572" s="395"/>
      <c r="J572" s="441"/>
      <c r="K572" s="395"/>
      <c r="L572" s="442" t="str">
        <f t="shared" si="2"/>
        <v/>
      </c>
      <c r="M572" s="395"/>
      <c r="N572" s="442" t="str">
        <f t="shared" si="3"/>
        <v/>
      </c>
      <c r="O572" s="395"/>
      <c r="P572" s="395"/>
      <c r="Q572" s="395"/>
      <c r="R572" s="395"/>
      <c r="S572" s="395"/>
      <c r="T572" s="395"/>
      <c r="U572" s="395"/>
      <c r="V572" s="395"/>
      <c r="W572" s="395"/>
      <c r="X572" s="395"/>
      <c r="Y572" s="395"/>
      <c r="Z572" s="395"/>
      <c r="AA572" s="395"/>
    </row>
    <row r="573" ht="15.75" customHeight="1">
      <c r="A573" s="395"/>
      <c r="B573" s="395"/>
      <c r="C573" s="395"/>
      <c r="D573" s="395"/>
      <c r="E573" s="395"/>
      <c r="F573" s="395"/>
      <c r="G573" s="395"/>
      <c r="H573" s="395"/>
      <c r="I573" s="395"/>
      <c r="J573" s="441"/>
      <c r="K573" s="395"/>
      <c r="L573" s="442" t="str">
        <f t="shared" si="2"/>
        <v/>
      </c>
      <c r="M573" s="395"/>
      <c r="N573" s="442" t="str">
        <f t="shared" si="3"/>
        <v/>
      </c>
      <c r="O573" s="395"/>
      <c r="P573" s="395"/>
      <c r="Q573" s="395"/>
      <c r="R573" s="395"/>
      <c r="S573" s="395"/>
      <c r="T573" s="395"/>
      <c r="U573" s="395"/>
      <c r="V573" s="395"/>
      <c r="W573" s="395"/>
      <c r="X573" s="395"/>
      <c r="Y573" s="395"/>
      <c r="Z573" s="395"/>
      <c r="AA573" s="395"/>
    </row>
    <row r="574" ht="15.75" customHeight="1">
      <c r="A574" s="395"/>
      <c r="B574" s="395"/>
      <c r="C574" s="395"/>
      <c r="D574" s="395"/>
      <c r="E574" s="395"/>
      <c r="F574" s="395"/>
      <c r="G574" s="395"/>
      <c r="H574" s="395"/>
      <c r="I574" s="395"/>
      <c r="J574" s="441"/>
      <c r="K574" s="395"/>
      <c r="L574" s="442" t="str">
        <f t="shared" si="2"/>
        <v/>
      </c>
      <c r="M574" s="395"/>
      <c r="N574" s="442" t="str">
        <f t="shared" si="3"/>
        <v/>
      </c>
      <c r="O574" s="395"/>
      <c r="P574" s="395"/>
      <c r="Q574" s="395"/>
      <c r="R574" s="395"/>
      <c r="S574" s="395"/>
      <c r="T574" s="395"/>
      <c r="U574" s="395"/>
      <c r="V574" s="395"/>
      <c r="W574" s="395"/>
      <c r="X574" s="395"/>
      <c r="Y574" s="395"/>
      <c r="Z574" s="395"/>
      <c r="AA574" s="395"/>
    </row>
    <row r="575" ht="15.75" customHeight="1">
      <c r="A575" s="395"/>
      <c r="B575" s="395"/>
      <c r="C575" s="395"/>
      <c r="D575" s="395"/>
      <c r="E575" s="395"/>
      <c r="F575" s="395"/>
      <c r="G575" s="395"/>
      <c r="H575" s="395"/>
      <c r="I575" s="395"/>
      <c r="J575" s="441"/>
      <c r="K575" s="395"/>
      <c r="L575" s="442" t="str">
        <f t="shared" si="2"/>
        <v/>
      </c>
      <c r="M575" s="395"/>
      <c r="N575" s="442" t="str">
        <f t="shared" si="3"/>
        <v/>
      </c>
      <c r="O575" s="395"/>
      <c r="P575" s="395"/>
      <c r="Q575" s="395"/>
      <c r="R575" s="395"/>
      <c r="S575" s="395"/>
      <c r="T575" s="395"/>
      <c r="U575" s="395"/>
      <c r="V575" s="395"/>
      <c r="W575" s="395"/>
      <c r="X575" s="395"/>
      <c r="Y575" s="395"/>
      <c r="Z575" s="395"/>
      <c r="AA575" s="395"/>
    </row>
    <row r="576" ht="15.75" customHeight="1">
      <c r="A576" s="395"/>
      <c r="B576" s="395"/>
      <c r="C576" s="395"/>
      <c r="D576" s="395"/>
      <c r="E576" s="395"/>
      <c r="F576" s="395"/>
      <c r="G576" s="395"/>
      <c r="H576" s="395"/>
      <c r="I576" s="395"/>
      <c r="J576" s="441"/>
      <c r="K576" s="395"/>
      <c r="L576" s="442" t="str">
        <f t="shared" si="2"/>
        <v/>
      </c>
      <c r="M576" s="395"/>
      <c r="N576" s="442" t="str">
        <f t="shared" si="3"/>
        <v/>
      </c>
      <c r="O576" s="395"/>
      <c r="P576" s="395"/>
      <c r="Q576" s="395"/>
      <c r="R576" s="395"/>
      <c r="S576" s="395"/>
      <c r="T576" s="395"/>
      <c r="U576" s="395"/>
      <c r="V576" s="395"/>
      <c r="W576" s="395"/>
      <c r="X576" s="395"/>
      <c r="Y576" s="395"/>
      <c r="Z576" s="395"/>
      <c r="AA576" s="395"/>
    </row>
    <row r="577" ht="15.75" customHeight="1">
      <c r="A577" s="395"/>
      <c r="B577" s="395"/>
      <c r="C577" s="395"/>
      <c r="D577" s="395"/>
      <c r="E577" s="395"/>
      <c r="F577" s="395"/>
      <c r="G577" s="395"/>
      <c r="H577" s="395"/>
      <c r="I577" s="395"/>
      <c r="J577" s="441"/>
      <c r="K577" s="395"/>
      <c r="L577" s="442" t="str">
        <f t="shared" si="2"/>
        <v/>
      </c>
      <c r="M577" s="395"/>
      <c r="N577" s="442" t="str">
        <f t="shared" si="3"/>
        <v/>
      </c>
      <c r="O577" s="395"/>
      <c r="P577" s="395"/>
      <c r="Q577" s="395"/>
      <c r="R577" s="395"/>
      <c r="S577" s="395"/>
      <c r="T577" s="395"/>
      <c r="U577" s="395"/>
      <c r="V577" s="395"/>
      <c r="W577" s="395"/>
      <c r="X577" s="395"/>
      <c r="Y577" s="395"/>
      <c r="Z577" s="395"/>
      <c r="AA577" s="395"/>
    </row>
    <row r="578" ht="15.75" customHeight="1">
      <c r="A578" s="395"/>
      <c r="B578" s="395"/>
      <c r="C578" s="395"/>
      <c r="D578" s="395"/>
      <c r="E578" s="395"/>
      <c r="F578" s="395"/>
      <c r="G578" s="395"/>
      <c r="H578" s="395"/>
      <c r="I578" s="395"/>
      <c r="J578" s="441"/>
      <c r="K578" s="395"/>
      <c r="L578" s="442" t="str">
        <f t="shared" si="2"/>
        <v/>
      </c>
      <c r="M578" s="395"/>
      <c r="N578" s="442" t="str">
        <f t="shared" si="3"/>
        <v/>
      </c>
      <c r="O578" s="395"/>
      <c r="P578" s="395"/>
      <c r="Q578" s="395"/>
      <c r="R578" s="395"/>
      <c r="S578" s="395"/>
      <c r="T578" s="395"/>
      <c r="U578" s="395"/>
      <c r="V578" s="395"/>
      <c r="W578" s="395"/>
      <c r="X578" s="395"/>
      <c r="Y578" s="395"/>
      <c r="Z578" s="395"/>
      <c r="AA578" s="395"/>
    </row>
    <row r="579" ht="15.75" customHeight="1">
      <c r="A579" s="395"/>
      <c r="B579" s="395"/>
      <c r="C579" s="395"/>
      <c r="D579" s="395"/>
      <c r="E579" s="395"/>
      <c r="F579" s="395"/>
      <c r="G579" s="395"/>
      <c r="H579" s="395"/>
      <c r="I579" s="395"/>
      <c r="J579" s="441"/>
      <c r="K579" s="395"/>
      <c r="L579" s="442" t="str">
        <f t="shared" si="2"/>
        <v/>
      </c>
      <c r="M579" s="395"/>
      <c r="N579" s="442" t="str">
        <f t="shared" si="3"/>
        <v/>
      </c>
      <c r="O579" s="395"/>
      <c r="P579" s="395"/>
      <c r="Q579" s="395"/>
      <c r="R579" s="395"/>
      <c r="S579" s="395"/>
      <c r="T579" s="395"/>
      <c r="U579" s="395"/>
      <c r="V579" s="395"/>
      <c r="W579" s="395"/>
      <c r="X579" s="395"/>
      <c r="Y579" s="395"/>
      <c r="Z579" s="395"/>
      <c r="AA579" s="395"/>
    </row>
    <row r="580" ht="15.75" customHeight="1">
      <c r="A580" s="395"/>
      <c r="B580" s="395"/>
      <c r="C580" s="395"/>
      <c r="D580" s="395"/>
      <c r="E580" s="395"/>
      <c r="F580" s="395"/>
      <c r="G580" s="395"/>
      <c r="H580" s="395"/>
      <c r="I580" s="395"/>
      <c r="J580" s="441"/>
      <c r="K580" s="395"/>
      <c r="L580" s="442" t="str">
        <f t="shared" si="2"/>
        <v/>
      </c>
      <c r="M580" s="395"/>
      <c r="N580" s="442" t="str">
        <f t="shared" si="3"/>
        <v/>
      </c>
      <c r="O580" s="395"/>
      <c r="P580" s="395"/>
      <c r="Q580" s="395"/>
      <c r="R580" s="395"/>
      <c r="S580" s="395"/>
      <c r="T580" s="395"/>
      <c r="U580" s="395"/>
      <c r="V580" s="395"/>
      <c r="W580" s="395"/>
      <c r="X580" s="395"/>
      <c r="Y580" s="395"/>
      <c r="Z580" s="395"/>
      <c r="AA580" s="395"/>
    </row>
    <row r="581" ht="15.75" customHeight="1">
      <c r="A581" s="395"/>
      <c r="B581" s="395"/>
      <c r="C581" s="395"/>
      <c r="D581" s="395"/>
      <c r="E581" s="395"/>
      <c r="F581" s="395"/>
      <c r="G581" s="395"/>
      <c r="H581" s="395"/>
      <c r="I581" s="395"/>
      <c r="J581" s="441"/>
      <c r="K581" s="395"/>
      <c r="L581" s="442" t="str">
        <f t="shared" si="2"/>
        <v/>
      </c>
      <c r="M581" s="395"/>
      <c r="N581" s="442" t="str">
        <f t="shared" si="3"/>
        <v/>
      </c>
      <c r="O581" s="395"/>
      <c r="P581" s="395"/>
      <c r="Q581" s="395"/>
      <c r="R581" s="395"/>
      <c r="S581" s="395"/>
      <c r="T581" s="395"/>
      <c r="U581" s="395"/>
      <c r="V581" s="395"/>
      <c r="W581" s="395"/>
      <c r="X581" s="395"/>
      <c r="Y581" s="395"/>
      <c r="Z581" s="395"/>
      <c r="AA581" s="395"/>
    </row>
    <row r="582" ht="15.75" customHeight="1">
      <c r="A582" s="395"/>
      <c r="B582" s="395"/>
      <c r="C582" s="395"/>
      <c r="D582" s="395"/>
      <c r="E582" s="395"/>
      <c r="F582" s="395"/>
      <c r="G582" s="395"/>
      <c r="H582" s="395"/>
      <c r="I582" s="395"/>
      <c r="J582" s="441"/>
      <c r="K582" s="395"/>
      <c r="L582" s="442" t="str">
        <f t="shared" si="2"/>
        <v/>
      </c>
      <c r="M582" s="395"/>
      <c r="N582" s="442" t="str">
        <f t="shared" si="3"/>
        <v/>
      </c>
      <c r="O582" s="395"/>
      <c r="P582" s="395"/>
      <c r="Q582" s="395"/>
      <c r="R582" s="395"/>
      <c r="S582" s="395"/>
      <c r="T582" s="395"/>
      <c r="U582" s="395"/>
      <c r="V582" s="395"/>
      <c r="W582" s="395"/>
      <c r="X582" s="395"/>
      <c r="Y582" s="395"/>
      <c r="Z582" s="395"/>
      <c r="AA582" s="395"/>
    </row>
    <row r="583" ht="15.75" customHeight="1">
      <c r="A583" s="395"/>
      <c r="B583" s="395"/>
      <c r="C583" s="395"/>
      <c r="D583" s="395"/>
      <c r="E583" s="395"/>
      <c r="F583" s="395"/>
      <c r="G583" s="395"/>
      <c r="H583" s="395"/>
      <c r="I583" s="395"/>
      <c r="J583" s="441"/>
      <c r="K583" s="395"/>
      <c r="L583" s="442" t="str">
        <f t="shared" si="2"/>
        <v/>
      </c>
      <c r="M583" s="395"/>
      <c r="N583" s="442" t="str">
        <f t="shared" si="3"/>
        <v/>
      </c>
      <c r="O583" s="395"/>
      <c r="P583" s="395"/>
      <c r="Q583" s="395"/>
      <c r="R583" s="395"/>
      <c r="S583" s="395"/>
      <c r="T583" s="395"/>
      <c r="U583" s="395"/>
      <c r="V583" s="395"/>
      <c r="W583" s="395"/>
      <c r="X583" s="395"/>
      <c r="Y583" s="395"/>
      <c r="Z583" s="395"/>
      <c r="AA583" s="395"/>
    </row>
    <row r="584" ht="15.75" customHeight="1">
      <c r="A584" s="395"/>
      <c r="B584" s="395"/>
      <c r="C584" s="395"/>
      <c r="D584" s="395"/>
      <c r="E584" s="395"/>
      <c r="F584" s="395"/>
      <c r="G584" s="395"/>
      <c r="H584" s="395"/>
      <c r="I584" s="395"/>
      <c r="J584" s="441"/>
      <c r="K584" s="395"/>
      <c r="L584" s="442" t="str">
        <f t="shared" si="2"/>
        <v/>
      </c>
      <c r="M584" s="395"/>
      <c r="N584" s="442" t="str">
        <f t="shared" si="3"/>
        <v/>
      </c>
      <c r="O584" s="395"/>
      <c r="P584" s="395"/>
      <c r="Q584" s="395"/>
      <c r="R584" s="395"/>
      <c r="S584" s="395"/>
      <c r="T584" s="395"/>
      <c r="U584" s="395"/>
      <c r="V584" s="395"/>
      <c r="W584" s="395"/>
      <c r="X584" s="395"/>
      <c r="Y584" s="395"/>
      <c r="Z584" s="395"/>
      <c r="AA584" s="395"/>
    </row>
    <row r="585" ht="15.75" customHeight="1">
      <c r="A585" s="395"/>
      <c r="B585" s="395"/>
      <c r="C585" s="395"/>
      <c r="D585" s="395"/>
      <c r="E585" s="395"/>
      <c r="F585" s="395"/>
      <c r="G585" s="395"/>
      <c r="H585" s="395"/>
      <c r="I585" s="395"/>
      <c r="J585" s="441"/>
      <c r="K585" s="395"/>
      <c r="L585" s="442" t="str">
        <f t="shared" si="2"/>
        <v/>
      </c>
      <c r="M585" s="395"/>
      <c r="N585" s="442" t="str">
        <f t="shared" si="3"/>
        <v/>
      </c>
      <c r="O585" s="395"/>
      <c r="P585" s="395"/>
      <c r="Q585" s="395"/>
      <c r="R585" s="395"/>
      <c r="S585" s="395"/>
      <c r="T585" s="395"/>
      <c r="U585" s="395"/>
      <c r="V585" s="395"/>
      <c r="W585" s="395"/>
      <c r="X585" s="395"/>
      <c r="Y585" s="395"/>
      <c r="Z585" s="395"/>
      <c r="AA585" s="395"/>
    </row>
    <row r="586" ht="15.75" customHeight="1">
      <c r="A586" s="395"/>
      <c r="B586" s="395"/>
      <c r="C586" s="395"/>
      <c r="D586" s="395"/>
      <c r="E586" s="395"/>
      <c r="F586" s="395"/>
      <c r="G586" s="395"/>
      <c r="H586" s="395"/>
      <c r="I586" s="395"/>
      <c r="J586" s="441"/>
      <c r="K586" s="395"/>
      <c r="L586" s="442" t="str">
        <f t="shared" si="2"/>
        <v/>
      </c>
      <c r="M586" s="395"/>
      <c r="N586" s="442" t="str">
        <f t="shared" si="3"/>
        <v/>
      </c>
      <c r="O586" s="395"/>
      <c r="P586" s="395"/>
      <c r="Q586" s="395"/>
      <c r="R586" s="395"/>
      <c r="S586" s="395"/>
      <c r="T586" s="395"/>
      <c r="U586" s="395"/>
      <c r="V586" s="395"/>
      <c r="W586" s="395"/>
      <c r="X586" s="395"/>
      <c r="Y586" s="395"/>
      <c r="Z586" s="395"/>
      <c r="AA586" s="395"/>
    </row>
    <row r="587" ht="15.75" customHeight="1">
      <c r="A587" s="395"/>
      <c r="B587" s="395"/>
      <c r="C587" s="395"/>
      <c r="D587" s="395"/>
      <c r="E587" s="395"/>
      <c r="F587" s="395"/>
      <c r="G587" s="395"/>
      <c r="H587" s="395"/>
      <c r="I587" s="395"/>
      <c r="J587" s="441"/>
      <c r="K587" s="395"/>
      <c r="L587" s="442" t="str">
        <f t="shared" si="2"/>
        <v/>
      </c>
      <c r="M587" s="395"/>
      <c r="N587" s="442" t="str">
        <f t="shared" si="3"/>
        <v/>
      </c>
      <c r="O587" s="395"/>
      <c r="P587" s="395"/>
      <c r="Q587" s="395"/>
      <c r="R587" s="395"/>
      <c r="S587" s="395"/>
      <c r="T587" s="395"/>
      <c r="U587" s="395"/>
      <c r="V587" s="395"/>
      <c r="W587" s="395"/>
      <c r="X587" s="395"/>
      <c r="Y587" s="395"/>
      <c r="Z587" s="395"/>
      <c r="AA587" s="395"/>
    </row>
    <row r="588" ht="15.75" customHeight="1">
      <c r="A588" s="395"/>
      <c r="B588" s="395"/>
      <c r="C588" s="395"/>
      <c r="D588" s="395"/>
      <c r="E588" s="395"/>
      <c r="F588" s="395"/>
      <c r="G588" s="395"/>
      <c r="H588" s="395"/>
      <c r="I588" s="395"/>
      <c r="J588" s="441"/>
      <c r="K588" s="395"/>
      <c r="L588" s="442" t="str">
        <f t="shared" si="2"/>
        <v/>
      </c>
      <c r="M588" s="395"/>
      <c r="N588" s="442" t="str">
        <f t="shared" si="3"/>
        <v/>
      </c>
      <c r="O588" s="395"/>
      <c r="P588" s="395"/>
      <c r="Q588" s="395"/>
      <c r="R588" s="395"/>
      <c r="S588" s="395"/>
      <c r="T588" s="395"/>
      <c r="U588" s="395"/>
      <c r="V588" s="395"/>
      <c r="W588" s="395"/>
      <c r="X588" s="395"/>
      <c r="Y588" s="395"/>
      <c r="Z588" s="395"/>
      <c r="AA588" s="395"/>
    </row>
    <row r="589" ht="15.75" customHeight="1">
      <c r="A589" s="395"/>
      <c r="B589" s="395"/>
      <c r="C589" s="395"/>
      <c r="D589" s="395"/>
      <c r="E589" s="395"/>
      <c r="F589" s="395"/>
      <c r="G589" s="395"/>
      <c r="H589" s="395"/>
      <c r="I589" s="395"/>
      <c r="J589" s="441"/>
      <c r="K589" s="395"/>
      <c r="L589" s="442" t="str">
        <f t="shared" si="2"/>
        <v/>
      </c>
      <c r="M589" s="395"/>
      <c r="N589" s="442" t="str">
        <f t="shared" si="3"/>
        <v/>
      </c>
      <c r="O589" s="395"/>
      <c r="P589" s="395"/>
      <c r="Q589" s="395"/>
      <c r="R589" s="395"/>
      <c r="S589" s="395"/>
      <c r="T589" s="395"/>
      <c r="U589" s="395"/>
      <c r="V589" s="395"/>
      <c r="W589" s="395"/>
      <c r="X589" s="395"/>
      <c r="Y589" s="395"/>
      <c r="Z589" s="395"/>
      <c r="AA589" s="395"/>
    </row>
    <row r="590" ht="15.75" customHeight="1">
      <c r="A590" s="395"/>
      <c r="B590" s="395"/>
      <c r="C590" s="395"/>
      <c r="D590" s="395"/>
      <c r="E590" s="395"/>
      <c r="F590" s="395"/>
      <c r="G590" s="395"/>
      <c r="H590" s="395"/>
      <c r="I590" s="395"/>
      <c r="J590" s="441"/>
      <c r="K590" s="395"/>
      <c r="L590" s="442" t="str">
        <f t="shared" si="2"/>
        <v/>
      </c>
      <c r="M590" s="395"/>
      <c r="N590" s="442" t="str">
        <f t="shared" si="3"/>
        <v/>
      </c>
      <c r="O590" s="395"/>
      <c r="P590" s="395"/>
      <c r="Q590" s="395"/>
      <c r="R590" s="395"/>
      <c r="S590" s="395"/>
      <c r="T590" s="395"/>
      <c r="U590" s="395"/>
      <c r="V590" s="395"/>
      <c r="W590" s="395"/>
      <c r="X590" s="395"/>
      <c r="Y590" s="395"/>
      <c r="Z590" s="395"/>
      <c r="AA590" s="395"/>
    </row>
    <row r="591" ht="15.75" customHeight="1">
      <c r="A591" s="395"/>
      <c r="B591" s="395"/>
      <c r="C591" s="395"/>
      <c r="D591" s="395"/>
      <c r="E591" s="395"/>
      <c r="F591" s="395"/>
      <c r="G591" s="395"/>
      <c r="H591" s="395"/>
      <c r="I591" s="395"/>
      <c r="J591" s="441"/>
      <c r="K591" s="395"/>
      <c r="L591" s="442" t="str">
        <f t="shared" si="2"/>
        <v/>
      </c>
      <c r="M591" s="395"/>
      <c r="N591" s="442" t="str">
        <f t="shared" si="3"/>
        <v/>
      </c>
      <c r="O591" s="395"/>
      <c r="P591" s="395"/>
      <c r="Q591" s="395"/>
      <c r="R591" s="395"/>
      <c r="S591" s="395"/>
      <c r="T591" s="395"/>
      <c r="U591" s="395"/>
      <c r="V591" s="395"/>
      <c r="W591" s="395"/>
      <c r="X591" s="395"/>
      <c r="Y591" s="395"/>
      <c r="Z591" s="395"/>
      <c r="AA591" s="395"/>
    </row>
    <row r="592" ht="15.75" customHeight="1">
      <c r="A592" s="395"/>
      <c r="B592" s="395"/>
      <c r="C592" s="395"/>
      <c r="D592" s="395"/>
      <c r="E592" s="395"/>
      <c r="F592" s="395"/>
      <c r="G592" s="395"/>
      <c r="H592" s="395"/>
      <c r="I592" s="395"/>
      <c r="J592" s="441"/>
      <c r="K592" s="395"/>
      <c r="L592" s="442" t="str">
        <f t="shared" si="2"/>
        <v/>
      </c>
      <c r="M592" s="395"/>
      <c r="N592" s="442" t="str">
        <f t="shared" si="3"/>
        <v/>
      </c>
      <c r="O592" s="395"/>
      <c r="P592" s="395"/>
      <c r="Q592" s="395"/>
      <c r="R592" s="395"/>
      <c r="S592" s="395"/>
      <c r="T592" s="395"/>
      <c r="U592" s="395"/>
      <c r="V592" s="395"/>
      <c r="W592" s="395"/>
      <c r="X592" s="395"/>
      <c r="Y592" s="395"/>
      <c r="Z592" s="395"/>
      <c r="AA592" s="395"/>
    </row>
    <row r="593" ht="15.75" customHeight="1">
      <c r="A593" s="395"/>
      <c r="B593" s="395"/>
      <c r="C593" s="395"/>
      <c r="D593" s="395"/>
      <c r="E593" s="395"/>
      <c r="F593" s="395"/>
      <c r="G593" s="395"/>
      <c r="H593" s="395"/>
      <c r="I593" s="395"/>
      <c r="J593" s="441"/>
      <c r="K593" s="395"/>
      <c r="L593" s="442" t="str">
        <f t="shared" si="2"/>
        <v/>
      </c>
      <c r="M593" s="395"/>
      <c r="N593" s="442" t="str">
        <f t="shared" si="3"/>
        <v/>
      </c>
      <c r="O593" s="395"/>
      <c r="P593" s="395"/>
      <c r="Q593" s="395"/>
      <c r="R593" s="395"/>
      <c r="S593" s="395"/>
      <c r="T593" s="395"/>
      <c r="U593" s="395"/>
      <c r="V593" s="395"/>
      <c r="W593" s="395"/>
      <c r="X593" s="395"/>
      <c r="Y593" s="395"/>
      <c r="Z593" s="395"/>
      <c r="AA593" s="395"/>
    </row>
    <row r="594" ht="15.75" customHeight="1">
      <c r="A594" s="395"/>
      <c r="B594" s="395"/>
      <c r="C594" s="395"/>
      <c r="D594" s="395"/>
      <c r="E594" s="395"/>
      <c r="F594" s="395"/>
      <c r="G594" s="395"/>
      <c r="H594" s="395"/>
      <c r="I594" s="395"/>
      <c r="J594" s="441"/>
      <c r="K594" s="395"/>
      <c r="L594" s="442" t="str">
        <f t="shared" si="2"/>
        <v/>
      </c>
      <c r="M594" s="395"/>
      <c r="N594" s="442" t="str">
        <f t="shared" si="3"/>
        <v/>
      </c>
      <c r="O594" s="395"/>
      <c r="P594" s="395"/>
      <c r="Q594" s="395"/>
      <c r="R594" s="395"/>
      <c r="S594" s="395"/>
      <c r="T594" s="395"/>
      <c r="U594" s="395"/>
      <c r="V594" s="395"/>
      <c r="W594" s="395"/>
      <c r="X594" s="395"/>
      <c r="Y594" s="395"/>
      <c r="Z594" s="395"/>
      <c r="AA594" s="395"/>
    </row>
    <row r="595" ht="15.75" customHeight="1">
      <c r="A595" s="395"/>
      <c r="B595" s="395"/>
      <c r="C595" s="395"/>
      <c r="D595" s="395"/>
      <c r="E595" s="395"/>
      <c r="F595" s="395"/>
      <c r="G595" s="395"/>
      <c r="H595" s="395"/>
      <c r="I595" s="395"/>
      <c r="J595" s="441"/>
      <c r="K595" s="395"/>
      <c r="L595" s="442" t="str">
        <f t="shared" si="2"/>
        <v/>
      </c>
      <c r="M595" s="395"/>
      <c r="N595" s="442" t="str">
        <f t="shared" si="3"/>
        <v/>
      </c>
      <c r="O595" s="395"/>
      <c r="P595" s="395"/>
      <c r="Q595" s="395"/>
      <c r="R595" s="395"/>
      <c r="S595" s="395"/>
      <c r="T595" s="395"/>
      <c r="U595" s="395"/>
      <c r="V595" s="395"/>
      <c r="W595" s="395"/>
      <c r="X595" s="395"/>
      <c r="Y595" s="395"/>
      <c r="Z595" s="395"/>
      <c r="AA595" s="395"/>
    </row>
    <row r="596" ht="15.75" customHeight="1">
      <c r="A596" s="395"/>
      <c r="B596" s="395"/>
      <c r="C596" s="395"/>
      <c r="D596" s="395"/>
      <c r="E596" s="395"/>
      <c r="F596" s="395"/>
      <c r="G596" s="395"/>
      <c r="H596" s="395"/>
      <c r="I596" s="395"/>
      <c r="J596" s="441"/>
      <c r="K596" s="395"/>
      <c r="L596" s="442" t="str">
        <f t="shared" si="2"/>
        <v/>
      </c>
      <c r="M596" s="395"/>
      <c r="N596" s="442" t="str">
        <f t="shared" si="3"/>
        <v/>
      </c>
      <c r="O596" s="395"/>
      <c r="P596" s="395"/>
      <c r="Q596" s="395"/>
      <c r="R596" s="395"/>
      <c r="S596" s="395"/>
      <c r="T596" s="395"/>
      <c r="U596" s="395"/>
      <c r="V596" s="395"/>
      <c r="W596" s="395"/>
      <c r="X596" s="395"/>
      <c r="Y596" s="395"/>
      <c r="Z596" s="395"/>
      <c r="AA596" s="395"/>
    </row>
    <row r="597" ht="15.75" customHeight="1">
      <c r="A597" s="395"/>
      <c r="B597" s="395"/>
      <c r="C597" s="395"/>
      <c r="D597" s="395"/>
      <c r="E597" s="395"/>
      <c r="F597" s="395"/>
      <c r="G597" s="395"/>
      <c r="H597" s="395"/>
      <c r="I597" s="395"/>
      <c r="J597" s="441"/>
      <c r="K597" s="395"/>
      <c r="L597" s="442" t="str">
        <f t="shared" si="2"/>
        <v/>
      </c>
      <c r="M597" s="395"/>
      <c r="N597" s="442" t="str">
        <f t="shared" si="3"/>
        <v/>
      </c>
      <c r="O597" s="395"/>
      <c r="P597" s="395"/>
      <c r="Q597" s="395"/>
      <c r="R597" s="395"/>
      <c r="S597" s="395"/>
      <c r="T597" s="395"/>
      <c r="U597" s="395"/>
      <c r="V597" s="395"/>
      <c r="W597" s="395"/>
      <c r="X597" s="395"/>
      <c r="Y597" s="395"/>
      <c r="Z597" s="395"/>
      <c r="AA597" s="395"/>
    </row>
    <row r="598" ht="15.75" customHeight="1">
      <c r="A598" s="395"/>
      <c r="B598" s="395"/>
      <c r="C598" s="395"/>
      <c r="D598" s="395"/>
      <c r="E598" s="395"/>
      <c r="F598" s="395"/>
      <c r="G598" s="395"/>
      <c r="H598" s="395"/>
      <c r="I598" s="395"/>
      <c r="J598" s="441"/>
      <c r="K598" s="395"/>
      <c r="L598" s="442" t="str">
        <f t="shared" si="2"/>
        <v/>
      </c>
      <c r="M598" s="395"/>
      <c r="N598" s="442" t="str">
        <f t="shared" si="3"/>
        <v/>
      </c>
      <c r="O598" s="395"/>
      <c r="P598" s="395"/>
      <c r="Q598" s="395"/>
      <c r="R598" s="395"/>
      <c r="S598" s="395"/>
      <c r="T598" s="395"/>
      <c r="U598" s="395"/>
      <c r="V598" s="395"/>
      <c r="W598" s="395"/>
      <c r="X598" s="395"/>
      <c r="Y598" s="395"/>
      <c r="Z598" s="395"/>
      <c r="AA598" s="395"/>
    </row>
    <row r="599" ht="15.75" customHeight="1">
      <c r="A599" s="395"/>
      <c r="B599" s="395"/>
      <c r="C599" s="395"/>
      <c r="D599" s="395"/>
      <c r="E599" s="395"/>
      <c r="F599" s="395"/>
      <c r="G599" s="395"/>
      <c r="H599" s="395"/>
      <c r="I599" s="395"/>
      <c r="J599" s="441"/>
      <c r="K599" s="395"/>
      <c r="L599" s="442" t="str">
        <f t="shared" si="2"/>
        <v/>
      </c>
      <c r="M599" s="395"/>
      <c r="N599" s="442" t="str">
        <f t="shared" si="3"/>
        <v/>
      </c>
      <c r="O599" s="395"/>
      <c r="P599" s="395"/>
      <c r="Q599" s="395"/>
      <c r="R599" s="395"/>
      <c r="S599" s="395"/>
      <c r="T599" s="395"/>
      <c r="U599" s="395"/>
      <c r="V599" s="395"/>
      <c r="W599" s="395"/>
      <c r="X599" s="395"/>
      <c r="Y599" s="395"/>
      <c r="Z599" s="395"/>
      <c r="AA599" s="395"/>
    </row>
    <row r="600" ht="15.75" customHeight="1">
      <c r="A600" s="395"/>
      <c r="B600" s="395"/>
      <c r="C600" s="395"/>
      <c r="D600" s="395"/>
      <c r="E600" s="395"/>
      <c r="F600" s="395"/>
      <c r="G600" s="395"/>
      <c r="H600" s="395"/>
      <c r="I600" s="395"/>
      <c r="J600" s="441"/>
      <c r="K600" s="395"/>
      <c r="L600" s="442" t="str">
        <f t="shared" si="2"/>
        <v/>
      </c>
      <c r="M600" s="395"/>
      <c r="N600" s="442" t="str">
        <f t="shared" si="3"/>
        <v/>
      </c>
      <c r="O600" s="395"/>
      <c r="P600" s="395"/>
      <c r="Q600" s="395"/>
      <c r="R600" s="395"/>
      <c r="S600" s="395"/>
      <c r="T600" s="395"/>
      <c r="U600" s="395"/>
      <c r="V600" s="395"/>
      <c r="W600" s="395"/>
      <c r="X600" s="395"/>
      <c r="Y600" s="395"/>
      <c r="Z600" s="395"/>
      <c r="AA600" s="395"/>
    </row>
    <row r="601" ht="15.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c r="AA601" s="395"/>
    </row>
    <row r="602" ht="15.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c r="AA602" s="395"/>
    </row>
    <row r="603" ht="15.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c r="AA603" s="395"/>
    </row>
    <row r="604" ht="15.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c r="AA604" s="395"/>
    </row>
    <row r="605" ht="15.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c r="AA605" s="395"/>
    </row>
    <row r="606" ht="15.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c r="AA606" s="395"/>
    </row>
    <row r="607" ht="15.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c r="AA607" s="395"/>
    </row>
    <row r="608" ht="15.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c r="AA608" s="395"/>
    </row>
    <row r="609" ht="15.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c r="AA609" s="395"/>
    </row>
    <row r="610" ht="15.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c r="AA610" s="395"/>
    </row>
    <row r="611" ht="15.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c r="AA611" s="395"/>
    </row>
    <row r="612" ht="15.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c r="AA612" s="395"/>
    </row>
    <row r="613" ht="15.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c r="AA613" s="395"/>
    </row>
    <row r="614" ht="15.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c r="AA614" s="395"/>
    </row>
    <row r="615" ht="15.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c r="AA615" s="395"/>
    </row>
    <row r="616" ht="15.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c r="AA616" s="395"/>
    </row>
    <row r="617" ht="15.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c r="AA617" s="395"/>
    </row>
    <row r="618" ht="15.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c r="AA618" s="395"/>
    </row>
    <row r="619" ht="15.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c r="AA619" s="395"/>
    </row>
    <row r="620" ht="15.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c r="AA620" s="395"/>
    </row>
    <row r="621" ht="15.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c r="AA621" s="395"/>
    </row>
    <row r="622" ht="15.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c r="AA622" s="395"/>
    </row>
    <row r="623" ht="15.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c r="AA623" s="395"/>
    </row>
    <row r="624" ht="15.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c r="AA624" s="395"/>
    </row>
    <row r="625" ht="15.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c r="AA625" s="395"/>
    </row>
    <row r="626" ht="15.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c r="AA626" s="395"/>
    </row>
    <row r="627" ht="15.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c r="AA627" s="395"/>
    </row>
    <row r="628" ht="15.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c r="AA628" s="395"/>
    </row>
    <row r="629" ht="15.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c r="AA629" s="395"/>
    </row>
    <row r="630" ht="15.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c r="AA630" s="395"/>
    </row>
    <row r="631" ht="15.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c r="AA631" s="395"/>
    </row>
    <row r="632" ht="15.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c r="AA632" s="395"/>
    </row>
    <row r="633" ht="15.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c r="AA633" s="395"/>
    </row>
    <row r="634" ht="15.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c r="AA634" s="395"/>
    </row>
    <row r="635" ht="15.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c r="AA635" s="395"/>
    </row>
    <row r="636" ht="15.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c r="AA636" s="395"/>
    </row>
    <row r="637" ht="15.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c r="AA637" s="395"/>
    </row>
    <row r="638" ht="15.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c r="AA638" s="395"/>
    </row>
    <row r="639" ht="15.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c r="AA639" s="395"/>
    </row>
    <row r="640" ht="15.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c r="AA640" s="395"/>
    </row>
    <row r="641" ht="15.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c r="AA641" s="395"/>
    </row>
    <row r="642" ht="15.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c r="AA642" s="395"/>
    </row>
    <row r="643" ht="15.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c r="AA643" s="395"/>
    </row>
    <row r="644" ht="15.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c r="AA644" s="395"/>
    </row>
    <row r="645" ht="15.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c r="AA645" s="395"/>
    </row>
    <row r="646" ht="15.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c r="AA646" s="395"/>
    </row>
    <row r="647" ht="15.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c r="AA647" s="395"/>
    </row>
    <row r="648" ht="15.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c r="AA648" s="395"/>
    </row>
    <row r="649" ht="15.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c r="AA649" s="395"/>
    </row>
    <row r="650" ht="15.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c r="AA650" s="395"/>
    </row>
    <row r="651" ht="15.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c r="AA651" s="395"/>
    </row>
    <row r="652" ht="15.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c r="AA652" s="395"/>
    </row>
    <row r="653" ht="15.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c r="AA653" s="395"/>
    </row>
    <row r="654" ht="15.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c r="AA654" s="395"/>
    </row>
    <row r="655" ht="15.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c r="AA655" s="395"/>
    </row>
    <row r="656" ht="15.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c r="AA656" s="395"/>
    </row>
    <row r="657" ht="15.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c r="AA657" s="395"/>
    </row>
    <row r="658" ht="15.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c r="AA658" s="395"/>
    </row>
    <row r="659" ht="15.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c r="AA659" s="395"/>
    </row>
    <row r="660" ht="15.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c r="AA660" s="395"/>
    </row>
    <row r="661" ht="15.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c r="AA661" s="395"/>
    </row>
    <row r="662" ht="15.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c r="AA662" s="395"/>
    </row>
    <row r="663" ht="15.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c r="AA663" s="395"/>
    </row>
    <row r="664" ht="15.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c r="AA664" s="395"/>
    </row>
    <row r="665" ht="15.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c r="AA665" s="395"/>
    </row>
    <row r="666" ht="15.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c r="AA666" s="395"/>
    </row>
    <row r="667" ht="15.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c r="AA667" s="395"/>
    </row>
    <row r="668" ht="15.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c r="AA668" s="395"/>
    </row>
    <row r="669" ht="15.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c r="AA669" s="395"/>
    </row>
    <row r="670" ht="15.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c r="AA670" s="395"/>
    </row>
    <row r="671" ht="15.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c r="AA671" s="395"/>
    </row>
    <row r="672" ht="15.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c r="AA672" s="395"/>
    </row>
    <row r="673" ht="15.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c r="AA673" s="395"/>
    </row>
    <row r="674" ht="15.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c r="AA674" s="395"/>
    </row>
    <row r="675" ht="15.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c r="AA675" s="395"/>
    </row>
    <row r="676" ht="15.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c r="AA676" s="395"/>
    </row>
    <row r="677" ht="15.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c r="AA677" s="395"/>
    </row>
    <row r="678" ht="15.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c r="AA678" s="395"/>
    </row>
    <row r="679" ht="15.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c r="AA679" s="395"/>
    </row>
    <row r="680" ht="15.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c r="AA680" s="395"/>
    </row>
    <row r="681" ht="15.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c r="AA681" s="395"/>
    </row>
    <row r="682" ht="15.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c r="AA682" s="395"/>
    </row>
    <row r="683" ht="15.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c r="AA683" s="395"/>
    </row>
    <row r="684" ht="15.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c r="AA684" s="395"/>
    </row>
    <row r="685" ht="15.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c r="AA685" s="395"/>
    </row>
    <row r="686" ht="15.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c r="AA686" s="395"/>
    </row>
    <row r="687" ht="15.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c r="AA687" s="395"/>
    </row>
    <row r="688" ht="15.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c r="AA688" s="395"/>
    </row>
    <row r="689" ht="15.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c r="AA689" s="395"/>
    </row>
    <row r="690" ht="15.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c r="AA690" s="395"/>
    </row>
    <row r="691" ht="15.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c r="AA691" s="395"/>
    </row>
    <row r="692" ht="15.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c r="AA692" s="395"/>
    </row>
    <row r="693" ht="15.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c r="AA693" s="395"/>
    </row>
    <row r="694" ht="15.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c r="AA694" s="395"/>
    </row>
    <row r="695" ht="15.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c r="AA695" s="395"/>
    </row>
    <row r="696" ht="15.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c r="AA696" s="395"/>
    </row>
    <row r="697" ht="15.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c r="AA697" s="395"/>
    </row>
    <row r="698" ht="15.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c r="AA698" s="395"/>
    </row>
    <row r="699" ht="15.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c r="AA699" s="395"/>
    </row>
    <row r="700" ht="15.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c r="AA700" s="395"/>
    </row>
    <row r="701" ht="15.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c r="AA701" s="395"/>
    </row>
    <row r="702" ht="15.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c r="AA702" s="395"/>
    </row>
    <row r="703" ht="15.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c r="AA703" s="395"/>
    </row>
    <row r="704" ht="15.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c r="AA704" s="395"/>
    </row>
    <row r="705" ht="15.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c r="AA705" s="395"/>
    </row>
    <row r="706" ht="15.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c r="AA706" s="395"/>
    </row>
    <row r="707" ht="15.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c r="AA707" s="395"/>
    </row>
    <row r="708" ht="15.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c r="AA708" s="395"/>
    </row>
    <row r="709" ht="15.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c r="AA709" s="395"/>
    </row>
    <row r="710" ht="15.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c r="AA710" s="395"/>
    </row>
    <row r="711" ht="15.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c r="AA711" s="395"/>
    </row>
    <row r="712" ht="15.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c r="AA712" s="395"/>
    </row>
    <row r="713" ht="15.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c r="AA713" s="395"/>
    </row>
    <row r="714" ht="15.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c r="AA714" s="395"/>
    </row>
    <row r="715" ht="15.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c r="AA715" s="395"/>
    </row>
    <row r="716" ht="15.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c r="AA716" s="395"/>
    </row>
    <row r="717" ht="15.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c r="AA717" s="395"/>
    </row>
    <row r="718" ht="15.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c r="AA718" s="395"/>
    </row>
    <row r="719" ht="15.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c r="AA719" s="395"/>
    </row>
    <row r="720" ht="15.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c r="AA720" s="395"/>
    </row>
    <row r="721" ht="15.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c r="AA721" s="395"/>
    </row>
    <row r="722" ht="15.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c r="AA722" s="395"/>
    </row>
    <row r="723" ht="15.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c r="AA723" s="395"/>
    </row>
    <row r="724" ht="15.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c r="AA724" s="395"/>
    </row>
    <row r="725" ht="15.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c r="AA725" s="395"/>
    </row>
    <row r="726" ht="15.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c r="AA726" s="395"/>
    </row>
    <row r="727" ht="15.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c r="AA727" s="395"/>
    </row>
    <row r="728" ht="15.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c r="AA728" s="395"/>
    </row>
    <row r="729" ht="15.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c r="AA729" s="395"/>
    </row>
    <row r="730" ht="15.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c r="AA730" s="395"/>
    </row>
    <row r="731" ht="15.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c r="AA731" s="395"/>
    </row>
    <row r="732" ht="15.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c r="AA732" s="395"/>
    </row>
    <row r="733" ht="15.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c r="AA733" s="395"/>
    </row>
    <row r="734" ht="15.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c r="AA734" s="395"/>
    </row>
    <row r="735" ht="15.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c r="AA735" s="395"/>
    </row>
    <row r="736" ht="15.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c r="AA736" s="395"/>
    </row>
    <row r="737" ht="15.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c r="AA737" s="395"/>
    </row>
    <row r="738" ht="15.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c r="AA738" s="395"/>
    </row>
    <row r="739" ht="15.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c r="AA739" s="395"/>
    </row>
    <row r="740" ht="15.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c r="AA740" s="395"/>
    </row>
    <row r="741" ht="15.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c r="AA741" s="395"/>
    </row>
    <row r="742" ht="15.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c r="AA742" s="395"/>
    </row>
    <row r="743" ht="15.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c r="AA743" s="395"/>
    </row>
    <row r="744" ht="15.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c r="AA744" s="395"/>
    </row>
    <row r="745" ht="15.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c r="AA745" s="395"/>
    </row>
    <row r="746" ht="15.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c r="AA746" s="395"/>
    </row>
    <row r="747" ht="15.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c r="AA747" s="395"/>
    </row>
    <row r="748" ht="15.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c r="AA748" s="395"/>
    </row>
    <row r="749" ht="15.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c r="AA749" s="395"/>
    </row>
    <row r="750" ht="15.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c r="AA750" s="395"/>
    </row>
    <row r="751" ht="15.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c r="AA751" s="395"/>
    </row>
    <row r="752" ht="15.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c r="AA752" s="395"/>
    </row>
    <row r="753" ht="15.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c r="AA753" s="395"/>
    </row>
    <row r="754" ht="15.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c r="AA754" s="395"/>
    </row>
    <row r="755" ht="15.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c r="AA755" s="395"/>
    </row>
    <row r="756" ht="15.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c r="AA756" s="395"/>
    </row>
    <row r="757" ht="15.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c r="AA757" s="395"/>
    </row>
    <row r="758" ht="15.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c r="AA758" s="395"/>
    </row>
    <row r="759" ht="15.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c r="AA759" s="395"/>
    </row>
    <row r="760" ht="15.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c r="AA760" s="395"/>
    </row>
    <row r="761" ht="15.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c r="AA761" s="395"/>
    </row>
    <row r="762" ht="15.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c r="AA762" s="395"/>
    </row>
    <row r="763" ht="15.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c r="AA763" s="395"/>
    </row>
    <row r="764" ht="15.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c r="AA764" s="395"/>
    </row>
    <row r="765" ht="15.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c r="AA765" s="395"/>
    </row>
    <row r="766" ht="15.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c r="AA766" s="395"/>
    </row>
    <row r="767" ht="15.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c r="AA767" s="395"/>
    </row>
    <row r="768" ht="15.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c r="AA768" s="395"/>
    </row>
    <row r="769" ht="15.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c r="AA769" s="395"/>
    </row>
    <row r="770" ht="15.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c r="AA770" s="395"/>
    </row>
    <row r="771" ht="15.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c r="AA771" s="395"/>
    </row>
    <row r="772" ht="15.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c r="AA772" s="395"/>
    </row>
    <row r="773" ht="15.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c r="AA773" s="395"/>
    </row>
    <row r="774" ht="15.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c r="AA774" s="395"/>
    </row>
    <row r="775" ht="15.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c r="AA775" s="395"/>
    </row>
    <row r="776" ht="15.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c r="AA776" s="395"/>
    </row>
    <row r="777" ht="15.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c r="AA777" s="395"/>
    </row>
    <row r="778" ht="15.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c r="AA778" s="395"/>
    </row>
    <row r="779" ht="15.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c r="AA779" s="395"/>
    </row>
    <row r="780" ht="15.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c r="AA780" s="395"/>
    </row>
    <row r="781" ht="15.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c r="AA781" s="395"/>
    </row>
    <row r="782" ht="15.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c r="AA782" s="395"/>
    </row>
    <row r="783" ht="15.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c r="AA783" s="395"/>
    </row>
    <row r="784" ht="15.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c r="AA784" s="395"/>
    </row>
    <row r="785" ht="15.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c r="AA785" s="395"/>
    </row>
    <row r="786" ht="15.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c r="AA786" s="395"/>
    </row>
    <row r="787" ht="15.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c r="AA787" s="395"/>
    </row>
    <row r="788" ht="15.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c r="AA788" s="395"/>
    </row>
    <row r="789" ht="15.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c r="AA789" s="395"/>
    </row>
    <row r="790" ht="15.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c r="AA790" s="395"/>
    </row>
    <row r="791" ht="15.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c r="AA791" s="395"/>
    </row>
    <row r="792" ht="15.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c r="AA792" s="395"/>
    </row>
    <row r="793" ht="15.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c r="AA793" s="395"/>
    </row>
    <row r="794" ht="15.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c r="AA794" s="395"/>
    </row>
    <row r="795" ht="15.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c r="AA795" s="395"/>
    </row>
    <row r="796" ht="15.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c r="AA796" s="395"/>
    </row>
    <row r="797" ht="15.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c r="AA797" s="395"/>
    </row>
    <row r="798" ht="15.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c r="AA798" s="395"/>
    </row>
    <row r="799" ht="15.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c r="AA799" s="395"/>
    </row>
    <row r="800" ht="15.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c r="AA800" s="395"/>
    </row>
    <row r="801" ht="15.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c r="AA801" s="395"/>
    </row>
    <row r="802" ht="15.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c r="AA802" s="395"/>
    </row>
    <row r="803" ht="15.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c r="AA803" s="395"/>
    </row>
    <row r="804" ht="15.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c r="AA804" s="395"/>
    </row>
    <row r="805" ht="15.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c r="AA805" s="395"/>
    </row>
    <row r="806" ht="15.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c r="AA806" s="395"/>
    </row>
    <row r="807" ht="15.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c r="AA807" s="395"/>
    </row>
    <row r="808" ht="15.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c r="AA808" s="395"/>
    </row>
    <row r="809" ht="15.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c r="AA809" s="395"/>
    </row>
    <row r="810" ht="15.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c r="AA810" s="395"/>
    </row>
    <row r="811" ht="15.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c r="AA811" s="395"/>
    </row>
    <row r="812" ht="15.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c r="AA812" s="395"/>
    </row>
    <row r="813" ht="15.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c r="AA813" s="395"/>
    </row>
    <row r="814" ht="15.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c r="AA814" s="395"/>
    </row>
    <row r="815" ht="15.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c r="AA815" s="395"/>
    </row>
    <row r="816" ht="15.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c r="AA816" s="395"/>
    </row>
    <row r="817" ht="15.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c r="AA817" s="395"/>
    </row>
    <row r="818" ht="15.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c r="AA818" s="395"/>
    </row>
    <row r="819" ht="15.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c r="AA819" s="395"/>
    </row>
    <row r="820" ht="15.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c r="AA820" s="395"/>
    </row>
    <row r="821" ht="15.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c r="AA821" s="395"/>
    </row>
    <row r="822" ht="15.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c r="AA822" s="395"/>
    </row>
    <row r="823" ht="15.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c r="AA823" s="395"/>
    </row>
    <row r="824" ht="15.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c r="AA824" s="395"/>
    </row>
    <row r="825" ht="15.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c r="AA825" s="395"/>
    </row>
    <row r="826" ht="15.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c r="AA826" s="395"/>
    </row>
    <row r="827" ht="15.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c r="AA827" s="395"/>
    </row>
    <row r="828" ht="15.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c r="AA828" s="395"/>
    </row>
    <row r="829" ht="15.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c r="AA829" s="395"/>
    </row>
    <row r="830" ht="15.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c r="AA830" s="395"/>
    </row>
    <row r="831" ht="15.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c r="AA831" s="395"/>
    </row>
    <row r="832" ht="15.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c r="AA832" s="395"/>
    </row>
    <row r="833" ht="15.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c r="AA833" s="395"/>
    </row>
    <row r="834" ht="15.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c r="AA834" s="395"/>
    </row>
    <row r="835" ht="15.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c r="AA835" s="395"/>
    </row>
    <row r="836" ht="15.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c r="AA836" s="395"/>
    </row>
    <row r="837" ht="15.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c r="AA837" s="395"/>
    </row>
    <row r="838" ht="15.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c r="AA838" s="395"/>
    </row>
    <row r="839" ht="15.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c r="AA839" s="395"/>
    </row>
    <row r="840" ht="15.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c r="AA840" s="395"/>
    </row>
    <row r="841" ht="15.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c r="AA841" s="395"/>
    </row>
    <row r="842" ht="15.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c r="AA842" s="395"/>
    </row>
    <row r="843" ht="15.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c r="AA843" s="395"/>
    </row>
    <row r="844" ht="15.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c r="AA844" s="395"/>
    </row>
    <row r="845" ht="15.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c r="AA845" s="395"/>
    </row>
    <row r="846" ht="15.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c r="AA846" s="395"/>
    </row>
    <row r="847" ht="15.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c r="AA847" s="395"/>
    </row>
    <row r="848" ht="15.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c r="AA848" s="395"/>
    </row>
    <row r="849" ht="15.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c r="AA849" s="395"/>
    </row>
    <row r="850" ht="15.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c r="AA850" s="395"/>
    </row>
    <row r="851" ht="15.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c r="AA851" s="395"/>
    </row>
    <row r="852" ht="15.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c r="AA852" s="395"/>
    </row>
    <row r="853" ht="15.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c r="AA853" s="395"/>
    </row>
    <row r="854" ht="15.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c r="AA854" s="395"/>
    </row>
    <row r="855" ht="15.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c r="AA855" s="395"/>
    </row>
    <row r="856" ht="15.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c r="AA856" s="395"/>
    </row>
    <row r="857" ht="15.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c r="AA857" s="395"/>
    </row>
    <row r="858" ht="15.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c r="AA858" s="395"/>
    </row>
    <row r="859" ht="15.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c r="AA859" s="395"/>
    </row>
    <row r="860" ht="15.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c r="AA860" s="395"/>
    </row>
    <row r="861" ht="15.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c r="AA861" s="395"/>
    </row>
    <row r="862" ht="15.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c r="AA862" s="395"/>
    </row>
    <row r="863" ht="15.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c r="AA863" s="395"/>
    </row>
    <row r="864" ht="15.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c r="AA864" s="395"/>
    </row>
    <row r="865" ht="15.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c r="AA865" s="395"/>
    </row>
    <row r="866" ht="15.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c r="AA866" s="395"/>
    </row>
    <row r="867" ht="15.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c r="AA867" s="395"/>
    </row>
    <row r="868" ht="15.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c r="AA868" s="395"/>
    </row>
    <row r="869" ht="15.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c r="AA869" s="395"/>
    </row>
    <row r="870" ht="15.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c r="AA870" s="395"/>
    </row>
    <row r="871" ht="15.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c r="AA871" s="395"/>
    </row>
    <row r="872" ht="15.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c r="AA872" s="395"/>
    </row>
    <row r="873" ht="15.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c r="AA873" s="395"/>
    </row>
    <row r="874" ht="15.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c r="AA874" s="395"/>
    </row>
    <row r="875" ht="15.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c r="AA875" s="395"/>
    </row>
    <row r="876" ht="15.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c r="AA876" s="395"/>
    </row>
    <row r="877" ht="15.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c r="AA877" s="395"/>
    </row>
    <row r="878" ht="15.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c r="AA878" s="395"/>
    </row>
    <row r="879" ht="15.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c r="AA879" s="395"/>
    </row>
    <row r="880" ht="15.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c r="AA880" s="395"/>
    </row>
    <row r="881" ht="15.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c r="AA881" s="395"/>
    </row>
    <row r="882" ht="15.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c r="AA882" s="395"/>
    </row>
    <row r="883" ht="15.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c r="AA883" s="395"/>
    </row>
    <row r="884" ht="15.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c r="AA884" s="395"/>
    </row>
    <row r="885" ht="15.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c r="AA885" s="395"/>
    </row>
    <row r="886" ht="15.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c r="AA886" s="395"/>
    </row>
    <row r="887" ht="15.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c r="AA887" s="395"/>
    </row>
    <row r="888" ht="15.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c r="AA888" s="395"/>
    </row>
    <row r="889" ht="15.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c r="AA889" s="395"/>
    </row>
    <row r="890" ht="15.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c r="AA890" s="395"/>
    </row>
    <row r="891" ht="15.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c r="AA891" s="395"/>
    </row>
    <row r="892" ht="15.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c r="AA892" s="395"/>
    </row>
    <row r="893" ht="15.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c r="AA893" s="395"/>
    </row>
    <row r="894" ht="15.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c r="AA894" s="395"/>
    </row>
    <row r="895" ht="15.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c r="AA895" s="395"/>
    </row>
    <row r="896" ht="15.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c r="AA896" s="395"/>
    </row>
    <row r="897" ht="15.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c r="AA897" s="395"/>
    </row>
    <row r="898" ht="15.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c r="AA898" s="395"/>
    </row>
    <row r="899" ht="15.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c r="AA899" s="395"/>
    </row>
    <row r="900" ht="15.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c r="AA900" s="395"/>
    </row>
    <row r="901" ht="15.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c r="AA901" s="395"/>
    </row>
    <row r="902" ht="15.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c r="AA902" s="395"/>
    </row>
    <row r="903" ht="15.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c r="AA903" s="395"/>
    </row>
    <row r="904" ht="15.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c r="AA904" s="395"/>
    </row>
    <row r="905" ht="15.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c r="AA905" s="395"/>
    </row>
    <row r="906" ht="15.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c r="AA906" s="395"/>
    </row>
    <row r="907" ht="15.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c r="AA907" s="395"/>
    </row>
    <row r="908" ht="15.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c r="AA908" s="395"/>
    </row>
    <row r="909" ht="15.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c r="AA909" s="395"/>
    </row>
    <row r="910" ht="15.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c r="AA910" s="395"/>
    </row>
    <row r="911" ht="15.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c r="AA911" s="395"/>
    </row>
    <row r="912" ht="15.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c r="AA912" s="395"/>
    </row>
    <row r="913" ht="15.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c r="AA913" s="395"/>
    </row>
    <row r="914" ht="15.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c r="AA914" s="395"/>
    </row>
    <row r="915" ht="15.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c r="AA915" s="395"/>
    </row>
    <row r="916" ht="15.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c r="AA916" s="395"/>
    </row>
    <row r="917" ht="15.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c r="AA917" s="395"/>
    </row>
    <row r="918" ht="15.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c r="AA918" s="395"/>
    </row>
    <row r="919" ht="15.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c r="AA919" s="395"/>
    </row>
    <row r="920" ht="15.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c r="AA920" s="395"/>
    </row>
    <row r="921" ht="15.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c r="AA921" s="395"/>
    </row>
    <row r="922" ht="15.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c r="AA922" s="395"/>
    </row>
    <row r="923" ht="15.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c r="AA923" s="395"/>
    </row>
    <row r="924" ht="15.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c r="AA924" s="395"/>
    </row>
    <row r="925" ht="15.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c r="AA925" s="395"/>
    </row>
    <row r="926" ht="15.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c r="AA926" s="395"/>
    </row>
    <row r="927" ht="15.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c r="AA927" s="395"/>
    </row>
    <row r="928" ht="15.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c r="AA928" s="395"/>
    </row>
    <row r="929" ht="15.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c r="AA929" s="395"/>
    </row>
    <row r="930" ht="15.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c r="AA930" s="395"/>
    </row>
    <row r="931" ht="15.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c r="AA931" s="395"/>
    </row>
    <row r="932" ht="15.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c r="AA932" s="395"/>
    </row>
    <row r="933" ht="15.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c r="AA933" s="395"/>
    </row>
    <row r="934" ht="15.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c r="AA934" s="395"/>
    </row>
    <row r="935" ht="15.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c r="AA935" s="395"/>
    </row>
    <row r="936" ht="15.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c r="AA936" s="395"/>
    </row>
    <row r="937" ht="15.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c r="AA937" s="395"/>
    </row>
    <row r="938" ht="15.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c r="AA938" s="395"/>
    </row>
    <row r="939" ht="15.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c r="AA939" s="395"/>
    </row>
    <row r="940" ht="15.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c r="AA940" s="395"/>
    </row>
    <row r="941" ht="15.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c r="AA941" s="395"/>
    </row>
    <row r="942" ht="15.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c r="AA942" s="395"/>
    </row>
    <row r="943" ht="15.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c r="AA943" s="395"/>
    </row>
    <row r="944" ht="15.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c r="AA944" s="395"/>
    </row>
    <row r="945" ht="15.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c r="AA945" s="395"/>
    </row>
    <row r="946" ht="15.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c r="AA946" s="395"/>
    </row>
    <row r="947" ht="15.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c r="AA947" s="395"/>
    </row>
    <row r="948" ht="15.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c r="AA948" s="395"/>
    </row>
    <row r="949" ht="15.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c r="AA949" s="395"/>
    </row>
    <row r="950" ht="15.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c r="AA950" s="395"/>
    </row>
    <row r="951" ht="15.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c r="AA951" s="395"/>
    </row>
    <row r="952" ht="15.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c r="AA952" s="395"/>
    </row>
    <row r="953" ht="15.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c r="AA953" s="395"/>
    </row>
    <row r="954" ht="15.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c r="AA954" s="395"/>
    </row>
    <row r="955" ht="15.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c r="AA955" s="395"/>
    </row>
    <row r="956" ht="15.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c r="AA956" s="395"/>
    </row>
    <row r="957" ht="15.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c r="AA957" s="395"/>
    </row>
    <row r="958" ht="15.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c r="AA958" s="395"/>
    </row>
    <row r="959" ht="15.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c r="AA959" s="395"/>
    </row>
    <row r="960" ht="15.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c r="AA960" s="395"/>
    </row>
    <row r="961" ht="15.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c r="AA961" s="395"/>
    </row>
    <row r="962" ht="15.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c r="AA962" s="395"/>
    </row>
    <row r="963" ht="15.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c r="AA963" s="395"/>
    </row>
    <row r="964" ht="15.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c r="AA964" s="395"/>
    </row>
    <row r="965" ht="15.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c r="AA965" s="395"/>
    </row>
    <row r="966" ht="15.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c r="AA966" s="395"/>
    </row>
    <row r="967" ht="15.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c r="AA967" s="395"/>
    </row>
    <row r="968" ht="15.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c r="AA968" s="395"/>
    </row>
    <row r="969" ht="15.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c r="AA969" s="395"/>
    </row>
    <row r="970" ht="15.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c r="AA970" s="395"/>
    </row>
    <row r="971" ht="15.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c r="AA971" s="395"/>
    </row>
    <row r="972" ht="15.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c r="AA972" s="395"/>
    </row>
    <row r="973" ht="15.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c r="AA973" s="395"/>
    </row>
    <row r="974" ht="15.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c r="AA974" s="395"/>
    </row>
    <row r="975" ht="15.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c r="AA975" s="395"/>
    </row>
    <row r="976" ht="15.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c r="AA976" s="395"/>
    </row>
    <row r="977" ht="15.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c r="AA977" s="395"/>
    </row>
    <row r="978" ht="15.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c r="AA978" s="395"/>
    </row>
    <row r="979" ht="15.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c r="AA979" s="395"/>
    </row>
    <row r="980" ht="15.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c r="AA980" s="395"/>
    </row>
    <row r="981" ht="15.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c r="AA981" s="395"/>
    </row>
    <row r="982" ht="15.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c r="AA982" s="395"/>
    </row>
    <row r="983" ht="15.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c r="AA983" s="395"/>
    </row>
    <row r="984" ht="15.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c r="AA984" s="395"/>
    </row>
    <row r="985" ht="15.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c r="AA985" s="395"/>
    </row>
    <row r="986" ht="15.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c r="AA986" s="395"/>
    </row>
    <row r="987" ht="15.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c r="AA987" s="395"/>
    </row>
    <row r="988" ht="15.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c r="AA988" s="395"/>
    </row>
    <row r="989" ht="15.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c r="AA989" s="395"/>
    </row>
    <row r="990" ht="15.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c r="AA990" s="395"/>
    </row>
    <row r="991" ht="15.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c r="AA991" s="395"/>
    </row>
    <row r="992" ht="15.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c r="AA992" s="395"/>
    </row>
    <row r="993" ht="15.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c r="AA993" s="395"/>
    </row>
    <row r="994" ht="15.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c r="AA994" s="395"/>
    </row>
    <row r="995" ht="15.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c r="AA995" s="395"/>
    </row>
    <row r="996" ht="15.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c r="AA996" s="395"/>
    </row>
    <row r="997" ht="15.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c r="AA997" s="395"/>
    </row>
    <row r="998" ht="15.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c r="AA998" s="395"/>
    </row>
    <row r="999" ht="15.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c r="AA999" s="395"/>
    </row>
    <row r="1000" ht="15.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c r="AA1000" s="395"/>
    </row>
  </sheetData>
  <autoFilter ref="$A$7:$V$600"/>
  <mergeCells count="15">
    <mergeCell ref="I5:K5"/>
    <mergeCell ref="L5:N5"/>
    <mergeCell ref="A6:B6"/>
    <mergeCell ref="C6:D6"/>
    <mergeCell ref="E6:F6"/>
    <mergeCell ref="G6:H6"/>
    <mergeCell ref="I6:K6"/>
    <mergeCell ref="L6:N6"/>
    <mergeCell ref="A1:C2"/>
    <mergeCell ref="D1:V1"/>
    <mergeCell ref="D2:V2"/>
    <mergeCell ref="A5:B5"/>
    <mergeCell ref="C5:D5"/>
    <mergeCell ref="E5:F5"/>
    <mergeCell ref="G5:H5"/>
  </mergeCells>
  <conditionalFormatting sqref="R8:R400">
    <cfRule type="cellIs" dxfId="21" priority="1" operator="equal">
      <formula>"Pago"</formula>
    </cfRule>
  </conditionalFormatting>
  <conditionalFormatting sqref="R8:R400">
    <cfRule type="cellIs" dxfId="15" priority="2" operator="equal">
      <formula>"Aprovado"</formula>
    </cfRule>
  </conditionalFormatting>
  <conditionalFormatting sqref="R8:R400">
    <cfRule type="cellIs" dxfId="20" priority="3" operator="equal">
      <formula>"A pagar"</formula>
    </cfRule>
  </conditionalFormatting>
  <conditionalFormatting sqref="R8:R400">
    <cfRule type="cellIs" dxfId="26" priority="4" operator="equal">
      <formula>"Aguardando aprovação"</formula>
    </cfRule>
  </conditionalFormatting>
  <conditionalFormatting sqref="R8:R400">
    <cfRule type="cellIs" dxfId="14" priority="5" operator="equal">
      <formula>"Recusado"</formula>
    </cfRule>
  </conditionalFormatting>
  <conditionalFormatting sqref="R8:R400">
    <cfRule type="cellIs" dxfId="27" priority="6" operator="equal">
      <formula>"Cancelado"</formula>
    </cfRule>
  </conditionalFormatting>
  <conditionalFormatting sqref="A8:A400">
    <cfRule type="cellIs" dxfId="15" priority="7" operator="equal">
      <formula>"Medição"</formula>
    </cfRule>
  </conditionalFormatting>
  <conditionalFormatting sqref="A8:A400">
    <cfRule type="cellIs" dxfId="28" priority="8" operator="equal">
      <formula>"Material"</formula>
    </cfRule>
  </conditionalFormatting>
  <conditionalFormatting sqref="A8:A400">
    <cfRule type="cellIs" dxfId="14" priority="9" operator="equal">
      <formula>"Equipamento"</formula>
    </cfRule>
  </conditionalFormatting>
  <conditionalFormatting sqref="A8:A400">
    <cfRule type="cellIs" dxfId="29" priority="10" operator="equal">
      <formula>"Ferramenta"</formula>
    </cfRule>
  </conditionalFormatting>
  <conditionalFormatting sqref="A8:A400">
    <cfRule type="cellIs" dxfId="19" priority="11" operator="equal">
      <formula>"Imposto"</formula>
    </cfRule>
  </conditionalFormatting>
  <conditionalFormatting sqref="A8:A400">
    <cfRule type="cellIs" dxfId="30" priority="12" operator="equal">
      <formula>"Taxa"</formula>
    </cfRule>
  </conditionalFormatting>
  <conditionalFormatting sqref="A8:A400">
    <cfRule type="cellIs" dxfId="31" priority="13" operator="equal">
      <formula>"Salário"</formula>
    </cfRule>
  </conditionalFormatting>
  <conditionalFormatting sqref="A8:A400">
    <cfRule type="cellIs" dxfId="31" priority="14" operator="equal">
      <formula>"Pró-labore"</formula>
    </cfRule>
  </conditionalFormatting>
  <conditionalFormatting sqref="A8:A400">
    <cfRule type="cellIs" dxfId="19" priority="15" operator="equal">
      <formula>"INSS"</formula>
    </cfRule>
  </conditionalFormatting>
  <conditionalFormatting sqref="A8:A400">
    <cfRule type="cellIs" dxfId="19" priority="16" operator="equal">
      <formula>"FGTS"</formula>
    </cfRule>
  </conditionalFormatting>
  <conditionalFormatting sqref="A8:A400">
    <cfRule type="cellIs" dxfId="29" priority="17" operator="equal">
      <formula>"Aluguel"</formula>
    </cfRule>
  </conditionalFormatting>
  <conditionalFormatting sqref="A8:A400">
    <cfRule type="cellIs" dxfId="26" priority="18" operator="equal">
      <formula>"Outro"</formula>
    </cfRule>
  </conditionalFormatting>
  <dataValidations>
    <dataValidation type="list" allowBlank="1" sqref="A8:A400">
      <formula1>"Medição,Material,Equipamento,Ferramenta,Imposto,Taxa,Salário,Pró-labore,INSS,FGTS,Aluguel,Outro"</formula1>
    </dataValidation>
    <dataValidation type="date" operator="greaterThanOrEqual" allowBlank="1" sqref="F8:F400 O8:O400 S8:S400">
      <formula1>1900-1-1</formula1>
    </dataValidation>
    <dataValidation type="list" allowBlank="1" sqref="B8:B300">
      <formula1>Fornecedores!$B$8:$B$200</formula1>
    </dataValidation>
    <dataValidation type="list" allowBlank="1" sqref="P8:P400">
      <formula1>"PIX,TED,DOC,Boleto,Dinheiro,Cheque,Cartão"</formula1>
    </dataValidation>
    <dataValidation type="list" allowBlank="1" sqref="R8:R400">
      <formula1>"Aguardando aprovação,Aprovado,A pagar,Pago,Recusado,Cancelado"</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1.57"/>
    <col customWidth="1" min="2" max="2" width="103.0"/>
    <col customWidth="1" min="3" max="26" width="8.71"/>
  </cols>
  <sheetData>
    <row r="1" ht="30.0" customHeight="1">
      <c r="A1" s="443" t="s">
        <v>1838</v>
      </c>
      <c r="E1" s="444"/>
      <c r="F1" s="444"/>
    </row>
    <row r="2" ht="21.75" customHeight="1">
      <c r="A2" s="444"/>
      <c r="B2" s="444"/>
      <c r="C2" s="444"/>
      <c r="D2" s="444"/>
      <c r="E2" s="444"/>
      <c r="F2" s="444"/>
    </row>
    <row r="3" ht="3.75" customHeight="1">
      <c r="A3" s="445" t="s">
        <v>1839</v>
      </c>
      <c r="B3" s="446" t="s">
        <v>1840</v>
      </c>
      <c r="C3" s="444"/>
      <c r="D3" s="444"/>
      <c r="E3" s="444"/>
      <c r="F3" s="444"/>
    </row>
    <row r="4" ht="21.75" customHeight="1">
      <c r="A4" s="445" t="s">
        <v>1841</v>
      </c>
      <c r="B4" s="446" t="s">
        <v>1842</v>
      </c>
    </row>
    <row r="5" ht="28.5" customHeight="1">
      <c r="A5" s="445" t="s">
        <v>1843</v>
      </c>
      <c r="B5" s="446" t="s">
        <v>1844</v>
      </c>
    </row>
    <row r="6" ht="21.75" customHeight="1">
      <c r="A6" s="445" t="s">
        <v>1845</v>
      </c>
      <c r="B6" s="446" t="s">
        <v>1846</v>
      </c>
    </row>
    <row r="7" ht="19.5" customHeight="1">
      <c r="A7" s="445" t="s">
        <v>1847</v>
      </c>
      <c r="B7" s="446" t="s">
        <v>1848</v>
      </c>
    </row>
    <row r="8">
      <c r="A8" s="445" t="s">
        <v>1849</v>
      </c>
      <c r="B8" s="446" t="s">
        <v>1850</v>
      </c>
    </row>
    <row r="9" ht="19.5" customHeight="1">
      <c r="A9" s="445" t="s">
        <v>1851</v>
      </c>
      <c r="B9" s="446" t="s">
        <v>1852</v>
      </c>
    </row>
    <row r="10" ht="21.75" customHeight="1">
      <c r="A10" s="445" t="s">
        <v>1853</v>
      </c>
      <c r="B10" s="446" t="s">
        <v>1854</v>
      </c>
    </row>
    <row r="11" ht="19.5" customHeight="1">
      <c r="A11" s="445" t="s">
        <v>1855</v>
      </c>
      <c r="B11" s="446" t="s">
        <v>1856</v>
      </c>
    </row>
    <row r="12" ht="21.75" customHeight="1">
      <c r="A12" s="445" t="s">
        <v>1857</v>
      </c>
      <c r="B12" s="446" t="s">
        <v>1858</v>
      </c>
    </row>
    <row r="13" ht="41.25" customHeight="1">
      <c r="A13" s="445" t="s">
        <v>1859</v>
      </c>
      <c r="B13" s="446" t="s">
        <v>1860</v>
      </c>
    </row>
    <row r="14" ht="21.75" customHeight="1">
      <c r="A14" s="447" t="s">
        <v>1861</v>
      </c>
      <c r="B14" s="446" t="s">
        <v>1862</v>
      </c>
    </row>
    <row r="15" ht="19.5" customHeight="1">
      <c r="A15" s="445"/>
      <c r="B15" s="446"/>
    </row>
    <row r="16" ht="21.75" customHeight="1">
      <c r="A16" s="445"/>
      <c r="B16" s="446"/>
    </row>
    <row r="17" ht="19.5" customHeight="1">
      <c r="A17" s="445"/>
      <c r="B17" s="4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48" t="s">
        <v>36</v>
      </c>
      <c r="B1" s="448" t="s">
        <v>181</v>
      </c>
    </row>
    <row r="2">
      <c r="A2" s="449" t="s">
        <v>231</v>
      </c>
      <c r="B2" s="58" t="s">
        <v>40</v>
      </c>
    </row>
    <row r="3">
      <c r="A3" s="449" t="s">
        <v>49</v>
      </c>
      <c r="B3" s="58" t="s">
        <v>80</v>
      </c>
    </row>
    <row r="4">
      <c r="A4" s="449" t="s">
        <v>52</v>
      </c>
      <c r="B4" s="58" t="s">
        <v>41</v>
      </c>
    </row>
    <row r="5">
      <c r="A5" s="449" t="s">
        <v>55</v>
      </c>
      <c r="B5" s="58" t="s">
        <v>41</v>
      </c>
    </row>
    <row r="6">
      <c r="A6" s="449" t="s">
        <v>58</v>
      </c>
      <c r="B6" s="58" t="s">
        <v>41</v>
      </c>
    </row>
    <row r="7">
      <c r="A7" s="449" t="s">
        <v>61</v>
      </c>
      <c r="B7" s="58" t="s">
        <v>41</v>
      </c>
    </row>
    <row r="8">
      <c r="A8" s="449" t="s">
        <v>64</v>
      </c>
      <c r="B8" s="58" t="s">
        <v>41</v>
      </c>
    </row>
    <row r="9">
      <c r="A9" s="449" t="s">
        <v>66</v>
      </c>
      <c r="B9" s="58" t="s">
        <v>41</v>
      </c>
    </row>
    <row r="10">
      <c r="A10" s="449" t="s">
        <v>69</v>
      </c>
      <c r="B10" s="58" t="s">
        <v>41</v>
      </c>
    </row>
    <row r="11">
      <c r="A11" s="449" t="s">
        <v>72</v>
      </c>
      <c r="B11" s="58" t="s">
        <v>41</v>
      </c>
    </row>
    <row r="12">
      <c r="A12" s="449" t="s">
        <v>75</v>
      </c>
      <c r="B12" s="58" t="s">
        <v>41</v>
      </c>
    </row>
    <row r="13">
      <c r="A13" s="449" t="s">
        <v>78</v>
      </c>
      <c r="B13" s="58" t="s">
        <v>41</v>
      </c>
    </row>
    <row r="14">
      <c r="A14" s="449" t="s">
        <v>81</v>
      </c>
      <c r="B14" s="58" t="s">
        <v>41</v>
      </c>
    </row>
    <row r="15">
      <c r="A15" s="449" t="s">
        <v>83</v>
      </c>
      <c r="B15" s="58" t="s">
        <v>41</v>
      </c>
    </row>
    <row r="16">
      <c r="A16" s="449" t="s">
        <v>239</v>
      </c>
      <c r="B16" s="58" t="s">
        <v>51</v>
      </c>
    </row>
    <row r="17">
      <c r="A17" s="449" t="s">
        <v>283</v>
      </c>
      <c r="B17" s="58" t="s">
        <v>41</v>
      </c>
    </row>
    <row r="18">
      <c r="A18" s="449" t="s">
        <v>284</v>
      </c>
      <c r="B18" s="58" t="s">
        <v>41</v>
      </c>
    </row>
    <row r="19">
      <c r="A19" s="449" t="s">
        <v>286</v>
      </c>
      <c r="B19" s="58" t="s">
        <v>41</v>
      </c>
    </row>
    <row r="20">
      <c r="A20" s="449" t="s">
        <v>287</v>
      </c>
      <c r="B20" s="58" t="s">
        <v>41</v>
      </c>
    </row>
    <row r="21">
      <c r="A21" s="449" t="s">
        <v>288</v>
      </c>
      <c r="B21" s="58" t="s">
        <v>41</v>
      </c>
    </row>
    <row r="22">
      <c r="A22" s="449" t="s">
        <v>289</v>
      </c>
      <c r="B22" s="58" t="s">
        <v>41</v>
      </c>
    </row>
    <row r="23">
      <c r="A23" s="449" t="s">
        <v>291</v>
      </c>
      <c r="B23" s="58" t="s">
        <v>41</v>
      </c>
    </row>
    <row r="24">
      <c r="A24" s="449" t="s">
        <v>293</v>
      </c>
      <c r="B24" s="58" t="s">
        <v>41</v>
      </c>
    </row>
    <row r="25">
      <c r="A25" s="449" t="s">
        <v>295</v>
      </c>
      <c r="B25" s="58" t="s">
        <v>41</v>
      </c>
    </row>
    <row r="26">
      <c r="A26" s="449" t="s">
        <v>297</v>
      </c>
      <c r="B26" s="58" t="s">
        <v>41</v>
      </c>
    </row>
    <row r="27">
      <c r="A27" s="449" t="s">
        <v>299</v>
      </c>
      <c r="B27" s="58" t="s">
        <v>41</v>
      </c>
    </row>
    <row r="28">
      <c r="A28" s="449" t="s">
        <v>301</v>
      </c>
      <c r="B28" s="58" t="s">
        <v>41</v>
      </c>
    </row>
    <row r="29">
      <c r="A29" s="449" t="s">
        <v>109</v>
      </c>
      <c r="B29" s="58" t="s">
        <v>41</v>
      </c>
    </row>
    <row r="30">
      <c r="A30" s="449" t="s">
        <v>110</v>
      </c>
      <c r="B30" s="58" t="s">
        <v>60</v>
      </c>
    </row>
    <row r="31">
      <c r="A31" s="449" t="s">
        <v>111</v>
      </c>
      <c r="B31" s="58" t="s">
        <v>41</v>
      </c>
    </row>
    <row r="32">
      <c r="A32" s="449" t="s">
        <v>112</v>
      </c>
      <c r="B32" s="58" t="s">
        <v>68</v>
      </c>
    </row>
    <row r="33">
      <c r="A33" s="449" t="s">
        <v>113</v>
      </c>
      <c r="B33" s="58" t="s">
        <v>68</v>
      </c>
    </row>
    <row r="34">
      <c r="A34" s="449" t="s">
        <v>114</v>
      </c>
      <c r="B34" s="58" t="s">
        <v>41</v>
      </c>
    </row>
    <row r="35">
      <c r="A35" s="449" t="s">
        <v>115</v>
      </c>
      <c r="B35" s="58" t="s">
        <v>41</v>
      </c>
    </row>
    <row r="36">
      <c r="A36" s="449" t="s">
        <v>116</v>
      </c>
      <c r="B36" s="58" t="s">
        <v>48</v>
      </c>
    </row>
    <row r="37">
      <c r="A37" s="449" t="s">
        <v>117</v>
      </c>
      <c r="B37" s="58" t="s">
        <v>48</v>
      </c>
    </row>
    <row r="38">
      <c r="A38" s="449" t="s">
        <v>118</v>
      </c>
      <c r="B38" s="58" t="s">
        <v>48</v>
      </c>
    </row>
    <row r="39">
      <c r="A39" s="449" t="s">
        <v>119</v>
      </c>
      <c r="B39" s="58" t="s">
        <v>48</v>
      </c>
    </row>
    <row r="40">
      <c r="A40" s="449" t="s">
        <v>120</v>
      </c>
      <c r="B40" s="58" t="s">
        <v>51</v>
      </c>
    </row>
    <row r="41">
      <c r="A41" s="449" t="s">
        <v>121</v>
      </c>
      <c r="B41" s="58" t="s">
        <v>51</v>
      </c>
    </row>
    <row r="42">
      <c r="A42" s="449" t="s">
        <v>122</v>
      </c>
      <c r="B42" s="58" t="s">
        <v>51</v>
      </c>
    </row>
    <row r="43">
      <c r="A43" s="449" t="s">
        <v>123</v>
      </c>
      <c r="B43" s="58" t="s">
        <v>51</v>
      </c>
    </row>
    <row r="44">
      <c r="A44" s="449" t="s">
        <v>124</v>
      </c>
      <c r="B44" s="58" t="s">
        <v>63</v>
      </c>
    </row>
    <row r="45">
      <c r="A45" s="449" t="s">
        <v>125</v>
      </c>
      <c r="B45" s="58" t="s">
        <v>63</v>
      </c>
    </row>
    <row r="46">
      <c r="A46" s="449" t="s">
        <v>126</v>
      </c>
      <c r="B46" s="58" t="s">
        <v>63</v>
      </c>
    </row>
    <row r="47">
      <c r="A47" s="449" t="s">
        <v>127</v>
      </c>
      <c r="B47" s="58" t="s">
        <v>65</v>
      </c>
    </row>
    <row r="48">
      <c r="A48" s="449" t="s">
        <v>128</v>
      </c>
      <c r="B48" s="58" t="s">
        <v>190</v>
      </c>
    </row>
    <row r="49">
      <c r="A49" s="449" t="s">
        <v>129</v>
      </c>
      <c r="B49" s="58" t="s">
        <v>190</v>
      </c>
    </row>
    <row r="50">
      <c r="A50" s="449" t="s">
        <v>130</v>
      </c>
      <c r="B50" s="58" t="s">
        <v>188</v>
      </c>
    </row>
    <row r="51">
      <c r="A51" s="449" t="s">
        <v>131</v>
      </c>
      <c r="B51" s="58" t="s">
        <v>188</v>
      </c>
    </row>
    <row r="52">
      <c r="A52" s="449" t="s">
        <v>132</v>
      </c>
      <c r="B52" s="58" t="s">
        <v>188</v>
      </c>
    </row>
    <row r="53">
      <c r="A53" s="449" t="s">
        <v>133</v>
      </c>
      <c r="B53" s="58" t="s">
        <v>188</v>
      </c>
    </row>
    <row r="54">
      <c r="A54" s="449" t="s">
        <v>134</v>
      </c>
      <c r="B54" s="58" t="s">
        <v>48</v>
      </c>
    </row>
    <row r="55">
      <c r="A55" s="449" t="s">
        <v>135</v>
      </c>
      <c r="B55" s="58" t="s">
        <v>190</v>
      </c>
    </row>
    <row r="56">
      <c r="A56" s="449" t="s">
        <v>136</v>
      </c>
      <c r="B56" s="58" t="s">
        <v>190</v>
      </c>
    </row>
    <row r="57">
      <c r="A57" s="449" t="s">
        <v>137</v>
      </c>
      <c r="B57" s="58" t="s">
        <v>190</v>
      </c>
    </row>
    <row r="58">
      <c r="A58" s="449" t="s">
        <v>138</v>
      </c>
      <c r="B58" s="58" t="s">
        <v>190</v>
      </c>
    </row>
    <row r="59">
      <c r="A59" s="449" t="s">
        <v>139</v>
      </c>
      <c r="B59" s="58" t="s">
        <v>65</v>
      </c>
    </row>
    <row r="60">
      <c r="A60" s="449" t="s">
        <v>140</v>
      </c>
      <c r="B60" s="58" t="s">
        <v>71</v>
      </c>
    </row>
    <row r="61">
      <c r="A61" s="449" t="s">
        <v>141</v>
      </c>
      <c r="B61" s="58" t="s">
        <v>71</v>
      </c>
    </row>
    <row r="62">
      <c r="A62" s="449" t="s">
        <v>142</v>
      </c>
      <c r="B62" s="58" t="s">
        <v>74</v>
      </c>
    </row>
    <row r="63">
      <c r="A63" s="449" t="s">
        <v>143</v>
      </c>
      <c r="B63" s="58" t="s">
        <v>41</v>
      </c>
    </row>
    <row r="64">
      <c r="A64" s="449" t="s">
        <v>144</v>
      </c>
      <c r="B64" s="58" t="s">
        <v>51</v>
      </c>
    </row>
    <row r="65">
      <c r="A65" s="449" t="s">
        <v>145</v>
      </c>
      <c r="B65" s="58" t="s">
        <v>80</v>
      </c>
    </row>
    <row r="66">
      <c r="A66" s="449" t="s">
        <v>340</v>
      </c>
      <c r="B66" s="58" t="s">
        <v>41</v>
      </c>
    </row>
    <row r="67">
      <c r="A67" s="449" t="s">
        <v>341</v>
      </c>
      <c r="B67" s="58" t="s">
        <v>41</v>
      </c>
    </row>
    <row r="68">
      <c r="A68" s="449" t="s">
        <v>342</v>
      </c>
      <c r="B68" s="58" t="s">
        <v>41</v>
      </c>
    </row>
    <row r="69">
      <c r="A69" s="449" t="s">
        <v>343</v>
      </c>
      <c r="B69" s="58" t="s">
        <v>41</v>
      </c>
    </row>
    <row r="70">
      <c r="A70" s="449" t="s">
        <v>344</v>
      </c>
      <c r="B70" s="58" t="s">
        <v>41</v>
      </c>
    </row>
    <row r="71">
      <c r="A71" s="449" t="s">
        <v>345</v>
      </c>
      <c r="B71" s="58" t="s">
        <v>41</v>
      </c>
    </row>
    <row r="72">
      <c r="A72" s="449" t="s">
        <v>346</v>
      </c>
      <c r="B72" s="58" t="s">
        <v>41</v>
      </c>
    </row>
    <row r="73">
      <c r="A73" s="449" t="s">
        <v>347</v>
      </c>
      <c r="B73" s="58" t="s">
        <v>68</v>
      </c>
    </row>
    <row r="74">
      <c r="A74" s="449" t="s">
        <v>348</v>
      </c>
      <c r="B74" s="58" t="s">
        <v>68</v>
      </c>
    </row>
    <row r="75">
      <c r="A75" s="449" t="s">
        <v>349</v>
      </c>
      <c r="B75" s="58" t="s">
        <v>41</v>
      </c>
    </row>
    <row r="76">
      <c r="A76" s="449" t="s">
        <v>350</v>
      </c>
      <c r="B76" s="58" t="s">
        <v>41</v>
      </c>
    </row>
    <row r="77">
      <c r="A77" s="449" t="s">
        <v>351</v>
      </c>
      <c r="B77" s="58" t="s">
        <v>48</v>
      </c>
    </row>
    <row r="78">
      <c r="A78" s="449" t="s">
        <v>146</v>
      </c>
      <c r="B78" s="58" t="s">
        <v>48</v>
      </c>
    </row>
    <row r="79">
      <c r="A79" s="449" t="s">
        <v>147</v>
      </c>
      <c r="B79" s="58" t="s">
        <v>48</v>
      </c>
    </row>
    <row r="80">
      <c r="A80" s="449" t="s">
        <v>148</v>
      </c>
      <c r="B80" s="58" t="s">
        <v>48</v>
      </c>
    </row>
    <row r="81">
      <c r="A81" s="449" t="s">
        <v>149</v>
      </c>
      <c r="B81" s="58" t="s">
        <v>51</v>
      </c>
    </row>
    <row r="82">
      <c r="A82" s="449" t="s">
        <v>150</v>
      </c>
      <c r="B82" s="58" t="s">
        <v>51</v>
      </c>
    </row>
    <row r="83">
      <c r="A83" s="449" t="s">
        <v>151</v>
      </c>
      <c r="B83" s="58" t="s">
        <v>51</v>
      </c>
    </row>
    <row r="84">
      <c r="A84" s="449" t="s">
        <v>152</v>
      </c>
      <c r="B84" s="58" t="s">
        <v>51</v>
      </c>
    </row>
    <row r="85">
      <c r="A85" s="449" t="s">
        <v>153</v>
      </c>
      <c r="B85" s="58" t="s">
        <v>63</v>
      </c>
    </row>
    <row r="86">
      <c r="A86" s="449" t="s">
        <v>154</v>
      </c>
      <c r="B86" s="58" t="s">
        <v>63</v>
      </c>
    </row>
    <row r="87">
      <c r="A87" s="449" t="s">
        <v>155</v>
      </c>
      <c r="B87" s="58" t="s">
        <v>190</v>
      </c>
    </row>
    <row r="88">
      <c r="A88" s="449" t="s">
        <v>156</v>
      </c>
      <c r="B88" s="58" t="s">
        <v>190</v>
      </c>
    </row>
    <row r="89">
      <c r="A89" s="449" t="s">
        <v>157</v>
      </c>
      <c r="B89" s="58" t="s">
        <v>188</v>
      </c>
    </row>
    <row r="90">
      <c r="A90" s="449" t="s">
        <v>158</v>
      </c>
      <c r="B90" s="58" t="s">
        <v>188</v>
      </c>
    </row>
    <row r="91">
      <c r="A91" s="449" t="s">
        <v>159</v>
      </c>
      <c r="B91" s="58" t="s">
        <v>188</v>
      </c>
    </row>
    <row r="92">
      <c r="A92" s="449" t="s">
        <v>160</v>
      </c>
      <c r="B92" s="58" t="s">
        <v>188</v>
      </c>
    </row>
    <row r="93">
      <c r="A93" s="449" t="s">
        <v>161</v>
      </c>
      <c r="B93" s="58" t="s">
        <v>48</v>
      </c>
    </row>
    <row r="94">
      <c r="A94" s="449" t="s">
        <v>162</v>
      </c>
      <c r="B94" s="58" t="s">
        <v>190</v>
      </c>
    </row>
    <row r="95">
      <c r="A95" s="449" t="s">
        <v>163</v>
      </c>
      <c r="B95" s="58" t="s">
        <v>190</v>
      </c>
    </row>
    <row r="96">
      <c r="A96" s="449" t="s">
        <v>164</v>
      </c>
      <c r="B96" s="58" t="s">
        <v>190</v>
      </c>
    </row>
    <row r="97">
      <c r="A97" s="449" t="s">
        <v>165</v>
      </c>
      <c r="B97" s="58" t="s">
        <v>65</v>
      </c>
    </row>
    <row r="98">
      <c r="A98" s="449" t="s">
        <v>166</v>
      </c>
      <c r="B98" s="58" t="s">
        <v>71</v>
      </c>
    </row>
    <row r="99">
      <c r="A99" s="449" t="s">
        <v>167</v>
      </c>
      <c r="B99" s="58" t="s">
        <v>74</v>
      </c>
    </row>
    <row r="100">
      <c r="A100" s="449" t="s">
        <v>168</v>
      </c>
      <c r="B100" s="58" t="s">
        <v>51</v>
      </c>
    </row>
    <row r="101">
      <c r="A101" s="449" t="s">
        <v>169</v>
      </c>
      <c r="B101" s="58" t="s">
        <v>65</v>
      </c>
    </row>
    <row r="102">
      <c r="A102" s="449" t="s">
        <v>170</v>
      </c>
      <c r="B102" s="58" t="s">
        <v>65</v>
      </c>
    </row>
    <row r="103">
      <c r="A103" s="449" t="s">
        <v>357</v>
      </c>
      <c r="B103" s="58" t="s">
        <v>41</v>
      </c>
    </row>
    <row r="104">
      <c r="A104" s="449" t="s">
        <v>358</v>
      </c>
      <c r="B104" s="58" t="s">
        <v>41</v>
      </c>
    </row>
    <row r="105">
      <c r="A105" s="449" t="s">
        <v>359</v>
      </c>
      <c r="B105" s="58" t="s">
        <v>41</v>
      </c>
    </row>
    <row r="106">
      <c r="A106" s="449" t="s">
        <v>360</v>
      </c>
      <c r="B106" s="58" t="s">
        <v>41</v>
      </c>
    </row>
    <row r="107">
      <c r="A107" s="449" t="s">
        <v>361</v>
      </c>
      <c r="B107" s="58" t="s">
        <v>41</v>
      </c>
    </row>
    <row r="108">
      <c r="A108" s="449" t="s">
        <v>362</v>
      </c>
      <c r="B108" s="58" t="s">
        <v>41</v>
      </c>
    </row>
    <row r="109">
      <c r="A109" s="449" t="s">
        <v>363</v>
      </c>
      <c r="B109" s="58" t="s">
        <v>41</v>
      </c>
    </row>
    <row r="110">
      <c r="A110" s="449" t="s">
        <v>364</v>
      </c>
      <c r="B110" s="58" t="s">
        <v>48</v>
      </c>
    </row>
    <row r="111">
      <c r="A111" s="449" t="s">
        <v>365</v>
      </c>
      <c r="B111" s="58" t="s">
        <v>190</v>
      </c>
    </row>
    <row r="112">
      <c r="A112" s="449" t="s">
        <v>367</v>
      </c>
      <c r="B112" s="58" t="s">
        <v>190</v>
      </c>
    </row>
    <row r="113">
      <c r="A113" s="449" t="s">
        <v>368</v>
      </c>
      <c r="B113" s="58" t="s">
        <v>65</v>
      </c>
    </row>
    <row r="114">
      <c r="A114" s="449" t="s">
        <v>369</v>
      </c>
      <c r="B114" s="58" t="s">
        <v>65</v>
      </c>
    </row>
    <row r="115">
      <c r="A115" s="449" t="s">
        <v>270</v>
      </c>
      <c r="B115" s="58" t="s">
        <v>77</v>
      </c>
    </row>
    <row r="116">
      <c r="A116" s="449" t="s">
        <v>272</v>
      </c>
      <c r="B116" s="58" t="s">
        <v>77</v>
      </c>
    </row>
    <row r="117">
      <c r="A117" s="449" t="s">
        <v>275</v>
      </c>
      <c r="B117" s="58" t="s">
        <v>41</v>
      </c>
    </row>
    <row r="118">
      <c r="A118" s="449" t="s">
        <v>277</v>
      </c>
      <c r="B118" s="58" t="s">
        <v>77</v>
      </c>
    </row>
    <row r="119">
      <c r="A119" s="449" t="s">
        <v>281</v>
      </c>
      <c r="B119" s="58" t="s">
        <v>77</v>
      </c>
    </row>
    <row r="120">
      <c r="A120" s="449" t="s">
        <v>279</v>
      </c>
      <c r="B120" s="58" t="s">
        <v>41</v>
      </c>
    </row>
    <row r="121">
      <c r="A121" s="449" t="s">
        <v>412</v>
      </c>
      <c r="B121" s="58" t="s">
        <v>65</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8" t="s">
        <v>1863</v>
      </c>
    </row>
    <row r="2">
      <c r="A2" s="44" t="str">
        <f>IFERROR(__xludf.DUMMYFUNCTION("IFERROR(SORT(UNIQUE(FILTER(Pessoas!D6:D105,(Pessoas!A6:A105=""Profissional PF"")+(Pessoas!A6:A105=""Fornecedor PJ"")&gt;0))))"),"Adailton Vieira dos Santos")</f>
        <v>Adailton Vieira dos Santos</v>
      </c>
    </row>
    <row r="3">
      <c r="A3" s="44" t="str">
        <f>IFERROR(__xludf.DUMMYFUNCTION("""COMPUTED_VALUE"""),"Breno Vieira Bogoni")</f>
        <v>Breno Vieira Bogoni</v>
      </c>
    </row>
    <row r="4">
      <c r="A4" s="44" t="str">
        <f>IFERROR(__xludf.DUMMYFUNCTION("""COMPUTED_VALUE"""),"Bruno Bueno Santana Alves")</f>
        <v>Bruno Bueno Santana Alves</v>
      </c>
    </row>
    <row r="5">
      <c r="A5" s="44" t="str">
        <f>IFERROR(__xludf.DUMMYFUNCTION("""COMPUTED_VALUE"""),"Cledison Alves dos Passos")</f>
        <v>Cledison Alves dos Passos</v>
      </c>
    </row>
    <row r="6">
      <c r="A6" s="44" t="str">
        <f>IFERROR(__xludf.DUMMYFUNCTION("""COMPUTED_VALUE"""),"Evylin Guimarães Santos")</f>
        <v>Evylin Guimarães Santos</v>
      </c>
    </row>
    <row r="7">
      <c r="A7" s="44" t="str">
        <f>IFERROR(__xludf.DUMMYFUNCTION("""COMPUTED_VALUE"""),"Jean Rodrigues Vieira")</f>
        <v>Jean Rodrigues Vieira</v>
      </c>
    </row>
    <row r="8">
      <c r="A8" s="44" t="str">
        <f>IFERROR(__xludf.DUMMYFUNCTION("""COMPUTED_VALUE"""),"Nerisvam Estevam do Nascimento")</f>
        <v>Nerisvam Estevam do Nascimento</v>
      </c>
    </row>
    <row r="9">
      <c r="A9" s="44" t="str">
        <f>IFERROR(__xludf.DUMMYFUNCTION("""COMPUTED_VALUE"""),"Pedro Henrique Roldão Gomes")</f>
        <v>Pedro Henrique Roldão Gomes</v>
      </c>
    </row>
    <row r="10">
      <c r="A10" s="44" t="str">
        <f>IFERROR(__xludf.DUMMYFUNCTION("""COMPUTED_VALUE"""),"Regivan Borges de Carvalho")</f>
        <v>Regivan Borges de Carvalho</v>
      </c>
    </row>
    <row r="11">
      <c r="A11" s="44" t="str">
        <f>IFERROR(__xludf.DUMMYFUNCTION("""COMPUTED_VALUE"""),"Samuel de Oliveira Suppa")</f>
        <v>Samuel de Oliveira Suppa</v>
      </c>
    </row>
    <row r="12">
      <c r="A12" s="44" t="str">
        <f>IFERROR(__xludf.DUMMYFUNCTION("""COMPUTED_VALUE"""),"Sidnei dos Santos Alexandria")</f>
        <v>Sidnei dos Santos Alexandria</v>
      </c>
    </row>
    <row r="13">
      <c r="A13" s="44" t="str">
        <f>IFERROR(__xludf.DUMMYFUNCTION("""COMPUTED_VALUE"""),"Wilder da Silva Santos")</f>
        <v>Wilder da Silva Santos</v>
      </c>
    </row>
    <row r="14">
      <c r="A14" s="4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42.0"/>
    <col customWidth="1" min="2" max="2" width="36.0"/>
    <col customWidth="1" min="3" max="3" width="34.0"/>
    <col customWidth="1" min="4" max="4" width="32.0"/>
    <col customWidth="1" min="5" max="5" width="34.0"/>
    <col customWidth="1" min="6" max="6" width="42.0"/>
    <col customWidth="1" min="7" max="26" width="8.71"/>
  </cols>
  <sheetData>
    <row r="1" ht="30.0" customHeight="1">
      <c r="A1" s="415" t="s">
        <v>1864</v>
      </c>
      <c r="B1" s="92"/>
      <c r="C1" s="92"/>
      <c r="D1" s="92"/>
      <c r="E1" s="92"/>
      <c r="F1" s="92"/>
    </row>
    <row r="2" ht="25.5" customHeight="1">
      <c r="A2" s="109" t="s">
        <v>1865</v>
      </c>
      <c r="B2" s="109" t="s">
        <v>1866</v>
      </c>
      <c r="C2" s="109" t="s">
        <v>1867</v>
      </c>
      <c r="D2" s="109" t="s">
        <v>1868</v>
      </c>
      <c r="E2" s="109" t="s">
        <v>1869</v>
      </c>
      <c r="F2" s="109" t="s">
        <v>1870</v>
      </c>
    </row>
    <row r="3">
      <c r="A3" s="450" t="s">
        <v>1676</v>
      </c>
      <c r="B3" s="450" t="s">
        <v>1871</v>
      </c>
      <c r="C3" s="450" t="s">
        <v>1872</v>
      </c>
      <c r="D3" s="450" t="s">
        <v>1873</v>
      </c>
      <c r="E3" s="450" t="s">
        <v>1874</v>
      </c>
      <c r="F3" s="450" t="s">
        <v>1676</v>
      </c>
    </row>
    <row r="4">
      <c r="A4" s="450" t="s">
        <v>1875</v>
      </c>
      <c r="B4" s="450" t="s">
        <v>1876</v>
      </c>
      <c r="C4" s="450" t="s">
        <v>1877</v>
      </c>
      <c r="D4" s="450" t="s">
        <v>1878</v>
      </c>
      <c r="E4" s="450" t="s">
        <v>1879</v>
      </c>
      <c r="F4" s="450" t="s">
        <v>1875</v>
      </c>
    </row>
    <row r="5">
      <c r="A5" s="450" t="s">
        <v>1880</v>
      </c>
      <c r="B5" s="450" t="s">
        <v>1881</v>
      </c>
      <c r="C5" s="450" t="s">
        <v>1882</v>
      </c>
      <c r="D5" s="450" t="s">
        <v>1883</v>
      </c>
      <c r="E5" s="450" t="s">
        <v>1884</v>
      </c>
      <c r="F5" s="450" t="s">
        <v>1880</v>
      </c>
    </row>
    <row r="6">
      <c r="A6" s="450" t="s">
        <v>1885</v>
      </c>
      <c r="B6" s="450" t="s">
        <v>1886</v>
      </c>
      <c r="C6" s="450" t="s">
        <v>1887</v>
      </c>
      <c r="D6" s="450" t="s">
        <v>1888</v>
      </c>
      <c r="E6" s="450" t="s">
        <v>1889</v>
      </c>
      <c r="F6" s="450" t="s">
        <v>1885</v>
      </c>
    </row>
    <row r="7">
      <c r="A7" s="450" t="s">
        <v>1890</v>
      </c>
      <c r="B7" s="450" t="s">
        <v>1891</v>
      </c>
      <c r="C7" s="450" t="s">
        <v>1892</v>
      </c>
      <c r="D7" s="450" t="s">
        <v>1893</v>
      </c>
      <c r="E7" s="450" t="s">
        <v>1894</v>
      </c>
      <c r="F7" s="450" t="s">
        <v>1890</v>
      </c>
    </row>
    <row r="8">
      <c r="A8" s="450" t="s">
        <v>1895</v>
      </c>
      <c r="B8" s="450" t="s">
        <v>1896</v>
      </c>
      <c r="C8" s="450" t="s">
        <v>1897</v>
      </c>
      <c r="D8" s="450" t="s">
        <v>1898</v>
      </c>
      <c r="E8" s="450" t="s">
        <v>1899</v>
      </c>
      <c r="F8" s="450" t="s">
        <v>1895</v>
      </c>
    </row>
    <row r="9">
      <c r="A9" s="450" t="s">
        <v>1900</v>
      </c>
      <c r="B9" s="450" t="s">
        <v>1901</v>
      </c>
      <c r="C9" s="450" t="s">
        <v>1902</v>
      </c>
      <c r="D9" s="450" t="s">
        <v>1903</v>
      </c>
      <c r="E9" s="450" t="s">
        <v>1904</v>
      </c>
      <c r="F9" s="450" t="s">
        <v>1900</v>
      </c>
    </row>
    <row r="10">
      <c r="A10" s="450" t="s">
        <v>1905</v>
      </c>
      <c r="B10" s="450" t="s">
        <v>1906</v>
      </c>
      <c r="C10" s="450" t="s">
        <v>1907</v>
      </c>
      <c r="D10" s="450" t="s">
        <v>1908</v>
      </c>
      <c r="E10" s="450" t="s">
        <v>1909</v>
      </c>
      <c r="F10" s="450" t="s">
        <v>1905</v>
      </c>
    </row>
    <row r="11">
      <c r="A11" s="450" t="s">
        <v>1910</v>
      </c>
      <c r="B11" s="450" t="s">
        <v>1911</v>
      </c>
      <c r="C11" s="450" t="s">
        <v>1912</v>
      </c>
      <c r="D11" s="450" t="s">
        <v>1913</v>
      </c>
      <c r="E11" s="450" t="s">
        <v>1914</v>
      </c>
      <c r="F11" s="450" t="s">
        <v>1910</v>
      </c>
    </row>
    <row r="12">
      <c r="A12" s="450" t="s">
        <v>1915</v>
      </c>
      <c r="B12" s="450" t="s">
        <v>1916</v>
      </c>
      <c r="C12" s="450" t="s">
        <v>1917</v>
      </c>
      <c r="D12" s="450" t="s">
        <v>1918</v>
      </c>
      <c r="E12" s="450" t="s">
        <v>1919</v>
      </c>
      <c r="F12" s="450" t="s">
        <v>1915</v>
      </c>
    </row>
    <row r="13">
      <c r="A13" s="450" t="s">
        <v>1920</v>
      </c>
      <c r="B13" s="450" t="s">
        <v>1921</v>
      </c>
      <c r="C13" s="450" t="s">
        <v>1922</v>
      </c>
      <c r="D13" s="450" t="s">
        <v>1923</v>
      </c>
      <c r="E13" s="450" t="s">
        <v>1924</v>
      </c>
      <c r="F13" s="450" t="s">
        <v>1920</v>
      </c>
    </row>
    <row r="14">
      <c r="A14" s="450" t="s">
        <v>1925</v>
      </c>
      <c r="B14" s="450" t="s">
        <v>1926</v>
      </c>
      <c r="C14" s="450" t="s">
        <v>1927</v>
      </c>
      <c r="D14" s="450" t="s">
        <v>1928</v>
      </c>
      <c r="E14" s="450" t="s">
        <v>1929</v>
      </c>
      <c r="F14" s="450" t="s">
        <v>1925</v>
      </c>
    </row>
    <row r="15">
      <c r="A15" s="450" t="s">
        <v>1930</v>
      </c>
      <c r="B15" s="450" t="s">
        <v>1931</v>
      </c>
      <c r="C15" s="450" t="s">
        <v>1932</v>
      </c>
      <c r="D15" s="450" t="s">
        <v>1933</v>
      </c>
      <c r="E15" s="450" t="s">
        <v>1934</v>
      </c>
      <c r="F15" s="450" t="s">
        <v>1930</v>
      </c>
    </row>
    <row r="16">
      <c r="A16" s="450" t="s">
        <v>1935</v>
      </c>
      <c r="B16" s="450" t="s">
        <v>1936</v>
      </c>
      <c r="C16" s="450" t="s">
        <v>1937</v>
      </c>
      <c r="D16" s="450" t="s">
        <v>1938</v>
      </c>
      <c r="E16" s="450" t="s">
        <v>1939</v>
      </c>
      <c r="F16" s="450" t="s">
        <v>1935</v>
      </c>
    </row>
    <row r="17">
      <c r="A17" s="450" t="s">
        <v>1940</v>
      </c>
      <c r="B17" s="450" t="s">
        <v>1941</v>
      </c>
      <c r="C17" s="450" t="s">
        <v>1942</v>
      </c>
      <c r="D17" s="450" t="s">
        <v>1943</v>
      </c>
      <c r="E17" s="450" t="s">
        <v>1944</v>
      </c>
      <c r="F17" s="450" t="s">
        <v>1940</v>
      </c>
    </row>
    <row r="18">
      <c r="A18" s="450" t="s">
        <v>1945</v>
      </c>
      <c r="B18" s="450" t="s">
        <v>1946</v>
      </c>
      <c r="C18" s="450" t="s">
        <v>1947</v>
      </c>
      <c r="D18" s="450" t="s">
        <v>1948</v>
      </c>
      <c r="E18" s="450" t="s">
        <v>1949</v>
      </c>
      <c r="F18" s="450" t="s">
        <v>1945</v>
      </c>
    </row>
    <row r="19">
      <c r="A19" s="450" t="s">
        <v>1950</v>
      </c>
      <c r="B19" s="450" t="s">
        <v>1951</v>
      </c>
      <c r="C19" s="450" t="s">
        <v>1952</v>
      </c>
      <c r="D19" s="450" t="s">
        <v>1953</v>
      </c>
      <c r="E19" s="450" t="s">
        <v>1954</v>
      </c>
      <c r="F19" s="450" t="s">
        <v>1950</v>
      </c>
    </row>
    <row r="20">
      <c r="A20" s="450" t="s">
        <v>1671</v>
      </c>
      <c r="B20" s="450" t="s">
        <v>1955</v>
      </c>
      <c r="C20" s="450" t="s">
        <v>1956</v>
      </c>
      <c r="D20" s="450" t="s">
        <v>1957</v>
      </c>
      <c r="E20" s="450" t="s">
        <v>1958</v>
      </c>
      <c r="F20" s="450" t="s">
        <v>1671</v>
      </c>
    </row>
    <row r="21" ht="15.75" customHeight="1">
      <c r="A21" s="450" t="s">
        <v>1959</v>
      </c>
      <c r="B21" s="450" t="s">
        <v>1960</v>
      </c>
      <c r="C21" s="450" t="s">
        <v>1961</v>
      </c>
      <c r="D21" s="450" t="s">
        <v>1962</v>
      </c>
      <c r="E21" s="450" t="s">
        <v>1963</v>
      </c>
      <c r="F21" s="450" t="s">
        <v>1959</v>
      </c>
    </row>
    <row r="22" ht="15.75" customHeight="1">
      <c r="A22" s="450" t="s">
        <v>1964</v>
      </c>
      <c r="B22" s="450" t="s">
        <v>1965</v>
      </c>
      <c r="C22" s="450" t="s">
        <v>1966</v>
      </c>
      <c r="D22" s="450" t="s">
        <v>1967</v>
      </c>
      <c r="E22" s="450" t="s">
        <v>1968</v>
      </c>
      <c r="F22" s="450" t="s">
        <v>1964</v>
      </c>
    </row>
    <row r="23" ht="15.75" customHeight="1">
      <c r="A23" s="450" t="s">
        <v>1969</v>
      </c>
      <c r="B23" s="450" t="s">
        <v>1970</v>
      </c>
      <c r="C23" s="450" t="s">
        <v>1971</v>
      </c>
      <c r="D23" s="450" t="s">
        <v>1972</v>
      </c>
      <c r="E23" s="450" t="s">
        <v>1973</v>
      </c>
      <c r="F23" s="450" t="s">
        <v>1969</v>
      </c>
    </row>
    <row r="24" ht="15.75" customHeight="1">
      <c r="A24" s="450" t="s">
        <v>1974</v>
      </c>
      <c r="B24" s="450" t="s">
        <v>1975</v>
      </c>
      <c r="C24" s="450" t="s">
        <v>1976</v>
      </c>
      <c r="D24" s="450" t="s">
        <v>1977</v>
      </c>
      <c r="E24" s="450" t="s">
        <v>1978</v>
      </c>
      <c r="F24" s="450" t="s">
        <v>1974</v>
      </c>
    </row>
    <row r="25" ht="15.75" customHeight="1">
      <c r="A25" s="450" t="s">
        <v>1677</v>
      </c>
      <c r="B25" s="450" t="s">
        <v>1979</v>
      </c>
      <c r="C25" s="450" t="s">
        <v>1980</v>
      </c>
      <c r="D25" s="450" t="s">
        <v>1981</v>
      </c>
      <c r="E25" s="450" t="s">
        <v>1982</v>
      </c>
      <c r="F25" s="450" t="s">
        <v>1677</v>
      </c>
    </row>
    <row r="26" ht="15.75" customHeight="1">
      <c r="A26" s="450" t="s">
        <v>1983</v>
      </c>
      <c r="B26" s="450" t="s">
        <v>1984</v>
      </c>
      <c r="C26" s="58"/>
      <c r="D26" s="450" t="s">
        <v>1985</v>
      </c>
      <c r="E26" s="450" t="s">
        <v>1986</v>
      </c>
      <c r="F26" s="450" t="s">
        <v>1983</v>
      </c>
    </row>
    <row r="27" ht="15.75" customHeight="1">
      <c r="A27" s="450" t="s">
        <v>1987</v>
      </c>
      <c r="B27" s="450" t="s">
        <v>1988</v>
      </c>
      <c r="D27" s="450" t="s">
        <v>1989</v>
      </c>
      <c r="E27" s="450" t="s">
        <v>1990</v>
      </c>
      <c r="F27" s="450" t="s">
        <v>1987</v>
      </c>
    </row>
    <row r="28" ht="15.75" customHeight="1">
      <c r="A28" s="450" t="s">
        <v>1991</v>
      </c>
      <c r="B28" s="450" t="s">
        <v>1992</v>
      </c>
      <c r="D28" s="450" t="s">
        <v>1993</v>
      </c>
      <c r="F28" s="450" t="s">
        <v>1991</v>
      </c>
    </row>
    <row r="29" ht="15.75" customHeight="1">
      <c r="A29" s="450" t="s">
        <v>1994</v>
      </c>
      <c r="B29" s="450" t="s">
        <v>1995</v>
      </c>
      <c r="D29" s="450" t="s">
        <v>1996</v>
      </c>
      <c r="F29" s="450" t="s">
        <v>1994</v>
      </c>
    </row>
    <row r="30" ht="15.75" customHeight="1">
      <c r="A30" s="450" t="s">
        <v>1997</v>
      </c>
      <c r="B30" s="450" t="s">
        <v>1998</v>
      </c>
      <c r="D30" s="450" t="s">
        <v>1999</v>
      </c>
      <c r="F30" s="450" t="s">
        <v>1997</v>
      </c>
    </row>
    <row r="31" ht="15.75" customHeight="1">
      <c r="A31" s="450" t="s">
        <v>2000</v>
      </c>
      <c r="B31" s="450" t="s">
        <v>2001</v>
      </c>
      <c r="D31" s="450" t="s">
        <v>2002</v>
      </c>
      <c r="F31" s="450" t="s">
        <v>2000</v>
      </c>
    </row>
    <row r="32" ht="15.75" customHeight="1">
      <c r="A32" s="450" t="s">
        <v>2003</v>
      </c>
      <c r="B32" s="450" t="s">
        <v>2004</v>
      </c>
      <c r="D32" s="450" t="s">
        <v>2005</v>
      </c>
      <c r="F32" s="450" t="s">
        <v>2003</v>
      </c>
    </row>
    <row r="33" ht="15.75" customHeight="1">
      <c r="A33" s="450" t="s">
        <v>2006</v>
      </c>
      <c r="B33" s="450" t="s">
        <v>2007</v>
      </c>
      <c r="D33" s="450" t="s">
        <v>2008</v>
      </c>
      <c r="F33" s="450" t="s">
        <v>2006</v>
      </c>
    </row>
    <row r="34" ht="15.75" customHeight="1">
      <c r="A34" s="450" t="s">
        <v>2009</v>
      </c>
      <c r="B34" s="450" t="s">
        <v>2010</v>
      </c>
      <c r="D34" s="450" t="s">
        <v>2011</v>
      </c>
      <c r="F34" s="450" t="s">
        <v>2009</v>
      </c>
    </row>
    <row r="35" ht="15.75" customHeight="1">
      <c r="A35" s="450" t="s">
        <v>2012</v>
      </c>
      <c r="B35" s="450" t="s">
        <v>2013</v>
      </c>
      <c r="D35" s="450" t="s">
        <v>2014</v>
      </c>
      <c r="F35" s="450" t="s">
        <v>2012</v>
      </c>
    </row>
    <row r="36" ht="15.75" customHeight="1">
      <c r="A36" s="450" t="s">
        <v>2015</v>
      </c>
      <c r="B36" s="450" t="s">
        <v>2016</v>
      </c>
      <c r="D36" s="450" t="s">
        <v>2017</v>
      </c>
      <c r="F36" s="450" t="s">
        <v>2015</v>
      </c>
    </row>
    <row r="37" ht="15.75" customHeight="1">
      <c r="A37" s="450" t="s">
        <v>2018</v>
      </c>
      <c r="B37" s="450" t="s">
        <v>2019</v>
      </c>
      <c r="D37" s="450" t="s">
        <v>2020</v>
      </c>
      <c r="F37" s="450" t="s">
        <v>2018</v>
      </c>
    </row>
    <row r="38" ht="15.75" customHeight="1">
      <c r="A38" s="450" t="s">
        <v>2021</v>
      </c>
      <c r="B38" s="450" t="s">
        <v>2022</v>
      </c>
      <c r="D38" s="450" t="s">
        <v>2023</v>
      </c>
      <c r="F38" s="450" t="s">
        <v>2021</v>
      </c>
    </row>
    <row r="39" ht="15.75" customHeight="1">
      <c r="A39" s="450" t="s">
        <v>2024</v>
      </c>
      <c r="B39" s="450" t="s">
        <v>2025</v>
      </c>
      <c r="D39" s="450" t="s">
        <v>2026</v>
      </c>
      <c r="F39" s="450" t="s">
        <v>2024</v>
      </c>
    </row>
    <row r="40" ht="15.75" customHeight="1">
      <c r="A40" s="450" t="s">
        <v>2027</v>
      </c>
      <c r="B40" s="450" t="s">
        <v>2028</v>
      </c>
      <c r="D40" s="450" t="s">
        <v>2029</v>
      </c>
      <c r="F40" s="450" t="s">
        <v>2027</v>
      </c>
    </row>
    <row r="41" ht="15.75" customHeight="1">
      <c r="A41" s="450" t="s">
        <v>2030</v>
      </c>
      <c r="B41" s="450" t="s">
        <v>2031</v>
      </c>
      <c r="D41" s="450" t="s">
        <v>2032</v>
      </c>
      <c r="F41" s="450" t="s">
        <v>2030</v>
      </c>
    </row>
    <row r="42" ht="15.75" customHeight="1">
      <c r="A42" s="450" t="s">
        <v>2033</v>
      </c>
      <c r="B42" s="450" t="s">
        <v>2034</v>
      </c>
      <c r="D42" s="450" t="s">
        <v>2035</v>
      </c>
      <c r="F42" s="450" t="s">
        <v>2033</v>
      </c>
    </row>
    <row r="43" ht="15.75" customHeight="1">
      <c r="A43" s="450" t="s">
        <v>2036</v>
      </c>
      <c r="B43" s="450" t="s">
        <v>2037</v>
      </c>
      <c r="D43" s="450" t="s">
        <v>2038</v>
      </c>
      <c r="F43" s="450" t="s">
        <v>2036</v>
      </c>
    </row>
    <row r="44" ht="15.75" customHeight="1">
      <c r="A44" s="450" t="s">
        <v>2039</v>
      </c>
      <c r="B44" s="450" t="s">
        <v>2040</v>
      </c>
      <c r="F44" s="450" t="s">
        <v>2039</v>
      </c>
    </row>
    <row r="45" ht="15.75" customHeight="1">
      <c r="A45" s="450" t="s">
        <v>2041</v>
      </c>
      <c r="B45" s="450" t="s">
        <v>2042</v>
      </c>
      <c r="F45" s="450" t="s">
        <v>2041</v>
      </c>
    </row>
    <row r="46" ht="15.75" customHeight="1">
      <c r="A46" s="450" t="s">
        <v>2043</v>
      </c>
      <c r="B46" s="450" t="s">
        <v>2044</v>
      </c>
      <c r="F46" s="450" t="s">
        <v>2043</v>
      </c>
    </row>
    <row r="47" ht="15.75" customHeight="1">
      <c r="A47" s="450" t="s">
        <v>2045</v>
      </c>
      <c r="B47" s="450" t="s">
        <v>2046</v>
      </c>
      <c r="F47" s="450" t="s">
        <v>2045</v>
      </c>
    </row>
    <row r="48" ht="15.75" customHeight="1">
      <c r="A48" s="450" t="s">
        <v>2047</v>
      </c>
      <c r="B48" s="450" t="s">
        <v>2048</v>
      </c>
      <c r="F48" s="450" t="s">
        <v>2047</v>
      </c>
    </row>
    <row r="49" ht="15.75" customHeight="1">
      <c r="A49" s="450" t="s">
        <v>2049</v>
      </c>
      <c r="B49" s="450" t="s">
        <v>2050</v>
      </c>
      <c r="F49" s="450" t="s">
        <v>2049</v>
      </c>
    </row>
    <row r="50" ht="15.75" customHeight="1">
      <c r="A50" s="450" t="s">
        <v>2051</v>
      </c>
      <c r="B50" s="450" t="s">
        <v>2052</v>
      </c>
      <c r="F50" s="450" t="s">
        <v>2051</v>
      </c>
    </row>
    <row r="51" ht="15.75" customHeight="1">
      <c r="A51" s="450" t="s">
        <v>2053</v>
      </c>
      <c r="B51" s="450" t="s">
        <v>2054</v>
      </c>
      <c r="F51" s="450" t="s">
        <v>2053</v>
      </c>
    </row>
    <row r="52" ht="15.75" customHeight="1">
      <c r="A52" s="450" t="s">
        <v>2055</v>
      </c>
      <c r="B52" s="450" t="s">
        <v>2056</v>
      </c>
      <c r="F52" s="450" t="s">
        <v>2055</v>
      </c>
    </row>
    <row r="53" ht="15.75" customHeight="1">
      <c r="A53" s="450" t="s">
        <v>2057</v>
      </c>
      <c r="B53" s="450" t="s">
        <v>2058</v>
      </c>
      <c r="F53" s="450" t="s">
        <v>2057</v>
      </c>
    </row>
    <row r="54" ht="15.75" customHeight="1">
      <c r="A54" s="450" t="s">
        <v>2059</v>
      </c>
      <c r="B54" s="450" t="s">
        <v>2060</v>
      </c>
      <c r="F54" s="450" t="s">
        <v>2059</v>
      </c>
    </row>
    <row r="55" ht="15.75" customHeight="1">
      <c r="A55" s="450" t="s">
        <v>2061</v>
      </c>
      <c r="B55" s="450" t="s">
        <v>2062</v>
      </c>
      <c r="F55" s="450" t="s">
        <v>2061</v>
      </c>
    </row>
    <row r="56" ht="15.75" customHeight="1">
      <c r="A56" s="450" t="s">
        <v>2063</v>
      </c>
      <c r="B56" s="450" t="s">
        <v>2064</v>
      </c>
      <c r="F56" s="450" t="s">
        <v>2063</v>
      </c>
    </row>
    <row r="57" ht="15.75" customHeight="1">
      <c r="A57" s="450" t="s">
        <v>2065</v>
      </c>
      <c r="B57" s="450" t="s">
        <v>2066</v>
      </c>
      <c r="F57" s="450" t="s">
        <v>2065</v>
      </c>
    </row>
    <row r="58" ht="15.75" customHeight="1">
      <c r="A58" s="450" t="s">
        <v>2067</v>
      </c>
      <c r="B58" s="450" t="s">
        <v>2068</v>
      </c>
      <c r="F58" s="450" t="s">
        <v>2067</v>
      </c>
    </row>
    <row r="59" ht="15.75" customHeight="1">
      <c r="A59" s="450" t="s">
        <v>2069</v>
      </c>
      <c r="B59" s="450" t="s">
        <v>2070</v>
      </c>
      <c r="F59" s="450" t="s">
        <v>2069</v>
      </c>
    </row>
    <row r="60" ht="15.75" customHeight="1">
      <c r="A60" s="450" t="s">
        <v>2071</v>
      </c>
      <c r="B60" s="450" t="s">
        <v>2072</v>
      </c>
      <c r="F60" s="450" t="s">
        <v>2071</v>
      </c>
    </row>
    <row r="61" ht="15.75" customHeight="1">
      <c r="A61" s="450" t="s">
        <v>2073</v>
      </c>
      <c r="B61" s="450" t="s">
        <v>2074</v>
      </c>
      <c r="F61" s="450" t="s">
        <v>2073</v>
      </c>
    </row>
    <row r="62" ht="15.75" customHeight="1">
      <c r="A62" s="450" t="s">
        <v>2075</v>
      </c>
      <c r="B62" s="450" t="s">
        <v>2076</v>
      </c>
      <c r="F62" s="450" t="s">
        <v>2075</v>
      </c>
    </row>
    <row r="63" ht="15.75" customHeight="1">
      <c r="A63" s="450" t="s">
        <v>2077</v>
      </c>
      <c r="B63" s="450" t="s">
        <v>2078</v>
      </c>
      <c r="F63" s="450" t="s">
        <v>2077</v>
      </c>
    </row>
    <row r="64" ht="15.75" customHeight="1">
      <c r="A64" s="450" t="s">
        <v>2079</v>
      </c>
      <c r="B64" s="450" t="s">
        <v>2080</v>
      </c>
      <c r="F64" s="450" t="s">
        <v>2079</v>
      </c>
    </row>
    <row r="65" ht="15.75" customHeight="1">
      <c r="A65" s="450" t="s">
        <v>2081</v>
      </c>
      <c r="B65" s="450" t="s">
        <v>2082</v>
      </c>
      <c r="F65" s="450" t="s">
        <v>2081</v>
      </c>
    </row>
    <row r="66" ht="15.75" customHeight="1">
      <c r="A66" s="450" t="s">
        <v>2083</v>
      </c>
      <c r="B66" s="450" t="s">
        <v>2084</v>
      </c>
      <c r="F66" s="450" t="s">
        <v>2083</v>
      </c>
    </row>
    <row r="67" ht="15.75" customHeight="1">
      <c r="A67" s="450" t="s">
        <v>2085</v>
      </c>
      <c r="B67" s="450" t="s">
        <v>2086</v>
      </c>
      <c r="F67" s="450" t="s">
        <v>2085</v>
      </c>
    </row>
    <row r="68" ht="15.75" customHeight="1">
      <c r="A68" s="450" t="s">
        <v>2087</v>
      </c>
      <c r="B68" s="450" t="s">
        <v>2088</v>
      </c>
      <c r="F68" s="450" t="s">
        <v>2087</v>
      </c>
    </row>
    <row r="69" ht="15.75" customHeight="1">
      <c r="A69" s="450" t="s">
        <v>2089</v>
      </c>
      <c r="B69" s="450" t="s">
        <v>2090</v>
      </c>
      <c r="F69" s="450" t="s">
        <v>2089</v>
      </c>
    </row>
    <row r="70" ht="15.75" customHeight="1">
      <c r="A70" s="450" t="s">
        <v>2091</v>
      </c>
      <c r="B70" s="450" t="s">
        <v>2092</v>
      </c>
      <c r="F70" s="450" t="s">
        <v>2091</v>
      </c>
    </row>
    <row r="71" ht="15.75" customHeight="1">
      <c r="A71" s="450" t="s">
        <v>2093</v>
      </c>
      <c r="B71" s="450" t="s">
        <v>2094</v>
      </c>
      <c r="F71" s="450" t="s">
        <v>2093</v>
      </c>
    </row>
    <row r="72" ht="15.75" customHeight="1">
      <c r="A72" s="450" t="s">
        <v>1680</v>
      </c>
      <c r="B72" s="450" t="s">
        <v>2095</v>
      </c>
      <c r="F72" s="450" t="s">
        <v>1680</v>
      </c>
    </row>
    <row r="73" ht="15.75" customHeight="1">
      <c r="A73" s="450" t="s">
        <v>2096</v>
      </c>
      <c r="B73" s="450" t="s">
        <v>2097</v>
      </c>
      <c r="F73" s="450" t="s">
        <v>2096</v>
      </c>
    </row>
    <row r="74" ht="15.75" customHeight="1">
      <c r="A74" s="450" t="s">
        <v>2098</v>
      </c>
      <c r="B74" s="450" t="s">
        <v>2099</v>
      </c>
      <c r="F74" s="450" t="s">
        <v>2098</v>
      </c>
    </row>
    <row r="75" ht="15.75" customHeight="1">
      <c r="A75" s="450" t="s">
        <v>2100</v>
      </c>
      <c r="B75" s="450" t="s">
        <v>2101</v>
      </c>
      <c r="F75" s="450" t="s">
        <v>2100</v>
      </c>
    </row>
    <row r="76" ht="15.75" customHeight="1">
      <c r="A76" s="450" t="s">
        <v>2102</v>
      </c>
      <c r="B76" s="450" t="s">
        <v>2103</v>
      </c>
      <c r="F76" s="450" t="s">
        <v>2102</v>
      </c>
    </row>
    <row r="77" ht="15.75" customHeight="1">
      <c r="A77" s="450" t="s">
        <v>1682</v>
      </c>
      <c r="B77" s="450" t="s">
        <v>2104</v>
      </c>
      <c r="F77" s="450" t="s">
        <v>1682</v>
      </c>
    </row>
    <row r="78" ht="15.75" customHeight="1">
      <c r="A78" s="450" t="s">
        <v>2105</v>
      </c>
      <c r="B78" s="450" t="s">
        <v>2106</v>
      </c>
      <c r="F78" s="450" t="s">
        <v>2105</v>
      </c>
    </row>
    <row r="79" ht="15.75" customHeight="1">
      <c r="A79" s="450" t="s">
        <v>2107</v>
      </c>
      <c r="B79" s="450" t="s">
        <v>2108</v>
      </c>
      <c r="F79" s="450" t="s">
        <v>2107</v>
      </c>
    </row>
    <row r="80" ht="15.75" customHeight="1">
      <c r="A80" s="450" t="s">
        <v>2109</v>
      </c>
      <c r="B80" s="450" t="s">
        <v>2110</v>
      </c>
      <c r="F80" s="450" t="s">
        <v>2109</v>
      </c>
    </row>
    <row r="81" ht="15.75" customHeight="1">
      <c r="A81" s="450" t="s">
        <v>2111</v>
      </c>
      <c r="B81" s="450" t="s">
        <v>2112</v>
      </c>
      <c r="F81" s="450" t="s">
        <v>2111</v>
      </c>
    </row>
    <row r="82" ht="15.75" customHeight="1">
      <c r="A82" s="450" t="s">
        <v>2113</v>
      </c>
      <c r="B82" s="450" t="s">
        <v>2114</v>
      </c>
      <c r="F82" s="450" t="s">
        <v>2113</v>
      </c>
    </row>
    <row r="83" ht="15.75" customHeight="1">
      <c r="A83" s="450" t="s">
        <v>2115</v>
      </c>
      <c r="B83" s="450" t="s">
        <v>2116</v>
      </c>
      <c r="F83" s="450" t="s">
        <v>2115</v>
      </c>
    </row>
    <row r="84" ht="15.75" customHeight="1">
      <c r="A84" s="450" t="s">
        <v>2117</v>
      </c>
      <c r="B84" s="450" t="s">
        <v>2118</v>
      </c>
      <c r="F84" s="450" t="s">
        <v>2117</v>
      </c>
    </row>
    <row r="85" ht="15.75" customHeight="1">
      <c r="A85" s="450" t="s">
        <v>2119</v>
      </c>
      <c r="B85" s="450" t="s">
        <v>2120</v>
      </c>
      <c r="F85" s="450" t="s">
        <v>2119</v>
      </c>
    </row>
    <row r="86" ht="15.75" customHeight="1">
      <c r="A86" s="450" t="s">
        <v>2121</v>
      </c>
      <c r="B86" s="450" t="s">
        <v>2122</v>
      </c>
      <c r="F86" s="450" t="s">
        <v>2121</v>
      </c>
    </row>
    <row r="87" ht="15.75" customHeight="1">
      <c r="A87" s="450" t="s">
        <v>2123</v>
      </c>
      <c r="B87" s="450" t="s">
        <v>2124</v>
      </c>
      <c r="F87" s="450" t="s">
        <v>2123</v>
      </c>
    </row>
    <row r="88" ht="15.75" customHeight="1">
      <c r="A88" s="450" t="s">
        <v>2125</v>
      </c>
      <c r="B88" s="450" t="s">
        <v>2126</v>
      </c>
      <c r="F88" s="450" t="s">
        <v>2125</v>
      </c>
    </row>
    <row r="89" ht="15.75" customHeight="1">
      <c r="A89" s="450" t="s">
        <v>2127</v>
      </c>
      <c r="B89" s="450" t="s">
        <v>2128</v>
      </c>
      <c r="F89" s="450" t="s">
        <v>2127</v>
      </c>
    </row>
    <row r="90" ht="15.75" customHeight="1">
      <c r="A90" s="450" t="s">
        <v>1685</v>
      </c>
      <c r="B90" s="450" t="s">
        <v>2129</v>
      </c>
      <c r="F90" s="450" t="s">
        <v>1685</v>
      </c>
    </row>
    <row r="91" ht="15.75" customHeight="1">
      <c r="A91" s="450" t="s">
        <v>2130</v>
      </c>
      <c r="B91" s="450" t="s">
        <v>2131</v>
      </c>
      <c r="F91" s="450" t="s">
        <v>2130</v>
      </c>
    </row>
    <row r="92" ht="15.75" customHeight="1">
      <c r="A92" s="450" t="s">
        <v>2132</v>
      </c>
      <c r="B92" s="450" t="s">
        <v>2133</v>
      </c>
      <c r="F92" s="450" t="s">
        <v>2132</v>
      </c>
    </row>
    <row r="93" ht="15.75" customHeight="1">
      <c r="A93" s="450" t="s">
        <v>2134</v>
      </c>
      <c r="B93" s="450" t="s">
        <v>2135</v>
      </c>
      <c r="F93" s="450" t="s">
        <v>2134</v>
      </c>
    </row>
    <row r="94" ht="15.75" customHeight="1">
      <c r="A94" s="450" t="s">
        <v>2136</v>
      </c>
      <c r="B94" s="450" t="s">
        <v>2137</v>
      </c>
      <c r="F94" s="450" t="s">
        <v>2136</v>
      </c>
    </row>
    <row r="95" ht="15.75" customHeight="1">
      <c r="A95" s="450" t="s">
        <v>2138</v>
      </c>
      <c r="B95" s="450" t="s">
        <v>2139</v>
      </c>
      <c r="F95" s="450" t="s">
        <v>2138</v>
      </c>
    </row>
    <row r="96" ht="15.75" customHeight="1">
      <c r="A96" s="450" t="s">
        <v>2140</v>
      </c>
      <c r="B96" s="450" t="s">
        <v>2141</v>
      </c>
      <c r="F96" s="450" t="s">
        <v>2140</v>
      </c>
    </row>
    <row r="97" ht="15.75" customHeight="1">
      <c r="A97" s="450" t="s">
        <v>2142</v>
      </c>
      <c r="B97" s="450" t="s">
        <v>2143</v>
      </c>
      <c r="F97" s="450" t="s">
        <v>2142</v>
      </c>
    </row>
    <row r="98" ht="15.75" customHeight="1">
      <c r="A98" s="450" t="s">
        <v>2144</v>
      </c>
      <c r="B98" s="450" t="s">
        <v>2145</v>
      </c>
      <c r="F98" s="450" t="s">
        <v>2144</v>
      </c>
    </row>
    <row r="99" ht="15.75" customHeight="1">
      <c r="A99" s="450" t="s">
        <v>2146</v>
      </c>
      <c r="B99" s="450" t="s">
        <v>2147</v>
      </c>
      <c r="F99" s="450" t="s">
        <v>2146</v>
      </c>
    </row>
    <row r="100" ht="15.75" customHeight="1">
      <c r="A100" s="450" t="s">
        <v>2148</v>
      </c>
      <c r="B100" s="450" t="s">
        <v>2149</v>
      </c>
      <c r="F100" s="450" t="s">
        <v>2148</v>
      </c>
    </row>
    <row r="101" ht="15.75" customHeight="1">
      <c r="A101" s="450" t="s">
        <v>2150</v>
      </c>
      <c r="B101" s="450" t="s">
        <v>2151</v>
      </c>
      <c r="F101" s="450" t="s">
        <v>2150</v>
      </c>
    </row>
    <row r="102" ht="15.75" customHeight="1">
      <c r="A102" s="450" t="s">
        <v>2152</v>
      </c>
      <c r="B102" s="450" t="s">
        <v>2153</v>
      </c>
      <c r="F102" s="450" t="s">
        <v>2152</v>
      </c>
    </row>
    <row r="103" ht="15.75" customHeight="1">
      <c r="A103" s="450" t="s">
        <v>2154</v>
      </c>
      <c r="B103" s="450" t="s">
        <v>2155</v>
      </c>
      <c r="F103" s="450" t="s">
        <v>2154</v>
      </c>
    </row>
    <row r="104" ht="15.75" customHeight="1">
      <c r="A104" s="450" t="s">
        <v>2156</v>
      </c>
      <c r="B104" s="450" t="s">
        <v>2157</v>
      </c>
      <c r="F104" s="450" t="s">
        <v>2156</v>
      </c>
    </row>
    <row r="105" ht="15.75" customHeight="1">
      <c r="A105" s="450" t="s">
        <v>2158</v>
      </c>
      <c r="B105" s="450" t="s">
        <v>2159</v>
      </c>
      <c r="F105" s="450" t="s">
        <v>2158</v>
      </c>
    </row>
    <row r="106" ht="15.75" customHeight="1">
      <c r="A106" s="450" t="s">
        <v>2160</v>
      </c>
      <c r="B106" s="450" t="s">
        <v>2161</v>
      </c>
      <c r="F106" s="450" t="s">
        <v>2160</v>
      </c>
    </row>
    <row r="107" ht="15.75" customHeight="1">
      <c r="A107" s="450" t="s">
        <v>2162</v>
      </c>
      <c r="B107" s="450" t="s">
        <v>2163</v>
      </c>
      <c r="F107" s="450" t="s">
        <v>2162</v>
      </c>
    </row>
    <row r="108" ht="15.75" customHeight="1">
      <c r="A108" s="450" t="s">
        <v>2164</v>
      </c>
      <c r="B108" s="450" t="s">
        <v>2165</v>
      </c>
      <c r="F108" s="450" t="s">
        <v>2164</v>
      </c>
    </row>
    <row r="109" ht="15.75" customHeight="1">
      <c r="A109" s="450" t="s">
        <v>2166</v>
      </c>
      <c r="B109" s="450" t="s">
        <v>2167</v>
      </c>
      <c r="F109" s="450" t="s">
        <v>2166</v>
      </c>
    </row>
    <row r="110" ht="15.75" customHeight="1">
      <c r="A110" s="450" t="s">
        <v>2168</v>
      </c>
      <c r="B110" s="450" t="s">
        <v>2169</v>
      </c>
      <c r="F110" s="450" t="s">
        <v>2168</v>
      </c>
    </row>
    <row r="111" ht="15.75" customHeight="1">
      <c r="A111" s="450" t="s">
        <v>2170</v>
      </c>
      <c r="B111" s="450" t="s">
        <v>2171</v>
      </c>
      <c r="F111" s="450" t="s">
        <v>2170</v>
      </c>
    </row>
    <row r="112" ht="15.75" customHeight="1">
      <c r="A112" s="450" t="s">
        <v>2172</v>
      </c>
      <c r="B112" s="450" t="s">
        <v>2173</v>
      </c>
      <c r="F112" s="450" t="s">
        <v>2172</v>
      </c>
    </row>
    <row r="113" ht="15.75" customHeight="1">
      <c r="A113" s="450" t="s">
        <v>2174</v>
      </c>
      <c r="B113" s="450" t="s">
        <v>2175</v>
      </c>
      <c r="F113" s="450" t="s">
        <v>2174</v>
      </c>
    </row>
    <row r="114" ht="15.75" customHeight="1">
      <c r="A114" s="450" t="s">
        <v>2176</v>
      </c>
      <c r="B114" s="450" t="s">
        <v>2177</v>
      </c>
      <c r="F114" s="450" t="s">
        <v>2176</v>
      </c>
    </row>
    <row r="115" ht="15.75" customHeight="1">
      <c r="A115" s="450" t="s">
        <v>2178</v>
      </c>
      <c r="B115" s="450" t="s">
        <v>2179</v>
      </c>
      <c r="F115" s="450" t="s">
        <v>2178</v>
      </c>
    </row>
    <row r="116" ht="15.75" customHeight="1">
      <c r="A116" s="450" t="s">
        <v>2180</v>
      </c>
      <c r="B116" s="450" t="s">
        <v>2181</v>
      </c>
      <c r="F116" s="450" t="s">
        <v>2180</v>
      </c>
    </row>
    <row r="117" ht="15.75" customHeight="1">
      <c r="A117" s="450" t="s">
        <v>2182</v>
      </c>
      <c r="B117" s="450" t="s">
        <v>2183</v>
      </c>
      <c r="F117" s="450" t="s">
        <v>2182</v>
      </c>
    </row>
    <row r="118" ht="15.75" customHeight="1">
      <c r="A118" s="450" t="s">
        <v>2184</v>
      </c>
      <c r="B118" s="450" t="s">
        <v>2185</v>
      </c>
      <c r="F118" s="450" t="s">
        <v>2184</v>
      </c>
    </row>
    <row r="119" ht="15.75" customHeight="1">
      <c r="A119" s="450" t="s">
        <v>2186</v>
      </c>
      <c r="F119" s="450" t="s">
        <v>2186</v>
      </c>
    </row>
    <row r="120" ht="15.75" customHeight="1">
      <c r="A120" s="450" t="s">
        <v>2187</v>
      </c>
      <c r="F120" s="450" t="s">
        <v>2187</v>
      </c>
    </row>
    <row r="121" ht="15.75" customHeight="1">
      <c r="A121" s="450" t="s">
        <v>2188</v>
      </c>
      <c r="F121" s="450" t="s">
        <v>2188</v>
      </c>
    </row>
    <row r="122" ht="15.75" customHeight="1">
      <c r="A122" s="450" t="s">
        <v>2189</v>
      </c>
      <c r="F122" s="450" t="s">
        <v>2189</v>
      </c>
    </row>
    <row r="123" ht="15.75" customHeight="1">
      <c r="A123" s="450" t="s">
        <v>2190</v>
      </c>
      <c r="F123" s="450" t="s">
        <v>2190</v>
      </c>
    </row>
    <row r="124" ht="15.75" customHeight="1">
      <c r="A124" s="450" t="s">
        <v>2191</v>
      </c>
      <c r="F124" s="450" t="s">
        <v>2191</v>
      </c>
    </row>
    <row r="125" ht="15.75" customHeight="1">
      <c r="A125" s="450" t="s">
        <v>1684</v>
      </c>
      <c r="F125" s="450" t="s">
        <v>1684</v>
      </c>
    </row>
    <row r="126" ht="15.75" customHeight="1">
      <c r="A126" s="450" t="s">
        <v>2192</v>
      </c>
      <c r="F126" s="450" t="s">
        <v>2192</v>
      </c>
    </row>
    <row r="127" ht="15.75" customHeight="1">
      <c r="A127" s="450" t="s">
        <v>2193</v>
      </c>
      <c r="F127" s="450" t="s">
        <v>2193</v>
      </c>
    </row>
    <row r="128" ht="15.75" customHeight="1">
      <c r="A128" s="450" t="s">
        <v>2194</v>
      </c>
      <c r="F128" s="450" t="s">
        <v>2194</v>
      </c>
    </row>
    <row r="129" ht="15.75" customHeight="1">
      <c r="A129" s="450" t="s">
        <v>2195</v>
      </c>
      <c r="F129" s="450" t="s">
        <v>2195</v>
      </c>
    </row>
    <row r="130" ht="15.75" customHeight="1">
      <c r="A130" s="450" t="s">
        <v>2196</v>
      </c>
      <c r="F130" s="450" t="s">
        <v>2196</v>
      </c>
    </row>
    <row r="131" ht="15.75" customHeight="1">
      <c r="A131" s="450" t="s">
        <v>2197</v>
      </c>
      <c r="F131" s="450" t="s">
        <v>2197</v>
      </c>
    </row>
    <row r="132" ht="15.75" customHeight="1">
      <c r="A132" s="450" t="s">
        <v>2198</v>
      </c>
      <c r="F132" s="450" t="s">
        <v>2198</v>
      </c>
    </row>
    <row r="133" ht="15.75" customHeight="1">
      <c r="A133" s="450" t="s">
        <v>2199</v>
      </c>
      <c r="F133" s="450" t="s">
        <v>2199</v>
      </c>
    </row>
    <row r="134" ht="15.75" customHeight="1">
      <c r="A134" s="450" t="s">
        <v>2200</v>
      </c>
      <c r="F134" s="450" t="s">
        <v>2200</v>
      </c>
    </row>
    <row r="135" ht="15.75" customHeight="1">
      <c r="A135" s="450" t="s">
        <v>2201</v>
      </c>
      <c r="F135" s="450" t="s">
        <v>2201</v>
      </c>
    </row>
    <row r="136" ht="15.75" customHeight="1">
      <c r="A136" s="450" t="s">
        <v>2202</v>
      </c>
      <c r="F136" s="450" t="s">
        <v>2202</v>
      </c>
    </row>
    <row r="137" ht="15.75" customHeight="1">
      <c r="A137" s="450" t="s">
        <v>2203</v>
      </c>
      <c r="F137" s="450" t="s">
        <v>2203</v>
      </c>
    </row>
    <row r="138" ht="15.75" customHeight="1">
      <c r="A138" s="450" t="s">
        <v>2204</v>
      </c>
      <c r="F138" s="450" t="s">
        <v>2204</v>
      </c>
    </row>
    <row r="139" ht="15.75" customHeight="1">
      <c r="A139" s="450" t="s">
        <v>2205</v>
      </c>
      <c r="F139" s="450" t="s">
        <v>2205</v>
      </c>
    </row>
    <row r="140" ht="15.75" customHeight="1">
      <c r="A140" s="450" t="s">
        <v>2206</v>
      </c>
      <c r="F140" s="450" t="s">
        <v>2206</v>
      </c>
    </row>
    <row r="141" ht="15.75" customHeight="1">
      <c r="A141" s="450" t="s">
        <v>2207</v>
      </c>
      <c r="F141" s="450" t="s">
        <v>2207</v>
      </c>
    </row>
    <row r="142" ht="15.75" customHeight="1">
      <c r="A142" s="450" t="s">
        <v>2208</v>
      </c>
      <c r="F142" s="450" t="s">
        <v>2208</v>
      </c>
    </row>
    <row r="143" ht="15.75" customHeight="1">
      <c r="A143" s="450" t="s">
        <v>2209</v>
      </c>
      <c r="F143" s="450" t="s">
        <v>2209</v>
      </c>
    </row>
    <row r="144" ht="15.75" customHeight="1">
      <c r="A144" s="450" t="s">
        <v>2210</v>
      </c>
      <c r="F144" s="450" t="s">
        <v>2210</v>
      </c>
    </row>
    <row r="145" ht="15.75" customHeight="1">
      <c r="A145" s="450" t="s">
        <v>2211</v>
      </c>
      <c r="F145" s="450" t="s">
        <v>2211</v>
      </c>
    </row>
    <row r="146" ht="15.75" customHeight="1">
      <c r="A146" s="450" t="s">
        <v>2212</v>
      </c>
      <c r="F146" s="450" t="s">
        <v>2212</v>
      </c>
    </row>
    <row r="147" ht="15.75" customHeight="1">
      <c r="A147" s="450" t="s">
        <v>2213</v>
      </c>
      <c r="F147" s="450" t="s">
        <v>2213</v>
      </c>
    </row>
    <row r="148" ht="15.75" customHeight="1">
      <c r="A148" s="450" t="s">
        <v>2214</v>
      </c>
      <c r="F148" s="450" t="s">
        <v>2214</v>
      </c>
    </row>
    <row r="149" ht="15.75" customHeight="1">
      <c r="A149" s="450" t="s">
        <v>2215</v>
      </c>
      <c r="F149" s="450" t="s">
        <v>2215</v>
      </c>
    </row>
    <row r="150" ht="15.75" customHeight="1">
      <c r="A150" s="450" t="s">
        <v>2216</v>
      </c>
      <c r="F150" s="450" t="s">
        <v>2216</v>
      </c>
    </row>
    <row r="151" ht="15.75" customHeight="1">
      <c r="A151" s="450" t="s">
        <v>2217</v>
      </c>
      <c r="F151" s="450" t="s">
        <v>2217</v>
      </c>
    </row>
    <row r="152" ht="15.75" customHeight="1">
      <c r="A152" s="450" t="s">
        <v>2218</v>
      </c>
      <c r="F152" s="450" t="s">
        <v>2218</v>
      </c>
    </row>
    <row r="153" ht="15.75" customHeight="1">
      <c r="A153" s="450" t="s">
        <v>2219</v>
      </c>
      <c r="F153" s="450" t="s">
        <v>2219</v>
      </c>
    </row>
    <row r="154" ht="15.75" customHeight="1">
      <c r="A154" s="450" t="s">
        <v>2220</v>
      </c>
      <c r="F154" s="450" t="s">
        <v>2220</v>
      </c>
    </row>
    <row r="155" ht="15.75" customHeight="1">
      <c r="A155" s="450" t="s">
        <v>2221</v>
      </c>
      <c r="F155" s="450" t="s">
        <v>2221</v>
      </c>
    </row>
    <row r="156" ht="15.75" customHeight="1">
      <c r="A156" s="450" t="s">
        <v>2222</v>
      </c>
      <c r="F156" s="450" t="s">
        <v>2222</v>
      </c>
    </row>
    <row r="157" ht="15.75" customHeight="1">
      <c r="A157" s="450" t="s">
        <v>2223</v>
      </c>
      <c r="F157" s="450" t="s">
        <v>2223</v>
      </c>
    </row>
    <row r="158" ht="15.75" customHeight="1">
      <c r="A158" s="450" t="s">
        <v>2224</v>
      </c>
      <c r="F158" s="450" t="s">
        <v>2224</v>
      </c>
    </row>
    <row r="159" ht="15.75" customHeight="1">
      <c r="A159" s="450" t="s">
        <v>2225</v>
      </c>
      <c r="F159" s="450" t="s">
        <v>2225</v>
      </c>
    </row>
    <row r="160" ht="15.75" customHeight="1">
      <c r="A160" s="450" t="s">
        <v>2226</v>
      </c>
      <c r="F160" s="450" t="s">
        <v>2226</v>
      </c>
    </row>
    <row r="161" ht="15.75" customHeight="1">
      <c r="A161" s="450" t="s">
        <v>2227</v>
      </c>
      <c r="F161" s="450" t="s">
        <v>2227</v>
      </c>
    </row>
    <row r="162" ht="15.75" customHeight="1">
      <c r="A162" s="450" t="s">
        <v>2228</v>
      </c>
      <c r="F162" s="450" t="s">
        <v>2228</v>
      </c>
    </row>
    <row r="163" ht="15.75" customHeight="1">
      <c r="A163" s="450" t="s">
        <v>2229</v>
      </c>
      <c r="F163" s="450" t="s">
        <v>2229</v>
      </c>
    </row>
    <row r="164" ht="15.75" customHeight="1">
      <c r="A164" s="450" t="s">
        <v>2230</v>
      </c>
      <c r="F164" s="450" t="s">
        <v>2230</v>
      </c>
    </row>
    <row r="165" ht="15.75" customHeight="1">
      <c r="A165" s="450" t="s">
        <v>2231</v>
      </c>
      <c r="F165" s="450" t="s">
        <v>2231</v>
      </c>
    </row>
    <row r="166" ht="15.75" customHeight="1">
      <c r="A166" s="450" t="s">
        <v>2232</v>
      </c>
      <c r="F166" s="450" t="s">
        <v>2232</v>
      </c>
    </row>
    <row r="167" ht="15.75" customHeight="1">
      <c r="A167" s="450" t="s">
        <v>2233</v>
      </c>
      <c r="F167" s="450" t="s">
        <v>2233</v>
      </c>
    </row>
    <row r="168" ht="15.75" customHeight="1">
      <c r="A168" s="450" t="s">
        <v>2234</v>
      </c>
      <c r="F168" s="450" t="s">
        <v>2234</v>
      </c>
    </row>
    <row r="169" ht="15.75" customHeight="1">
      <c r="A169" s="450" t="s">
        <v>2235</v>
      </c>
      <c r="F169" s="450" t="s">
        <v>2235</v>
      </c>
    </row>
    <row r="170" ht="15.75" customHeight="1">
      <c r="A170" s="450" t="s">
        <v>2236</v>
      </c>
      <c r="F170" s="450" t="s">
        <v>2236</v>
      </c>
    </row>
    <row r="171" ht="15.75" customHeight="1">
      <c r="A171" s="450" t="s">
        <v>2237</v>
      </c>
      <c r="F171" s="450" t="s">
        <v>2237</v>
      </c>
    </row>
    <row r="172" ht="15.75" customHeight="1">
      <c r="A172" s="450" t="s">
        <v>2238</v>
      </c>
      <c r="F172" s="450" t="s">
        <v>2238</v>
      </c>
    </row>
    <row r="173" ht="15.75" customHeight="1">
      <c r="A173" s="450" t="s">
        <v>2239</v>
      </c>
      <c r="F173" s="450" t="s">
        <v>2239</v>
      </c>
    </row>
    <row r="174" ht="15.75" customHeight="1">
      <c r="A174" s="450" t="s">
        <v>2240</v>
      </c>
      <c r="F174" s="450" t="s">
        <v>2240</v>
      </c>
    </row>
    <row r="175" ht="15.75" customHeight="1">
      <c r="A175" s="450" t="s">
        <v>2241</v>
      </c>
      <c r="F175" s="450" t="s">
        <v>2241</v>
      </c>
    </row>
    <row r="176" ht="15.75" customHeight="1">
      <c r="A176" s="450" t="s">
        <v>2242</v>
      </c>
      <c r="F176" s="450" t="s">
        <v>2242</v>
      </c>
    </row>
    <row r="177" ht="15.75" customHeight="1">
      <c r="A177" s="450" t="s">
        <v>2243</v>
      </c>
      <c r="F177" s="450" t="s">
        <v>2243</v>
      </c>
    </row>
    <row r="178" ht="15.75" customHeight="1">
      <c r="A178" s="450" t="s">
        <v>2244</v>
      </c>
      <c r="F178" s="450" t="s">
        <v>2244</v>
      </c>
    </row>
    <row r="179" ht="15.75" customHeight="1">
      <c r="A179" s="450" t="s">
        <v>2245</v>
      </c>
      <c r="F179" s="450" t="s">
        <v>2245</v>
      </c>
    </row>
    <row r="180" ht="15.75" customHeight="1">
      <c r="A180" s="450" t="s">
        <v>2246</v>
      </c>
      <c r="F180" s="450" t="s">
        <v>2246</v>
      </c>
    </row>
    <row r="181" ht="15.75" customHeight="1">
      <c r="A181" s="450" t="s">
        <v>2247</v>
      </c>
      <c r="F181" s="450" t="s">
        <v>2247</v>
      </c>
    </row>
    <row r="182" ht="15.75" customHeight="1">
      <c r="A182" s="450" t="s">
        <v>2248</v>
      </c>
      <c r="F182" s="450" t="s">
        <v>2248</v>
      </c>
    </row>
    <row r="183" ht="15.75" customHeight="1">
      <c r="A183" s="450" t="s">
        <v>2249</v>
      </c>
      <c r="F183" s="450" t="s">
        <v>2249</v>
      </c>
    </row>
    <row r="184" ht="15.75" customHeight="1">
      <c r="A184" s="450" t="s">
        <v>2250</v>
      </c>
      <c r="F184" s="450" t="s">
        <v>2250</v>
      </c>
    </row>
    <row r="185" ht="15.75" customHeight="1">
      <c r="A185" s="450" t="s">
        <v>2251</v>
      </c>
      <c r="F185" s="450" t="s">
        <v>2251</v>
      </c>
    </row>
    <row r="186" ht="15.75" customHeight="1">
      <c r="A186" s="450" t="s">
        <v>2252</v>
      </c>
      <c r="F186" s="450" t="s">
        <v>2252</v>
      </c>
    </row>
    <row r="187" ht="15.75" customHeight="1">
      <c r="A187" s="450" t="s">
        <v>2253</v>
      </c>
      <c r="F187" s="450" t="s">
        <v>2253</v>
      </c>
    </row>
    <row r="188" ht="15.75" customHeight="1">
      <c r="A188" s="450" t="s">
        <v>2254</v>
      </c>
      <c r="F188" s="450" t="s">
        <v>2254</v>
      </c>
    </row>
    <row r="189" ht="15.75" customHeight="1">
      <c r="A189" s="450" t="s">
        <v>2255</v>
      </c>
      <c r="F189" s="450" t="s">
        <v>2255</v>
      </c>
    </row>
    <row r="190" ht="15.75" customHeight="1">
      <c r="A190" s="450" t="s">
        <v>2256</v>
      </c>
      <c r="F190" s="450" t="s">
        <v>2256</v>
      </c>
    </row>
    <row r="191" ht="15.75" customHeight="1">
      <c r="A191" s="450" t="s">
        <v>2257</v>
      </c>
      <c r="F191" s="450" t="s">
        <v>2257</v>
      </c>
    </row>
    <row r="192" ht="15.75" customHeight="1">
      <c r="A192" s="450" t="s">
        <v>2258</v>
      </c>
      <c r="F192" s="450" t="s">
        <v>2258</v>
      </c>
    </row>
    <row r="193" ht="15.75" customHeight="1">
      <c r="A193" s="450" t="s">
        <v>2259</v>
      </c>
      <c r="F193" s="450" t="s">
        <v>2259</v>
      </c>
    </row>
    <row r="194" ht="15.75" customHeight="1">
      <c r="A194" s="450" t="s">
        <v>2260</v>
      </c>
      <c r="F194" s="450" t="s">
        <v>2260</v>
      </c>
    </row>
    <row r="195" ht="15.75" customHeight="1">
      <c r="A195" s="450" t="s">
        <v>2261</v>
      </c>
      <c r="F195" s="450" t="s">
        <v>2261</v>
      </c>
    </row>
    <row r="196" ht="15.75" customHeight="1">
      <c r="A196" s="450" t="s">
        <v>2262</v>
      </c>
      <c r="F196" s="450" t="s">
        <v>2262</v>
      </c>
    </row>
    <row r="197" ht="15.75" customHeight="1">
      <c r="A197" s="450" t="s">
        <v>2263</v>
      </c>
      <c r="F197" s="450" t="s">
        <v>2263</v>
      </c>
    </row>
    <row r="198" ht="15.75" customHeight="1">
      <c r="A198" s="450" t="s">
        <v>2264</v>
      </c>
      <c r="F198" s="450" t="s">
        <v>2264</v>
      </c>
    </row>
    <row r="199" ht="15.75" customHeight="1">
      <c r="A199" s="450" t="s">
        <v>2265</v>
      </c>
      <c r="F199" s="450" t="s">
        <v>2265</v>
      </c>
    </row>
    <row r="200" ht="15.75" customHeight="1">
      <c r="A200" s="450" t="s">
        <v>2266</v>
      </c>
      <c r="F200" s="450" t="s">
        <v>2266</v>
      </c>
    </row>
    <row r="201" ht="15.75" customHeight="1">
      <c r="A201" s="450" t="s">
        <v>2267</v>
      </c>
      <c r="F201" s="450" t="s">
        <v>2267</v>
      </c>
    </row>
    <row r="202" ht="15.75" customHeight="1">
      <c r="A202" s="450" t="s">
        <v>2268</v>
      </c>
      <c r="F202" s="450" t="s">
        <v>2268</v>
      </c>
    </row>
    <row r="203" ht="15.75" customHeight="1">
      <c r="A203" s="450" t="s">
        <v>2269</v>
      </c>
      <c r="F203" s="450" t="s">
        <v>2269</v>
      </c>
    </row>
    <row r="204" ht="15.75" customHeight="1">
      <c r="A204" s="450" t="s">
        <v>2270</v>
      </c>
      <c r="F204" s="450" t="s">
        <v>2270</v>
      </c>
    </row>
    <row r="205" ht="15.75" customHeight="1">
      <c r="A205" s="450" t="s">
        <v>2271</v>
      </c>
      <c r="F205" s="450" t="s">
        <v>2271</v>
      </c>
    </row>
    <row r="206" ht="15.75" customHeight="1">
      <c r="A206" s="450" t="s">
        <v>2272</v>
      </c>
      <c r="F206" s="450" t="s">
        <v>2272</v>
      </c>
    </row>
    <row r="207" ht="15.75" customHeight="1">
      <c r="A207" s="450" t="s">
        <v>2273</v>
      </c>
      <c r="F207" s="450" t="s">
        <v>2273</v>
      </c>
    </row>
    <row r="208" ht="15.75" customHeight="1">
      <c r="A208" s="450" t="s">
        <v>2274</v>
      </c>
      <c r="F208" s="450" t="s">
        <v>2274</v>
      </c>
    </row>
    <row r="209" ht="15.75" customHeight="1">
      <c r="A209" s="450" t="s">
        <v>2275</v>
      </c>
      <c r="F209" s="450" t="s">
        <v>2275</v>
      </c>
    </row>
    <row r="210" ht="15.75" customHeight="1">
      <c r="A210" s="450" t="s">
        <v>2276</v>
      </c>
      <c r="F210" s="450" t="s">
        <v>2276</v>
      </c>
    </row>
    <row r="211" ht="15.75" customHeight="1">
      <c r="A211" s="450" t="s">
        <v>2277</v>
      </c>
      <c r="F211" s="450" t="s">
        <v>2277</v>
      </c>
    </row>
    <row r="212" ht="15.75" customHeight="1">
      <c r="A212" s="450" t="s">
        <v>2278</v>
      </c>
      <c r="F212" s="450" t="s">
        <v>2278</v>
      </c>
    </row>
    <row r="213" ht="15.75" customHeight="1">
      <c r="A213" s="450" t="s">
        <v>2279</v>
      </c>
      <c r="F213" s="450" t="s">
        <v>2279</v>
      </c>
    </row>
    <row r="214" ht="15.75" customHeight="1">
      <c r="A214" s="450" t="s">
        <v>2280</v>
      </c>
      <c r="F214" s="450" t="s">
        <v>2280</v>
      </c>
    </row>
    <row r="215" ht="15.75" customHeight="1">
      <c r="A215" s="450" t="s">
        <v>2281</v>
      </c>
      <c r="F215" s="450" t="s">
        <v>2281</v>
      </c>
    </row>
    <row r="216" ht="15.75" customHeight="1">
      <c r="A216" s="450" t="s">
        <v>2282</v>
      </c>
      <c r="F216" s="450" t="s">
        <v>2282</v>
      </c>
    </row>
    <row r="217" ht="15.75" customHeight="1">
      <c r="A217" s="450" t="s">
        <v>2283</v>
      </c>
      <c r="F217" s="450" t="s">
        <v>2283</v>
      </c>
    </row>
    <row r="218" ht="15.75" customHeight="1">
      <c r="A218" s="450" t="s">
        <v>2284</v>
      </c>
      <c r="F218" s="450" t="s">
        <v>2284</v>
      </c>
    </row>
    <row r="219" ht="15.75" customHeight="1">
      <c r="A219" s="450" t="s">
        <v>2285</v>
      </c>
      <c r="F219" s="450" t="s">
        <v>2285</v>
      </c>
    </row>
    <row r="220" ht="15.75" customHeight="1">
      <c r="A220" s="450" t="s">
        <v>2286</v>
      </c>
      <c r="F220" s="450" t="s">
        <v>2286</v>
      </c>
    </row>
    <row r="221" ht="15.75" customHeight="1">
      <c r="A221" s="450" t="s">
        <v>2287</v>
      </c>
      <c r="F221" s="450" t="s">
        <v>2287</v>
      </c>
    </row>
    <row r="222" ht="15.75" customHeight="1">
      <c r="A222" s="450" t="s">
        <v>2288</v>
      </c>
      <c r="F222" s="450" t="s">
        <v>2288</v>
      </c>
    </row>
    <row r="223" ht="15.75" customHeight="1">
      <c r="A223" s="450" t="s">
        <v>2289</v>
      </c>
      <c r="F223" s="450" t="s">
        <v>2289</v>
      </c>
    </row>
    <row r="224" ht="15.75" customHeight="1">
      <c r="A224" s="450" t="s">
        <v>2290</v>
      </c>
      <c r="F224" s="450" t="s">
        <v>2290</v>
      </c>
    </row>
    <row r="225" ht="15.75" customHeight="1">
      <c r="A225" s="450" t="s">
        <v>2291</v>
      </c>
      <c r="F225" s="450" t="s">
        <v>2291</v>
      </c>
    </row>
    <row r="226" ht="15.75" customHeight="1">
      <c r="A226" s="450" t="s">
        <v>2292</v>
      </c>
      <c r="F226" s="450" t="s">
        <v>2292</v>
      </c>
    </row>
    <row r="227" ht="15.75" customHeight="1">
      <c r="A227" s="450" t="s">
        <v>2293</v>
      </c>
      <c r="F227" s="450" t="s">
        <v>2293</v>
      </c>
    </row>
    <row r="228" ht="15.75" customHeight="1">
      <c r="A228" s="450" t="s">
        <v>2294</v>
      </c>
      <c r="F228" s="450" t="s">
        <v>2294</v>
      </c>
    </row>
    <row r="229" ht="15.75" customHeight="1">
      <c r="A229" s="450" t="s">
        <v>2295</v>
      </c>
      <c r="F229" s="450" t="s">
        <v>2295</v>
      </c>
    </row>
    <row r="230" ht="15.75" customHeight="1">
      <c r="A230" s="450" t="s">
        <v>2296</v>
      </c>
      <c r="F230" s="450" t="s">
        <v>2296</v>
      </c>
    </row>
    <row r="231" ht="15.75" customHeight="1">
      <c r="A231" s="450" t="s">
        <v>2297</v>
      </c>
      <c r="F231" s="450" t="s">
        <v>2297</v>
      </c>
    </row>
    <row r="232" ht="15.75" customHeight="1">
      <c r="A232" s="450" t="s">
        <v>2298</v>
      </c>
      <c r="F232" s="450" t="s">
        <v>2298</v>
      </c>
    </row>
    <row r="233" ht="15.75" customHeight="1">
      <c r="A233" s="450" t="s">
        <v>2299</v>
      </c>
      <c r="F233" s="450" t="s">
        <v>2299</v>
      </c>
    </row>
    <row r="234" ht="15.75" customHeight="1">
      <c r="A234" s="450" t="s">
        <v>2300</v>
      </c>
      <c r="F234" s="450" t="s">
        <v>2300</v>
      </c>
    </row>
    <row r="235" ht="15.75" customHeight="1">
      <c r="A235" s="450" t="s">
        <v>2301</v>
      </c>
      <c r="F235" s="450" t="s">
        <v>2301</v>
      </c>
    </row>
    <row r="236" ht="15.75" customHeight="1">
      <c r="A236" s="450" t="s">
        <v>2302</v>
      </c>
      <c r="F236" s="450" t="s">
        <v>2302</v>
      </c>
    </row>
    <row r="237" ht="15.75" customHeight="1">
      <c r="A237" s="450" t="s">
        <v>2303</v>
      </c>
      <c r="F237" s="450" t="s">
        <v>2303</v>
      </c>
    </row>
    <row r="238" ht="15.75" customHeight="1">
      <c r="A238" s="450" t="s">
        <v>2304</v>
      </c>
      <c r="F238" s="450" t="s">
        <v>2304</v>
      </c>
    </row>
    <row r="239" ht="15.75" customHeight="1">
      <c r="A239" s="450" t="s">
        <v>2305</v>
      </c>
      <c r="F239" s="450" t="s">
        <v>2305</v>
      </c>
    </row>
    <row r="240" ht="15.75" customHeight="1">
      <c r="A240" s="450" t="s">
        <v>2306</v>
      </c>
      <c r="F240" s="450" t="s">
        <v>2306</v>
      </c>
    </row>
    <row r="241" ht="15.75" customHeight="1">
      <c r="A241" s="450" t="s">
        <v>2307</v>
      </c>
      <c r="F241" s="450" t="s">
        <v>2307</v>
      </c>
    </row>
    <row r="242" ht="15.75" customHeight="1">
      <c r="A242" s="450" t="s">
        <v>2308</v>
      </c>
      <c r="F242" s="450" t="s">
        <v>2308</v>
      </c>
    </row>
    <row r="243" ht="15.75" customHeight="1">
      <c r="A243" s="450" t="s">
        <v>2309</v>
      </c>
      <c r="F243" s="450" t="s">
        <v>2309</v>
      </c>
    </row>
    <row r="244" ht="15.75" customHeight="1">
      <c r="A244" s="450" t="s">
        <v>2310</v>
      </c>
      <c r="F244" s="450" t="s">
        <v>2310</v>
      </c>
    </row>
    <row r="245" ht="15.75" customHeight="1">
      <c r="A245" s="450" t="s">
        <v>2311</v>
      </c>
      <c r="F245" s="450" t="s">
        <v>2311</v>
      </c>
    </row>
    <row r="246" ht="15.75" customHeight="1">
      <c r="A246" s="450" t="s">
        <v>2312</v>
      </c>
      <c r="F246" s="450" t="s">
        <v>2312</v>
      </c>
    </row>
    <row r="247" ht="15.75" customHeight="1">
      <c r="A247" s="450" t="s">
        <v>2313</v>
      </c>
      <c r="F247" s="450" t="s">
        <v>2313</v>
      </c>
    </row>
    <row r="248" ht="15.75" customHeight="1">
      <c r="A248" s="450" t="s">
        <v>2314</v>
      </c>
      <c r="F248" s="450" t="s">
        <v>2314</v>
      </c>
    </row>
    <row r="249" ht="15.75" customHeight="1">
      <c r="A249" s="450" t="s">
        <v>2315</v>
      </c>
      <c r="F249" s="450" t="s">
        <v>2315</v>
      </c>
    </row>
    <row r="250" ht="15.75" customHeight="1">
      <c r="A250" s="450" t="s">
        <v>2316</v>
      </c>
      <c r="F250" s="450" t="s">
        <v>2316</v>
      </c>
    </row>
    <row r="251" ht="15.75" customHeight="1">
      <c r="A251" s="450" t="s">
        <v>2317</v>
      </c>
      <c r="F251" s="450" t="s">
        <v>2317</v>
      </c>
    </row>
    <row r="252" ht="15.75" customHeight="1">
      <c r="A252" s="450" t="s">
        <v>2318</v>
      </c>
      <c r="F252" s="450" t="s">
        <v>2318</v>
      </c>
    </row>
    <row r="253" ht="15.75" customHeight="1">
      <c r="A253" s="450" t="s">
        <v>2319</v>
      </c>
      <c r="F253" s="450" t="s">
        <v>2319</v>
      </c>
    </row>
    <row r="254" ht="15.75" customHeight="1">
      <c r="A254" s="450" t="s">
        <v>2320</v>
      </c>
      <c r="F254" s="450" t="s">
        <v>2320</v>
      </c>
    </row>
    <row r="255" ht="15.75" customHeight="1">
      <c r="A255" s="450" t="s">
        <v>2321</v>
      </c>
      <c r="F255" s="450" t="s">
        <v>2321</v>
      </c>
    </row>
    <row r="256" ht="15.75" customHeight="1">
      <c r="A256" s="450" t="s">
        <v>2322</v>
      </c>
      <c r="F256" s="450" t="s">
        <v>2322</v>
      </c>
    </row>
    <row r="257" ht="15.75" customHeight="1">
      <c r="A257" s="450" t="s">
        <v>2323</v>
      </c>
      <c r="F257" s="450" t="s">
        <v>2323</v>
      </c>
    </row>
    <row r="258" ht="15.75" customHeight="1">
      <c r="A258" s="450" t="s">
        <v>2324</v>
      </c>
      <c r="F258" s="450" t="s">
        <v>2324</v>
      </c>
    </row>
    <row r="259" ht="15.75" customHeight="1">
      <c r="A259" s="450" t="s">
        <v>2325</v>
      </c>
      <c r="F259" s="450" t="s">
        <v>2325</v>
      </c>
    </row>
    <row r="260" ht="15.75" customHeight="1">
      <c r="A260" s="450" t="s">
        <v>2326</v>
      </c>
      <c r="F260" s="450" t="s">
        <v>2326</v>
      </c>
    </row>
    <row r="261" ht="15.75" customHeight="1">
      <c r="A261" s="450" t="s">
        <v>2327</v>
      </c>
      <c r="F261" s="450" t="s">
        <v>2327</v>
      </c>
    </row>
    <row r="262" ht="15.75" customHeight="1">
      <c r="A262" s="450" t="s">
        <v>2328</v>
      </c>
      <c r="F262" s="450" t="s">
        <v>2328</v>
      </c>
    </row>
    <row r="263" ht="15.75" customHeight="1">
      <c r="A263" s="450" t="s">
        <v>2329</v>
      </c>
      <c r="F263" s="450" t="s">
        <v>2329</v>
      </c>
    </row>
    <row r="264" ht="15.75" customHeight="1">
      <c r="A264" s="450" t="s">
        <v>2330</v>
      </c>
      <c r="F264" s="450" t="s">
        <v>2330</v>
      </c>
    </row>
    <row r="265" ht="15.75" customHeight="1">
      <c r="A265" s="450" t="s">
        <v>2331</v>
      </c>
      <c r="F265" s="450" t="s">
        <v>2331</v>
      </c>
    </row>
    <row r="266" ht="15.75" customHeight="1">
      <c r="A266" s="450" t="s">
        <v>2332</v>
      </c>
      <c r="F266" s="450" t="s">
        <v>2332</v>
      </c>
    </row>
    <row r="267" ht="15.75" customHeight="1">
      <c r="A267" s="450" t="s">
        <v>2333</v>
      </c>
      <c r="F267" s="450" t="s">
        <v>2333</v>
      </c>
    </row>
    <row r="268" ht="15.75" customHeight="1">
      <c r="A268" s="450" t="s">
        <v>2334</v>
      </c>
      <c r="F268" s="450" t="s">
        <v>2334</v>
      </c>
    </row>
    <row r="269" ht="15.75" customHeight="1">
      <c r="A269" s="450" t="s">
        <v>2335</v>
      </c>
      <c r="F269" s="450" t="s">
        <v>2335</v>
      </c>
    </row>
    <row r="270" ht="15.75" customHeight="1">
      <c r="A270" s="450" t="s">
        <v>2336</v>
      </c>
      <c r="F270" s="450" t="s">
        <v>2336</v>
      </c>
    </row>
    <row r="271" ht="15.75" customHeight="1">
      <c r="A271" s="450" t="s">
        <v>2337</v>
      </c>
      <c r="F271" s="450" t="s">
        <v>2337</v>
      </c>
    </row>
    <row r="272" ht="15.75" customHeight="1">
      <c r="A272" s="450" t="s">
        <v>2338</v>
      </c>
      <c r="F272" s="450" t="s">
        <v>2338</v>
      </c>
    </row>
    <row r="273" ht="15.75" customHeight="1">
      <c r="A273" s="450" t="s">
        <v>2339</v>
      </c>
      <c r="F273" s="450" t="s">
        <v>2339</v>
      </c>
    </row>
    <row r="274" ht="15.75" customHeight="1">
      <c r="A274" s="450" t="s">
        <v>2340</v>
      </c>
      <c r="F274" s="450" t="s">
        <v>2340</v>
      </c>
    </row>
    <row r="275" ht="15.75" customHeight="1">
      <c r="A275" s="450" t="s">
        <v>2341</v>
      </c>
      <c r="F275" s="450" t="s">
        <v>2341</v>
      </c>
    </row>
    <row r="276" ht="15.75" customHeight="1">
      <c r="A276" s="450" t="s">
        <v>2342</v>
      </c>
      <c r="F276" s="450" t="s">
        <v>2342</v>
      </c>
    </row>
    <row r="277" ht="15.75" customHeight="1">
      <c r="A277" s="450" t="s">
        <v>2343</v>
      </c>
      <c r="F277" s="450" t="s">
        <v>2343</v>
      </c>
    </row>
    <row r="278" ht="15.75" customHeight="1">
      <c r="A278" s="450" t="s">
        <v>2344</v>
      </c>
      <c r="F278" s="450" t="s">
        <v>2344</v>
      </c>
    </row>
    <row r="279" ht="15.75" customHeight="1">
      <c r="A279" s="450" t="s">
        <v>2345</v>
      </c>
      <c r="F279" s="450" t="s">
        <v>2345</v>
      </c>
    </row>
    <row r="280" ht="15.75" customHeight="1">
      <c r="A280" s="450" t="s">
        <v>2346</v>
      </c>
      <c r="F280" s="450" t="s">
        <v>2346</v>
      </c>
    </row>
    <row r="281" ht="15.75" customHeight="1">
      <c r="A281" s="450" t="s">
        <v>2347</v>
      </c>
      <c r="F281" s="450" t="s">
        <v>2347</v>
      </c>
    </row>
    <row r="282" ht="15.75" customHeight="1">
      <c r="A282" s="450" t="s">
        <v>2348</v>
      </c>
      <c r="F282" s="450" t="s">
        <v>2348</v>
      </c>
    </row>
    <row r="283" ht="15.75" customHeight="1">
      <c r="A283" s="450" t="s">
        <v>2349</v>
      </c>
      <c r="F283" s="450" t="s">
        <v>2349</v>
      </c>
    </row>
    <row r="284" ht="15.75" customHeight="1">
      <c r="A284" s="450" t="s">
        <v>2350</v>
      </c>
      <c r="F284" s="450" t="s">
        <v>2350</v>
      </c>
    </row>
    <row r="285" ht="15.75" customHeight="1">
      <c r="A285" s="450" t="s">
        <v>2351</v>
      </c>
      <c r="F285" s="450" t="s">
        <v>2351</v>
      </c>
    </row>
    <row r="286" ht="15.75" customHeight="1">
      <c r="A286" s="450" t="s">
        <v>2352</v>
      </c>
      <c r="F286" s="450" t="s">
        <v>2352</v>
      </c>
    </row>
    <row r="287" ht="15.75" customHeight="1">
      <c r="A287" s="450" t="s">
        <v>2353</v>
      </c>
      <c r="F287" s="450" t="s">
        <v>2353</v>
      </c>
    </row>
    <row r="288" ht="15.75" customHeight="1">
      <c r="A288" s="450" t="s">
        <v>2354</v>
      </c>
      <c r="F288" s="450" t="s">
        <v>2354</v>
      </c>
    </row>
    <row r="289" ht="15.75" customHeight="1">
      <c r="A289" s="450" t="s">
        <v>2355</v>
      </c>
      <c r="F289" s="450" t="s">
        <v>2355</v>
      </c>
    </row>
    <row r="290" ht="15.75" customHeight="1">
      <c r="A290" s="450" t="s">
        <v>2356</v>
      </c>
      <c r="F290" s="450" t="s">
        <v>2356</v>
      </c>
    </row>
    <row r="291" ht="15.75" customHeight="1">
      <c r="A291" s="450" t="s">
        <v>2357</v>
      </c>
      <c r="F291" s="450" t="s">
        <v>2357</v>
      </c>
    </row>
    <row r="292" ht="15.75" customHeight="1">
      <c r="A292" s="450" t="s">
        <v>2358</v>
      </c>
      <c r="F292" s="450" t="s">
        <v>2358</v>
      </c>
    </row>
    <row r="293" ht="15.75" customHeight="1">
      <c r="A293" s="450" t="s">
        <v>2359</v>
      </c>
      <c r="F293" s="450" t="s">
        <v>2359</v>
      </c>
    </row>
    <row r="294" ht="15.75" customHeight="1">
      <c r="A294" s="450" t="s">
        <v>2360</v>
      </c>
      <c r="F294" s="450" t="s">
        <v>2360</v>
      </c>
    </row>
    <row r="295" ht="15.75" customHeight="1">
      <c r="A295" s="450" t="s">
        <v>2361</v>
      </c>
      <c r="F295" s="450" t="s">
        <v>2361</v>
      </c>
    </row>
    <row r="296" ht="15.75" customHeight="1">
      <c r="A296" s="450" t="s">
        <v>2362</v>
      </c>
      <c r="F296" s="450" t="s">
        <v>2362</v>
      </c>
    </row>
    <row r="297" ht="15.75" customHeight="1">
      <c r="A297" s="450" t="s">
        <v>2363</v>
      </c>
      <c r="F297" s="450" t="s">
        <v>2363</v>
      </c>
    </row>
    <row r="298" ht="15.75" customHeight="1">
      <c r="A298" s="450" t="s">
        <v>2364</v>
      </c>
      <c r="F298" s="450" t="s">
        <v>2364</v>
      </c>
    </row>
    <row r="299" ht="15.75" customHeight="1">
      <c r="A299" s="450" t="s">
        <v>2365</v>
      </c>
      <c r="F299" s="450" t="s">
        <v>2365</v>
      </c>
    </row>
    <row r="300" ht="15.75" customHeight="1">
      <c r="A300" s="450" t="s">
        <v>2366</v>
      </c>
      <c r="F300" s="450" t="s">
        <v>2366</v>
      </c>
    </row>
    <row r="301" ht="15.75" customHeight="1">
      <c r="A301" s="450" t="s">
        <v>2367</v>
      </c>
      <c r="F301" s="450" t="s">
        <v>2367</v>
      </c>
    </row>
    <row r="302" ht="15.75" customHeight="1">
      <c r="A302" s="450" t="s">
        <v>2368</v>
      </c>
      <c r="F302" s="450" t="s">
        <v>2368</v>
      </c>
    </row>
    <row r="303" ht="15.75" customHeight="1">
      <c r="A303" s="450" t="s">
        <v>2369</v>
      </c>
      <c r="F303" s="450" t="s">
        <v>2369</v>
      </c>
    </row>
    <row r="304" ht="15.75" customHeight="1">
      <c r="A304" s="450" t="s">
        <v>2370</v>
      </c>
      <c r="F304" s="450" t="s">
        <v>2370</v>
      </c>
    </row>
    <row r="305" ht="15.75" customHeight="1">
      <c r="A305" s="450" t="s">
        <v>2371</v>
      </c>
      <c r="F305" s="450" t="s">
        <v>2371</v>
      </c>
    </row>
    <row r="306" ht="15.75" customHeight="1">
      <c r="A306" s="450" t="s">
        <v>2372</v>
      </c>
      <c r="F306" s="450" t="s">
        <v>2372</v>
      </c>
    </row>
    <row r="307" ht="15.75" customHeight="1">
      <c r="A307" s="450" t="s">
        <v>2373</v>
      </c>
      <c r="F307" s="450" t="s">
        <v>2373</v>
      </c>
    </row>
    <row r="308" ht="15.75" customHeight="1">
      <c r="A308" s="450" t="s">
        <v>2374</v>
      </c>
      <c r="F308" s="450" t="s">
        <v>2374</v>
      </c>
    </row>
    <row r="309" ht="15.75" customHeight="1">
      <c r="A309" s="450" t="s">
        <v>2375</v>
      </c>
      <c r="F309" s="450" t="s">
        <v>2375</v>
      </c>
    </row>
    <row r="310" ht="15.75" customHeight="1">
      <c r="A310" s="450" t="s">
        <v>2376</v>
      </c>
      <c r="F310" s="450" t="s">
        <v>2376</v>
      </c>
    </row>
    <row r="311" ht="15.75" customHeight="1">
      <c r="A311" s="450" t="s">
        <v>2377</v>
      </c>
      <c r="F311" s="450" t="s">
        <v>2377</v>
      </c>
    </row>
    <row r="312" ht="15.75" customHeight="1">
      <c r="A312" s="450" t="s">
        <v>2378</v>
      </c>
      <c r="F312" s="450" t="s">
        <v>2378</v>
      </c>
    </row>
    <row r="313" ht="15.75" customHeight="1">
      <c r="A313" s="450" t="s">
        <v>2379</v>
      </c>
      <c r="F313" s="450" t="s">
        <v>2379</v>
      </c>
    </row>
    <row r="314" ht="15.75" customHeight="1">
      <c r="A314" s="450" t="s">
        <v>2380</v>
      </c>
      <c r="F314" s="450" t="s">
        <v>2380</v>
      </c>
    </row>
    <row r="315" ht="15.75" customHeight="1">
      <c r="A315" s="450" t="s">
        <v>2381</v>
      </c>
      <c r="F315" s="450" t="s">
        <v>2381</v>
      </c>
    </row>
    <row r="316" ht="15.75" customHeight="1">
      <c r="A316" s="450" t="s">
        <v>2382</v>
      </c>
      <c r="F316" s="450" t="s">
        <v>2382</v>
      </c>
    </row>
    <row r="317" ht="15.75" customHeight="1">
      <c r="A317" s="450" t="s">
        <v>2383</v>
      </c>
      <c r="F317" s="450" t="s">
        <v>2383</v>
      </c>
    </row>
    <row r="318" ht="15.75" customHeight="1">
      <c r="A318" s="450" t="s">
        <v>2384</v>
      </c>
      <c r="F318" s="450" t="s">
        <v>2384</v>
      </c>
    </row>
    <row r="319" ht="15.75" customHeight="1">
      <c r="A319" s="450" t="s">
        <v>2385</v>
      </c>
      <c r="F319" s="450" t="s">
        <v>2385</v>
      </c>
    </row>
    <row r="320" ht="15.75" customHeight="1">
      <c r="A320" s="450" t="s">
        <v>2386</v>
      </c>
      <c r="F320" s="450" t="s">
        <v>2386</v>
      </c>
    </row>
    <row r="321" ht="15.75" customHeight="1">
      <c r="A321" s="450" t="s">
        <v>2387</v>
      </c>
      <c r="F321" s="450" t="s">
        <v>2387</v>
      </c>
    </row>
    <row r="322" ht="15.75" customHeight="1">
      <c r="A322" s="450" t="s">
        <v>2388</v>
      </c>
      <c r="F322" s="450" t="s">
        <v>2388</v>
      </c>
    </row>
    <row r="323" ht="15.75" customHeight="1">
      <c r="F323" s="450" t="s">
        <v>1871</v>
      </c>
    </row>
    <row r="324" ht="15.75" customHeight="1">
      <c r="F324" s="450" t="s">
        <v>1876</v>
      </c>
    </row>
    <row r="325" ht="15.75" customHeight="1">
      <c r="F325" s="450" t="s">
        <v>1881</v>
      </c>
    </row>
    <row r="326" ht="15.75" customHeight="1">
      <c r="F326" s="450" t="s">
        <v>1886</v>
      </c>
    </row>
    <row r="327" ht="15.75" customHeight="1">
      <c r="F327" s="450" t="s">
        <v>1891</v>
      </c>
    </row>
    <row r="328" ht="15.75" customHeight="1">
      <c r="F328" s="450" t="s">
        <v>1896</v>
      </c>
    </row>
    <row r="329" ht="15.75" customHeight="1">
      <c r="F329" s="450" t="s">
        <v>1901</v>
      </c>
    </row>
    <row r="330" ht="15.75" customHeight="1">
      <c r="F330" s="450" t="s">
        <v>1906</v>
      </c>
    </row>
    <row r="331" ht="15.75" customHeight="1">
      <c r="F331" s="450" t="s">
        <v>1911</v>
      </c>
    </row>
    <row r="332" ht="15.75" customHeight="1">
      <c r="F332" s="450" t="s">
        <v>1916</v>
      </c>
    </row>
    <row r="333" ht="15.75" customHeight="1">
      <c r="F333" s="450" t="s">
        <v>1921</v>
      </c>
    </row>
    <row r="334" ht="15.75" customHeight="1">
      <c r="F334" s="450" t="s">
        <v>1926</v>
      </c>
    </row>
    <row r="335" ht="15.75" customHeight="1">
      <c r="F335" s="450" t="s">
        <v>1931</v>
      </c>
    </row>
    <row r="336" ht="15.75" customHeight="1">
      <c r="F336" s="450" t="s">
        <v>1936</v>
      </c>
    </row>
    <row r="337" ht="15.75" customHeight="1">
      <c r="F337" s="450" t="s">
        <v>1941</v>
      </c>
    </row>
    <row r="338" ht="15.75" customHeight="1">
      <c r="F338" s="450" t="s">
        <v>1946</v>
      </c>
    </row>
    <row r="339" ht="15.75" customHeight="1">
      <c r="F339" s="450" t="s">
        <v>1951</v>
      </c>
    </row>
    <row r="340" ht="15.75" customHeight="1">
      <c r="F340" s="450" t="s">
        <v>1955</v>
      </c>
    </row>
    <row r="341" ht="15.75" customHeight="1">
      <c r="F341" s="450" t="s">
        <v>1960</v>
      </c>
    </row>
    <row r="342" ht="15.75" customHeight="1">
      <c r="F342" s="450" t="s">
        <v>1965</v>
      </c>
    </row>
    <row r="343" ht="15.75" customHeight="1">
      <c r="F343" s="450" t="s">
        <v>1970</v>
      </c>
    </row>
    <row r="344" ht="15.75" customHeight="1">
      <c r="F344" s="450" t="s">
        <v>1975</v>
      </c>
    </row>
    <row r="345" ht="15.75" customHeight="1">
      <c r="F345" s="450" t="s">
        <v>1979</v>
      </c>
    </row>
    <row r="346" ht="15.75" customHeight="1">
      <c r="F346" s="450" t="s">
        <v>1984</v>
      </c>
    </row>
    <row r="347" ht="15.75" customHeight="1">
      <c r="F347" s="450" t="s">
        <v>1988</v>
      </c>
    </row>
    <row r="348" ht="15.75" customHeight="1">
      <c r="F348" s="450" t="s">
        <v>1992</v>
      </c>
    </row>
    <row r="349" ht="15.75" customHeight="1">
      <c r="F349" s="450" t="s">
        <v>1995</v>
      </c>
    </row>
    <row r="350" ht="15.75" customHeight="1">
      <c r="F350" s="450" t="s">
        <v>1998</v>
      </c>
    </row>
    <row r="351" ht="15.75" customHeight="1">
      <c r="F351" s="450" t="s">
        <v>2001</v>
      </c>
    </row>
    <row r="352" ht="15.75" customHeight="1">
      <c r="F352" s="450" t="s">
        <v>2004</v>
      </c>
    </row>
    <row r="353" ht="15.75" customHeight="1">
      <c r="F353" s="450" t="s">
        <v>2007</v>
      </c>
    </row>
    <row r="354" ht="15.75" customHeight="1">
      <c r="F354" s="450" t="s">
        <v>2010</v>
      </c>
    </row>
    <row r="355" ht="15.75" customHeight="1">
      <c r="F355" s="450" t="s">
        <v>2013</v>
      </c>
    </row>
    <row r="356" ht="15.75" customHeight="1">
      <c r="F356" s="450" t="s">
        <v>2016</v>
      </c>
    </row>
    <row r="357" ht="15.75" customHeight="1">
      <c r="F357" s="450" t="s">
        <v>2019</v>
      </c>
    </row>
    <row r="358" ht="15.75" customHeight="1">
      <c r="F358" s="450" t="s">
        <v>2022</v>
      </c>
    </row>
    <row r="359" ht="15.75" customHeight="1">
      <c r="F359" s="450" t="s">
        <v>2025</v>
      </c>
    </row>
    <row r="360" ht="15.75" customHeight="1">
      <c r="F360" s="450" t="s">
        <v>2028</v>
      </c>
    </row>
    <row r="361" ht="15.75" customHeight="1">
      <c r="F361" s="450" t="s">
        <v>2031</v>
      </c>
    </row>
    <row r="362" ht="15.75" customHeight="1">
      <c r="F362" s="450" t="s">
        <v>2034</v>
      </c>
    </row>
    <row r="363" ht="15.75" customHeight="1">
      <c r="F363" s="450" t="s">
        <v>2037</v>
      </c>
    </row>
    <row r="364" ht="15.75" customHeight="1">
      <c r="F364" s="450" t="s">
        <v>2040</v>
      </c>
    </row>
    <row r="365" ht="15.75" customHeight="1">
      <c r="F365" s="450" t="s">
        <v>2042</v>
      </c>
    </row>
    <row r="366" ht="15.75" customHeight="1">
      <c r="F366" s="450" t="s">
        <v>2044</v>
      </c>
    </row>
    <row r="367" ht="15.75" customHeight="1">
      <c r="F367" s="450" t="s">
        <v>2046</v>
      </c>
    </row>
    <row r="368" ht="15.75" customHeight="1">
      <c r="F368" s="450" t="s">
        <v>2048</v>
      </c>
    </row>
    <row r="369" ht="15.75" customHeight="1">
      <c r="F369" s="450" t="s">
        <v>2050</v>
      </c>
    </row>
    <row r="370" ht="15.75" customHeight="1">
      <c r="F370" s="450" t="s">
        <v>2052</v>
      </c>
    </row>
    <row r="371" ht="15.75" customHeight="1">
      <c r="F371" s="450" t="s">
        <v>2054</v>
      </c>
    </row>
    <row r="372" ht="15.75" customHeight="1">
      <c r="F372" s="450" t="s">
        <v>2056</v>
      </c>
    </row>
    <row r="373" ht="15.75" customHeight="1">
      <c r="F373" s="450" t="s">
        <v>2058</v>
      </c>
    </row>
    <row r="374" ht="15.75" customHeight="1">
      <c r="F374" s="450" t="s">
        <v>2060</v>
      </c>
    </row>
    <row r="375" ht="15.75" customHeight="1">
      <c r="F375" s="450" t="s">
        <v>2062</v>
      </c>
    </row>
    <row r="376" ht="15.75" customHeight="1">
      <c r="F376" s="450" t="s">
        <v>2064</v>
      </c>
    </row>
    <row r="377" ht="15.75" customHeight="1">
      <c r="F377" s="450" t="s">
        <v>2066</v>
      </c>
    </row>
    <row r="378" ht="15.75" customHeight="1">
      <c r="F378" s="450" t="s">
        <v>2068</v>
      </c>
    </row>
    <row r="379" ht="15.75" customHeight="1">
      <c r="F379" s="450" t="s">
        <v>2070</v>
      </c>
    </row>
    <row r="380" ht="15.75" customHeight="1">
      <c r="F380" s="450" t="s">
        <v>2072</v>
      </c>
    </row>
    <row r="381" ht="15.75" customHeight="1">
      <c r="F381" s="450" t="s">
        <v>2074</v>
      </c>
    </row>
    <row r="382" ht="15.75" customHeight="1">
      <c r="F382" s="450" t="s">
        <v>2076</v>
      </c>
    </row>
    <row r="383" ht="15.75" customHeight="1">
      <c r="F383" s="450" t="s">
        <v>2078</v>
      </c>
    </row>
    <row r="384" ht="15.75" customHeight="1">
      <c r="F384" s="450" t="s">
        <v>2080</v>
      </c>
    </row>
    <row r="385" ht="15.75" customHeight="1">
      <c r="F385" s="450" t="s">
        <v>2082</v>
      </c>
    </row>
    <row r="386" ht="15.75" customHeight="1">
      <c r="F386" s="450" t="s">
        <v>2084</v>
      </c>
    </row>
    <row r="387" ht="15.75" customHeight="1">
      <c r="F387" s="450" t="s">
        <v>2086</v>
      </c>
    </row>
    <row r="388" ht="15.75" customHeight="1">
      <c r="F388" s="450" t="s">
        <v>2088</v>
      </c>
    </row>
    <row r="389" ht="15.75" customHeight="1">
      <c r="F389" s="450" t="s">
        <v>2090</v>
      </c>
    </row>
    <row r="390" ht="15.75" customHeight="1">
      <c r="F390" s="450" t="s">
        <v>2092</v>
      </c>
    </row>
    <row r="391" ht="15.75" customHeight="1">
      <c r="F391" s="450" t="s">
        <v>2094</v>
      </c>
    </row>
    <row r="392" ht="15.75" customHeight="1">
      <c r="F392" s="450" t="s">
        <v>2095</v>
      </c>
    </row>
    <row r="393" ht="15.75" customHeight="1">
      <c r="F393" s="450" t="s">
        <v>2097</v>
      </c>
    </row>
    <row r="394" ht="15.75" customHeight="1">
      <c r="F394" s="450" t="s">
        <v>2099</v>
      </c>
    </row>
    <row r="395" ht="15.75" customHeight="1">
      <c r="F395" s="450" t="s">
        <v>2101</v>
      </c>
    </row>
    <row r="396" ht="15.75" customHeight="1">
      <c r="F396" s="450" t="s">
        <v>2103</v>
      </c>
    </row>
    <row r="397" ht="15.75" customHeight="1">
      <c r="F397" s="450" t="s">
        <v>2104</v>
      </c>
    </row>
    <row r="398" ht="15.75" customHeight="1">
      <c r="F398" s="450" t="s">
        <v>2106</v>
      </c>
    </row>
    <row r="399" ht="15.75" customHeight="1">
      <c r="F399" s="450" t="s">
        <v>2108</v>
      </c>
    </row>
    <row r="400" ht="15.75" customHeight="1">
      <c r="F400" s="450" t="s">
        <v>2110</v>
      </c>
    </row>
    <row r="401" ht="15.75" customHeight="1">
      <c r="F401" s="450" t="s">
        <v>2112</v>
      </c>
    </row>
    <row r="402" ht="15.75" customHeight="1">
      <c r="F402" s="450" t="s">
        <v>2114</v>
      </c>
    </row>
    <row r="403" ht="15.75" customHeight="1">
      <c r="F403" s="450" t="s">
        <v>2116</v>
      </c>
    </row>
    <row r="404" ht="15.75" customHeight="1">
      <c r="F404" s="450" t="s">
        <v>2118</v>
      </c>
    </row>
    <row r="405" ht="15.75" customHeight="1">
      <c r="F405" s="450" t="s">
        <v>2120</v>
      </c>
    </row>
    <row r="406" ht="15.75" customHeight="1">
      <c r="F406" s="450" t="s">
        <v>2122</v>
      </c>
    </row>
    <row r="407" ht="15.75" customHeight="1">
      <c r="F407" s="450" t="s">
        <v>2124</v>
      </c>
    </row>
    <row r="408" ht="15.75" customHeight="1">
      <c r="F408" s="450" t="s">
        <v>2126</v>
      </c>
    </row>
    <row r="409" ht="15.75" customHeight="1">
      <c r="F409" s="450" t="s">
        <v>2128</v>
      </c>
    </row>
    <row r="410" ht="15.75" customHeight="1">
      <c r="F410" s="450" t="s">
        <v>2129</v>
      </c>
    </row>
    <row r="411" ht="15.75" customHeight="1">
      <c r="F411" s="450" t="s">
        <v>2131</v>
      </c>
    </row>
    <row r="412" ht="15.75" customHeight="1">
      <c r="F412" s="450" t="s">
        <v>2133</v>
      </c>
    </row>
    <row r="413" ht="15.75" customHeight="1">
      <c r="F413" s="450" t="s">
        <v>2135</v>
      </c>
    </row>
    <row r="414" ht="15.75" customHeight="1">
      <c r="F414" s="450" t="s">
        <v>2137</v>
      </c>
    </row>
    <row r="415" ht="15.75" customHeight="1">
      <c r="F415" s="450" t="s">
        <v>2139</v>
      </c>
    </row>
    <row r="416" ht="15.75" customHeight="1">
      <c r="F416" s="450" t="s">
        <v>2141</v>
      </c>
    </row>
    <row r="417" ht="15.75" customHeight="1">
      <c r="F417" s="450" t="s">
        <v>2143</v>
      </c>
    </row>
    <row r="418" ht="15.75" customHeight="1">
      <c r="F418" s="450" t="s">
        <v>2145</v>
      </c>
    </row>
    <row r="419" ht="15.75" customHeight="1">
      <c r="F419" s="450" t="s">
        <v>2147</v>
      </c>
    </row>
    <row r="420" ht="15.75" customHeight="1">
      <c r="F420" s="450" t="s">
        <v>2149</v>
      </c>
    </row>
    <row r="421" ht="15.75" customHeight="1">
      <c r="F421" s="450" t="s">
        <v>2151</v>
      </c>
    </row>
    <row r="422" ht="15.75" customHeight="1">
      <c r="F422" s="450" t="s">
        <v>2153</v>
      </c>
    </row>
    <row r="423" ht="15.75" customHeight="1">
      <c r="F423" s="450" t="s">
        <v>2155</v>
      </c>
    </row>
    <row r="424" ht="15.75" customHeight="1">
      <c r="F424" s="450" t="s">
        <v>2157</v>
      </c>
    </row>
    <row r="425" ht="15.75" customHeight="1">
      <c r="F425" s="450" t="s">
        <v>2159</v>
      </c>
    </row>
    <row r="426" ht="15.75" customHeight="1">
      <c r="F426" s="450" t="s">
        <v>2161</v>
      </c>
    </row>
    <row r="427" ht="15.75" customHeight="1">
      <c r="F427" s="450" t="s">
        <v>2163</v>
      </c>
    </row>
    <row r="428" ht="15.75" customHeight="1">
      <c r="F428" s="450" t="s">
        <v>2165</v>
      </c>
    </row>
    <row r="429" ht="15.75" customHeight="1">
      <c r="F429" s="450" t="s">
        <v>2167</v>
      </c>
    </row>
    <row r="430" ht="15.75" customHeight="1">
      <c r="F430" s="450" t="s">
        <v>2169</v>
      </c>
    </row>
    <row r="431" ht="15.75" customHeight="1">
      <c r="F431" s="450" t="s">
        <v>2171</v>
      </c>
    </row>
    <row r="432" ht="15.75" customHeight="1">
      <c r="F432" s="450" t="s">
        <v>2173</v>
      </c>
    </row>
    <row r="433" ht="15.75" customHeight="1">
      <c r="F433" s="450" t="s">
        <v>2175</v>
      </c>
    </row>
    <row r="434" ht="15.75" customHeight="1">
      <c r="F434" s="450" t="s">
        <v>2177</v>
      </c>
    </row>
    <row r="435" ht="15.75" customHeight="1">
      <c r="F435" s="450" t="s">
        <v>2179</v>
      </c>
    </row>
    <row r="436" ht="15.75" customHeight="1">
      <c r="F436" s="450" t="s">
        <v>2181</v>
      </c>
    </row>
    <row r="437" ht="15.75" customHeight="1">
      <c r="F437" s="450" t="s">
        <v>2183</v>
      </c>
    </row>
    <row r="438" ht="15.75" customHeight="1">
      <c r="F438" s="450" t="s">
        <v>2185</v>
      </c>
    </row>
    <row r="439" ht="15.75" customHeight="1">
      <c r="F439" s="450" t="s">
        <v>1872</v>
      </c>
    </row>
    <row r="440" ht="15.75" customHeight="1">
      <c r="F440" s="450" t="s">
        <v>1877</v>
      </c>
    </row>
    <row r="441" ht="15.75" customHeight="1">
      <c r="F441" s="450" t="s">
        <v>1882</v>
      </c>
    </row>
    <row r="442" ht="15.75" customHeight="1">
      <c r="F442" s="450" t="s">
        <v>1887</v>
      </c>
    </row>
    <row r="443" ht="15.75" customHeight="1">
      <c r="F443" s="450" t="s">
        <v>1892</v>
      </c>
    </row>
    <row r="444" ht="15.75" customHeight="1">
      <c r="F444" s="450" t="s">
        <v>1897</v>
      </c>
    </row>
    <row r="445" ht="15.75" customHeight="1">
      <c r="F445" s="450" t="s">
        <v>1902</v>
      </c>
    </row>
    <row r="446" ht="15.75" customHeight="1">
      <c r="F446" s="450" t="s">
        <v>1907</v>
      </c>
    </row>
    <row r="447" ht="15.75" customHeight="1">
      <c r="F447" s="450" t="s">
        <v>1912</v>
      </c>
    </row>
    <row r="448" ht="15.75" customHeight="1">
      <c r="F448" s="450" t="s">
        <v>1917</v>
      </c>
    </row>
    <row r="449" ht="15.75" customHeight="1">
      <c r="F449" s="450" t="s">
        <v>1922</v>
      </c>
    </row>
    <row r="450" ht="15.75" customHeight="1">
      <c r="F450" s="450" t="s">
        <v>1927</v>
      </c>
    </row>
    <row r="451" ht="15.75" customHeight="1">
      <c r="F451" s="450" t="s">
        <v>1932</v>
      </c>
    </row>
    <row r="452" ht="15.75" customHeight="1">
      <c r="F452" s="450" t="s">
        <v>1937</v>
      </c>
    </row>
    <row r="453" ht="15.75" customHeight="1">
      <c r="F453" s="450" t="s">
        <v>1942</v>
      </c>
    </row>
    <row r="454" ht="15.75" customHeight="1">
      <c r="F454" s="450" t="s">
        <v>1947</v>
      </c>
    </row>
    <row r="455" ht="15.75" customHeight="1">
      <c r="F455" s="450" t="s">
        <v>1952</v>
      </c>
    </row>
    <row r="456" ht="15.75" customHeight="1">
      <c r="F456" s="450" t="s">
        <v>1956</v>
      </c>
    </row>
    <row r="457" ht="15.75" customHeight="1">
      <c r="F457" s="450" t="s">
        <v>1961</v>
      </c>
    </row>
    <row r="458" ht="15.75" customHeight="1">
      <c r="F458" s="450" t="s">
        <v>1966</v>
      </c>
    </row>
    <row r="459" ht="15.75" customHeight="1">
      <c r="F459" s="450" t="s">
        <v>1971</v>
      </c>
    </row>
    <row r="460" ht="15.75" customHeight="1">
      <c r="F460" s="450" t="s">
        <v>1976</v>
      </c>
    </row>
    <row r="461" ht="15.75" customHeight="1">
      <c r="F461" s="450" t="s">
        <v>1980</v>
      </c>
    </row>
    <row r="462" ht="15.75" customHeight="1">
      <c r="F462" s="450" t="s">
        <v>1873</v>
      </c>
    </row>
    <row r="463" ht="15.75" customHeight="1">
      <c r="F463" s="450" t="s">
        <v>1878</v>
      </c>
    </row>
    <row r="464" ht="15.75" customHeight="1">
      <c r="F464" s="450" t="s">
        <v>1883</v>
      </c>
    </row>
    <row r="465" ht="15.75" customHeight="1">
      <c r="F465" s="450" t="s">
        <v>1888</v>
      </c>
    </row>
    <row r="466" ht="15.75" customHeight="1">
      <c r="F466" s="450" t="s">
        <v>1893</v>
      </c>
    </row>
    <row r="467" ht="15.75" customHeight="1">
      <c r="F467" s="450" t="s">
        <v>1898</v>
      </c>
    </row>
    <row r="468" ht="15.75" customHeight="1">
      <c r="F468" s="450" t="s">
        <v>1903</v>
      </c>
    </row>
    <row r="469" ht="15.75" customHeight="1">
      <c r="F469" s="450" t="s">
        <v>1908</v>
      </c>
    </row>
    <row r="470" ht="15.75" customHeight="1">
      <c r="F470" s="450" t="s">
        <v>1913</v>
      </c>
    </row>
    <row r="471" ht="15.75" customHeight="1">
      <c r="F471" s="450" t="s">
        <v>1918</v>
      </c>
    </row>
    <row r="472" ht="15.75" customHeight="1">
      <c r="F472" s="450" t="s">
        <v>1923</v>
      </c>
    </row>
    <row r="473" ht="15.75" customHeight="1">
      <c r="F473" s="450" t="s">
        <v>1928</v>
      </c>
    </row>
    <row r="474" ht="15.75" customHeight="1">
      <c r="F474" s="450" t="s">
        <v>1933</v>
      </c>
    </row>
    <row r="475" ht="15.75" customHeight="1">
      <c r="F475" s="450" t="s">
        <v>1938</v>
      </c>
    </row>
    <row r="476" ht="15.75" customHeight="1">
      <c r="F476" s="450" t="s">
        <v>1943</v>
      </c>
    </row>
    <row r="477" ht="15.75" customHeight="1">
      <c r="F477" s="450" t="s">
        <v>1948</v>
      </c>
    </row>
    <row r="478" ht="15.75" customHeight="1">
      <c r="F478" s="450" t="s">
        <v>1953</v>
      </c>
    </row>
    <row r="479" ht="15.75" customHeight="1">
      <c r="F479" s="450" t="s">
        <v>1957</v>
      </c>
    </row>
    <row r="480" ht="15.75" customHeight="1">
      <c r="F480" s="450" t="s">
        <v>1962</v>
      </c>
    </row>
    <row r="481" ht="15.75" customHeight="1">
      <c r="F481" s="450" t="s">
        <v>1967</v>
      </c>
    </row>
    <row r="482" ht="15.75" customHeight="1">
      <c r="F482" s="450" t="s">
        <v>1972</v>
      </c>
    </row>
    <row r="483" ht="15.75" customHeight="1">
      <c r="F483" s="450" t="s">
        <v>1977</v>
      </c>
    </row>
    <row r="484" ht="15.75" customHeight="1">
      <c r="F484" s="450" t="s">
        <v>1981</v>
      </c>
    </row>
    <row r="485" ht="15.75" customHeight="1">
      <c r="F485" s="450" t="s">
        <v>1985</v>
      </c>
    </row>
    <row r="486" ht="15.75" customHeight="1">
      <c r="F486" s="450" t="s">
        <v>1989</v>
      </c>
    </row>
    <row r="487" ht="15.75" customHeight="1">
      <c r="F487" s="450" t="s">
        <v>1993</v>
      </c>
    </row>
    <row r="488" ht="15.75" customHeight="1">
      <c r="F488" s="450" t="s">
        <v>1996</v>
      </c>
    </row>
    <row r="489" ht="15.75" customHeight="1">
      <c r="F489" s="450" t="s">
        <v>1999</v>
      </c>
    </row>
    <row r="490" ht="15.75" customHeight="1">
      <c r="F490" s="450" t="s">
        <v>2002</v>
      </c>
    </row>
    <row r="491" ht="15.75" customHeight="1">
      <c r="F491" s="450" t="s">
        <v>2005</v>
      </c>
    </row>
    <row r="492" ht="15.75" customHeight="1">
      <c r="F492" s="450" t="s">
        <v>2008</v>
      </c>
    </row>
    <row r="493" ht="15.75" customHeight="1">
      <c r="F493" s="450" t="s">
        <v>2011</v>
      </c>
    </row>
    <row r="494" ht="15.75" customHeight="1">
      <c r="F494" s="450" t="s">
        <v>2014</v>
      </c>
    </row>
    <row r="495" ht="15.75" customHeight="1">
      <c r="F495" s="450" t="s">
        <v>2017</v>
      </c>
    </row>
    <row r="496" ht="15.75" customHeight="1">
      <c r="F496" s="450" t="s">
        <v>2020</v>
      </c>
    </row>
    <row r="497" ht="15.75" customHeight="1">
      <c r="F497" s="450" t="s">
        <v>2023</v>
      </c>
    </row>
    <row r="498" ht="15.75" customHeight="1">
      <c r="F498" s="450" t="s">
        <v>2026</v>
      </c>
    </row>
    <row r="499" ht="15.75" customHeight="1">
      <c r="F499" s="450" t="s">
        <v>2029</v>
      </c>
    </row>
    <row r="500" ht="15.75" customHeight="1">
      <c r="F500" s="450" t="s">
        <v>2032</v>
      </c>
    </row>
    <row r="501" ht="15.75" customHeight="1">
      <c r="F501" s="450" t="s">
        <v>2035</v>
      </c>
    </row>
    <row r="502" ht="15.75" customHeight="1">
      <c r="F502" s="450" t="s">
        <v>2038</v>
      </c>
    </row>
    <row r="503" ht="15.75" customHeight="1">
      <c r="F503" s="450" t="s">
        <v>1874</v>
      </c>
    </row>
    <row r="504" ht="15.75" customHeight="1">
      <c r="F504" s="450" t="s">
        <v>1879</v>
      </c>
    </row>
    <row r="505" ht="15.75" customHeight="1">
      <c r="F505" s="450" t="s">
        <v>1884</v>
      </c>
    </row>
    <row r="506" ht="15.75" customHeight="1">
      <c r="F506" s="450" t="s">
        <v>1889</v>
      </c>
    </row>
    <row r="507" ht="15.75" customHeight="1">
      <c r="F507" s="450" t="s">
        <v>1894</v>
      </c>
    </row>
    <row r="508" ht="15.75" customHeight="1">
      <c r="F508" s="450" t="s">
        <v>1899</v>
      </c>
    </row>
    <row r="509" ht="15.75" customHeight="1">
      <c r="F509" s="450" t="s">
        <v>1904</v>
      </c>
    </row>
    <row r="510" ht="15.75" customHeight="1">
      <c r="F510" s="450" t="s">
        <v>1909</v>
      </c>
    </row>
    <row r="511" ht="15.75" customHeight="1">
      <c r="F511" s="450" t="s">
        <v>1914</v>
      </c>
    </row>
    <row r="512" ht="15.75" customHeight="1">
      <c r="F512" s="450" t="s">
        <v>1919</v>
      </c>
    </row>
    <row r="513" ht="15.75" customHeight="1">
      <c r="F513" s="450" t="s">
        <v>1924</v>
      </c>
    </row>
    <row r="514" ht="15.75" customHeight="1">
      <c r="F514" s="450" t="s">
        <v>1929</v>
      </c>
    </row>
    <row r="515" ht="15.75" customHeight="1">
      <c r="F515" s="450" t="s">
        <v>1934</v>
      </c>
    </row>
    <row r="516" ht="15.75" customHeight="1">
      <c r="F516" s="450" t="s">
        <v>1939</v>
      </c>
    </row>
    <row r="517" ht="15.75" customHeight="1">
      <c r="F517" s="450" t="s">
        <v>1944</v>
      </c>
    </row>
    <row r="518" ht="15.75" customHeight="1">
      <c r="F518" s="450" t="s">
        <v>1949</v>
      </c>
    </row>
    <row r="519" ht="15.75" customHeight="1">
      <c r="F519" s="450" t="s">
        <v>1954</v>
      </c>
    </row>
    <row r="520" ht="15.75" customHeight="1">
      <c r="F520" s="450" t="s">
        <v>1958</v>
      </c>
    </row>
    <row r="521" ht="15.75" customHeight="1">
      <c r="F521" s="450" t="s">
        <v>1963</v>
      </c>
    </row>
    <row r="522" ht="15.75" customHeight="1">
      <c r="F522" s="450" t="s">
        <v>1968</v>
      </c>
    </row>
    <row r="523" ht="15.75" customHeight="1">
      <c r="F523" s="450" t="s">
        <v>1973</v>
      </c>
    </row>
    <row r="524" ht="15.75" customHeight="1">
      <c r="F524" s="450" t="s">
        <v>1978</v>
      </c>
    </row>
    <row r="525" ht="15.75" customHeight="1">
      <c r="F525" s="450" t="s">
        <v>1982</v>
      </c>
    </row>
    <row r="526" ht="15.75" customHeight="1">
      <c r="F526" s="450" t="s">
        <v>1986</v>
      </c>
    </row>
    <row r="527" ht="15.75" customHeight="1">
      <c r="F527" s="450" t="s">
        <v>1990</v>
      </c>
    </row>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2.0"/>
    <col customWidth="1" min="2" max="3" width="14.0"/>
    <col customWidth="1" min="4" max="4" width="12.0"/>
    <col customWidth="1" min="5" max="5" width="16.14"/>
    <col customWidth="1" min="6" max="6" width="13.0"/>
    <col customWidth="1" min="7" max="7" width="12.0"/>
    <col customWidth="1" min="8" max="8" width="22.0"/>
    <col customWidth="1" min="9" max="26" width="8.71"/>
  </cols>
  <sheetData>
    <row r="1" ht="27.75" customHeight="1">
      <c r="A1" s="89" t="s">
        <v>211</v>
      </c>
      <c r="B1" s="90"/>
      <c r="C1" s="90"/>
      <c r="D1" s="91" t="s">
        <v>212</v>
      </c>
      <c r="E1" s="92"/>
      <c r="F1" s="92"/>
      <c r="G1" s="92"/>
      <c r="H1" s="92"/>
    </row>
    <row r="2" ht="21.75" customHeight="1">
      <c r="A2" s="93"/>
      <c r="D2" s="94" t="s">
        <v>1716</v>
      </c>
      <c r="E2" s="92"/>
      <c r="F2" s="92"/>
      <c r="G2" s="92"/>
      <c r="H2" s="92"/>
    </row>
    <row r="3" ht="3.75" customHeight="1">
      <c r="A3" s="95"/>
      <c r="B3" s="95"/>
      <c r="C3" s="95"/>
      <c r="D3" s="95"/>
      <c r="E3" s="95"/>
      <c r="F3" s="95"/>
      <c r="G3" s="95"/>
      <c r="H3" s="95"/>
    </row>
    <row r="5" ht="30.0" customHeight="1">
      <c r="A5" s="109" t="s">
        <v>11</v>
      </c>
      <c r="B5" s="109" t="s">
        <v>38</v>
      </c>
      <c r="C5" s="109" t="s">
        <v>1717</v>
      </c>
      <c r="D5" s="109" t="s">
        <v>1718</v>
      </c>
      <c r="E5" s="109" t="s">
        <v>1719</v>
      </c>
      <c r="F5" s="109" t="s">
        <v>1665</v>
      </c>
      <c r="G5" s="109" t="s">
        <v>1720</v>
      </c>
      <c r="H5" s="109" t="s">
        <v>1721</v>
      </c>
    </row>
    <row r="6">
      <c r="A6" s="385" t="s">
        <v>1671</v>
      </c>
      <c r="B6" s="386" t="str">
        <f t="array" ref="B6">IFERROR(INDEX(SC_OLD!A:A,MATCH($A6,SC_OLD!C:C,0)),"")</f>
        <v>Material</v>
      </c>
      <c r="C6" s="387">
        <f>IF($A6="",0,IFERROR(SUMIFS(SC_OLD!D:D,SC_OLD!C:C,$A6,SC_OLD!J:J,"Entregue"),0))</f>
        <v>318</v>
      </c>
      <c r="D6" s="388">
        <f t="shared" ref="D6:D605" si="1">IF($A6="",0,IFERROR(SUMIFS(Movimentacao!E:E,Movimentacao!B:B,$A6,Movimentacao!F:F,"Saída"),0))</f>
        <v>0</v>
      </c>
      <c r="E6" s="388">
        <f t="shared" ref="E6:E605" si="2">IF($A6="",0,IFERROR(SUMIFS(Movimentacao!E:E,Movimentacao!B:B,$A6,Movimentacao!F:F,"Devolução"),0))</f>
        <v>0</v>
      </c>
      <c r="F6" s="387">
        <f t="shared" ref="F6:F605" si="3">IF($A6="",0,MAX(0,IFERROR($C6,0)-IFERROR($D6,0)+IFERROR($E6,0)))</f>
        <v>318</v>
      </c>
      <c r="G6" s="389">
        <f t="shared" ref="G6:G600" si="4">IFERROR(IF($C6=0,"",$F6/$C6),"")</f>
        <v>1</v>
      </c>
      <c r="H6" s="386" t="str">
        <f t="shared" ref="H6:H600" si="5">IF(OR($A6="",IFERROR($C6,0)=0),"",IF($F6/$C6&lt;=0.1,"COMPRAR JA ("&amp;TEXT($F6/$C6,"0%")&amp;")",IF($F6/$C6&lt;=0.3,"Comprar em breve ("&amp;TEXT($F6/$C6,"0%")&amp;")","OK ("&amp;TEXT($F6/$C6,"0%")&amp;")")))</f>
        <v>OK (100%)</v>
      </c>
    </row>
    <row r="7">
      <c r="A7" s="390" t="s">
        <v>1676</v>
      </c>
      <c r="B7" s="386" t="str">
        <f t="array" ref="B7">IFERROR(INDEX(SC_OLD!A:A,MATCH($A7,SC_OLD!C:C,0)),"")</f>
        <v>Material</v>
      </c>
      <c r="C7" s="387">
        <f>IF($A7="",0,IFERROR(SUMIFS(SC_OLD!D:D,SC_OLD!C:C,$A7,SC_OLD!J:J,"Entregue"),0))</f>
        <v>50</v>
      </c>
      <c r="D7" s="388">
        <f t="shared" si="1"/>
        <v>0</v>
      </c>
      <c r="E7" s="388">
        <f t="shared" si="2"/>
        <v>0</v>
      </c>
      <c r="F7" s="387">
        <f t="shared" si="3"/>
        <v>50</v>
      </c>
      <c r="G7" s="389">
        <f t="shared" si="4"/>
        <v>1</v>
      </c>
      <c r="H7" s="386" t="str">
        <f t="shared" si="5"/>
        <v>OK (100%)</v>
      </c>
    </row>
    <row r="8">
      <c r="A8" s="391"/>
      <c r="B8" s="386">
        <f t="array" ref="B8">IFERROR(INDEX(SC_OLD!A:A,MATCH($A8,SC_OLD!C:C,0)),"")</f>
        <v>0</v>
      </c>
      <c r="C8" s="387">
        <f>IF($A8="",0,IFERROR(SUMIFS(SC_OLD!D:D,SC_OLD!C:C,$A8,SC_OLD!J:J,"Entregue"),0))</f>
        <v>0</v>
      </c>
      <c r="D8" s="388">
        <f t="shared" si="1"/>
        <v>0</v>
      </c>
      <c r="E8" s="388">
        <f t="shared" si="2"/>
        <v>0</v>
      </c>
      <c r="F8" s="387">
        <f t="shared" si="3"/>
        <v>0</v>
      </c>
      <c r="G8" s="389" t="str">
        <f t="shared" si="4"/>
        <v/>
      </c>
      <c r="H8" s="386" t="str">
        <f t="shared" si="5"/>
        <v/>
      </c>
    </row>
    <row r="9">
      <c r="A9" s="391"/>
      <c r="B9" s="386">
        <f t="array" ref="B9">IFERROR(INDEX(SC_OLD!A:A,MATCH($A9,SC_OLD!C:C,0)),"")</f>
        <v>0</v>
      </c>
      <c r="C9" s="387">
        <f>IF($A9="",0,IFERROR(SUMIFS(SC_OLD!D:D,SC_OLD!C:C,$A9,SC_OLD!J:J,"Entregue"),0))</f>
        <v>0</v>
      </c>
      <c r="D9" s="388">
        <f t="shared" si="1"/>
        <v>0</v>
      </c>
      <c r="E9" s="388">
        <f t="shared" si="2"/>
        <v>0</v>
      </c>
      <c r="F9" s="387">
        <f t="shared" si="3"/>
        <v>0</v>
      </c>
      <c r="G9" s="389" t="str">
        <f t="shared" si="4"/>
        <v/>
      </c>
      <c r="H9" s="386" t="str">
        <f t="shared" si="5"/>
        <v/>
      </c>
    </row>
    <row r="10">
      <c r="A10" s="391"/>
      <c r="B10" s="386">
        <f t="array" ref="B10">IFERROR(INDEX(SC_OLD!A:A,MATCH($A10,SC_OLD!C:C,0)),"")</f>
        <v>0</v>
      </c>
      <c r="C10" s="387">
        <f>IF($A10="",0,IFERROR(SUMIFS(SC_OLD!D:D,SC_OLD!C:C,$A10,SC_OLD!J:J,"Entregue"),0))</f>
        <v>0</v>
      </c>
      <c r="D10" s="388">
        <f t="shared" si="1"/>
        <v>0</v>
      </c>
      <c r="E10" s="388">
        <f t="shared" si="2"/>
        <v>0</v>
      </c>
      <c r="F10" s="387">
        <f t="shared" si="3"/>
        <v>0</v>
      </c>
      <c r="G10" s="389" t="str">
        <f t="shared" si="4"/>
        <v/>
      </c>
      <c r="H10" s="386" t="str">
        <f t="shared" si="5"/>
        <v/>
      </c>
    </row>
    <row r="11">
      <c r="A11" s="391"/>
      <c r="B11" s="386">
        <f t="array" ref="B11">IFERROR(INDEX(SC_OLD!A:A,MATCH($A11,SC_OLD!C:C,0)),"")</f>
        <v>0</v>
      </c>
      <c r="C11" s="387">
        <f>IF($A11="",0,IFERROR(SUMIFS(SC_OLD!D:D,SC_OLD!C:C,$A11,SC_OLD!J:J,"Entregue"),0))</f>
        <v>0</v>
      </c>
      <c r="D11" s="388">
        <f t="shared" si="1"/>
        <v>0</v>
      </c>
      <c r="E11" s="388">
        <f t="shared" si="2"/>
        <v>0</v>
      </c>
      <c r="F11" s="387">
        <f t="shared" si="3"/>
        <v>0</v>
      </c>
      <c r="G11" s="389" t="str">
        <f t="shared" si="4"/>
        <v/>
      </c>
      <c r="H11" s="386" t="str">
        <f t="shared" si="5"/>
        <v/>
      </c>
    </row>
    <row r="12">
      <c r="A12" s="391"/>
      <c r="B12" s="386">
        <f t="array" ref="B12">IFERROR(INDEX(SC_OLD!A:A,MATCH($A12,SC_OLD!C:C,0)),"")</f>
        <v>0</v>
      </c>
      <c r="C12" s="387">
        <f>IF($A12="",0,IFERROR(SUMIFS(SC_OLD!D:D,SC_OLD!C:C,$A12,SC_OLD!J:J,"Entregue"),0))</f>
        <v>0</v>
      </c>
      <c r="D12" s="388">
        <f t="shared" si="1"/>
        <v>0</v>
      </c>
      <c r="E12" s="388">
        <f t="shared" si="2"/>
        <v>0</v>
      </c>
      <c r="F12" s="387">
        <f t="shared" si="3"/>
        <v>0</v>
      </c>
      <c r="G12" s="389" t="str">
        <f t="shared" si="4"/>
        <v/>
      </c>
      <c r="H12" s="386" t="str">
        <f t="shared" si="5"/>
        <v/>
      </c>
    </row>
    <row r="13">
      <c r="A13" s="391"/>
      <c r="B13" s="386">
        <f t="array" ref="B13">IFERROR(INDEX(SC_OLD!A:A,MATCH($A13,SC_OLD!C:C,0)),"")</f>
        <v>0</v>
      </c>
      <c r="C13" s="387">
        <f>IF($A13="",0,IFERROR(SUMIFS(SC_OLD!D:D,SC_OLD!C:C,$A13,SC_OLD!J:J,"Entregue"),0))</f>
        <v>0</v>
      </c>
      <c r="D13" s="388">
        <f t="shared" si="1"/>
        <v>0</v>
      </c>
      <c r="E13" s="388">
        <f t="shared" si="2"/>
        <v>0</v>
      </c>
      <c r="F13" s="387">
        <f t="shared" si="3"/>
        <v>0</v>
      </c>
      <c r="G13" s="389" t="str">
        <f t="shared" si="4"/>
        <v/>
      </c>
      <c r="H13" s="386" t="str">
        <f t="shared" si="5"/>
        <v/>
      </c>
    </row>
    <row r="14">
      <c r="A14" s="391"/>
      <c r="B14" s="386">
        <f t="array" ref="B14">IFERROR(INDEX(SC_OLD!A:A,MATCH($A14,SC_OLD!C:C,0)),"")</f>
        <v>0</v>
      </c>
      <c r="C14" s="387">
        <f>IF($A14="",0,IFERROR(SUMIFS(SC_OLD!D:D,SC_OLD!C:C,$A14,SC_OLD!J:J,"Entregue"),0))</f>
        <v>0</v>
      </c>
      <c r="D14" s="388">
        <f t="shared" si="1"/>
        <v>0</v>
      </c>
      <c r="E14" s="388">
        <f t="shared" si="2"/>
        <v>0</v>
      </c>
      <c r="F14" s="387">
        <f t="shared" si="3"/>
        <v>0</v>
      </c>
      <c r="G14" s="389" t="str">
        <f t="shared" si="4"/>
        <v/>
      </c>
      <c r="H14" s="386" t="str">
        <f t="shared" si="5"/>
        <v/>
      </c>
    </row>
    <row r="15">
      <c r="A15" s="391"/>
      <c r="B15" s="386">
        <f t="array" ref="B15">IFERROR(INDEX(SC_OLD!A:A,MATCH($A15,SC_OLD!C:C,0)),"")</f>
        <v>0</v>
      </c>
      <c r="C15" s="387">
        <f>IF($A15="",0,IFERROR(SUMIFS(SC_OLD!D:D,SC_OLD!C:C,$A15,SC_OLD!J:J,"Entregue"),0))</f>
        <v>0</v>
      </c>
      <c r="D15" s="388">
        <f t="shared" si="1"/>
        <v>0</v>
      </c>
      <c r="E15" s="388">
        <f t="shared" si="2"/>
        <v>0</v>
      </c>
      <c r="F15" s="387">
        <f t="shared" si="3"/>
        <v>0</v>
      </c>
      <c r="G15" s="389" t="str">
        <f t="shared" si="4"/>
        <v/>
      </c>
      <c r="H15" s="386" t="str">
        <f t="shared" si="5"/>
        <v/>
      </c>
    </row>
    <row r="16">
      <c r="A16" s="391"/>
      <c r="B16" s="386">
        <f t="array" ref="B16">IFERROR(INDEX(SC_OLD!A:A,MATCH($A16,SC_OLD!C:C,0)),"")</f>
        <v>0</v>
      </c>
      <c r="C16" s="387">
        <f>IF($A16="",0,IFERROR(SUMIFS(SC_OLD!D:D,SC_OLD!C:C,$A16,SC_OLD!J:J,"Entregue"),0))</f>
        <v>0</v>
      </c>
      <c r="D16" s="388">
        <f t="shared" si="1"/>
        <v>0</v>
      </c>
      <c r="E16" s="388">
        <f t="shared" si="2"/>
        <v>0</v>
      </c>
      <c r="F16" s="387">
        <f t="shared" si="3"/>
        <v>0</v>
      </c>
      <c r="G16" s="389" t="str">
        <f t="shared" si="4"/>
        <v/>
      </c>
      <c r="H16" s="386" t="str">
        <f t="shared" si="5"/>
        <v/>
      </c>
    </row>
    <row r="17">
      <c r="A17" s="391"/>
      <c r="B17" s="386">
        <f t="array" ref="B17">IFERROR(INDEX(SC_OLD!A:A,MATCH($A17,SC_OLD!C:C,0)),"")</f>
        <v>0</v>
      </c>
      <c r="C17" s="387">
        <f>IF($A17="",0,IFERROR(SUMIFS(SC_OLD!D:D,SC_OLD!C:C,$A17,SC_OLD!J:J,"Entregue"),0))</f>
        <v>0</v>
      </c>
      <c r="D17" s="388">
        <f t="shared" si="1"/>
        <v>0</v>
      </c>
      <c r="E17" s="388">
        <f t="shared" si="2"/>
        <v>0</v>
      </c>
      <c r="F17" s="387">
        <f t="shared" si="3"/>
        <v>0</v>
      </c>
      <c r="G17" s="389" t="str">
        <f t="shared" si="4"/>
        <v/>
      </c>
      <c r="H17" s="386" t="str">
        <f t="shared" si="5"/>
        <v/>
      </c>
    </row>
    <row r="18">
      <c r="A18" s="391"/>
      <c r="B18" s="386">
        <f t="array" ref="B18">IFERROR(INDEX(SC_OLD!A:A,MATCH($A18,SC_OLD!C:C,0)),"")</f>
        <v>0</v>
      </c>
      <c r="C18" s="387">
        <f>IF($A18="",0,IFERROR(SUMIFS(SC_OLD!D:D,SC_OLD!C:C,$A18,SC_OLD!J:J,"Entregue"),0))</f>
        <v>0</v>
      </c>
      <c r="D18" s="388">
        <f t="shared" si="1"/>
        <v>0</v>
      </c>
      <c r="E18" s="388">
        <f t="shared" si="2"/>
        <v>0</v>
      </c>
      <c r="F18" s="387">
        <f t="shared" si="3"/>
        <v>0</v>
      </c>
      <c r="G18" s="389" t="str">
        <f t="shared" si="4"/>
        <v/>
      </c>
      <c r="H18" s="386" t="str">
        <f t="shared" si="5"/>
        <v/>
      </c>
    </row>
    <row r="19">
      <c r="A19" s="391"/>
      <c r="B19" s="386">
        <f t="array" ref="B19">IFERROR(INDEX(SC_OLD!A:A,MATCH($A19,SC_OLD!C:C,0)),"")</f>
        <v>0</v>
      </c>
      <c r="C19" s="387">
        <f>IF($A19="",0,IFERROR(SUMIFS(SC_OLD!D:D,SC_OLD!C:C,$A19,SC_OLD!J:J,"Entregue"),0))</f>
        <v>0</v>
      </c>
      <c r="D19" s="388">
        <f t="shared" si="1"/>
        <v>0</v>
      </c>
      <c r="E19" s="388">
        <f t="shared" si="2"/>
        <v>0</v>
      </c>
      <c r="F19" s="387">
        <f t="shared" si="3"/>
        <v>0</v>
      </c>
      <c r="G19" s="389" t="str">
        <f t="shared" si="4"/>
        <v/>
      </c>
      <c r="H19" s="386" t="str">
        <f t="shared" si="5"/>
        <v/>
      </c>
    </row>
    <row r="20">
      <c r="A20" s="391"/>
      <c r="B20" s="386">
        <f t="array" ref="B20">IFERROR(INDEX(SC_OLD!A:A,MATCH($A20,SC_OLD!C:C,0)),"")</f>
        <v>0</v>
      </c>
      <c r="C20" s="387">
        <f>IF($A20="",0,IFERROR(SUMIFS(SC_OLD!D:D,SC_OLD!C:C,$A20,SC_OLD!J:J,"Entregue"),0))</f>
        <v>0</v>
      </c>
      <c r="D20" s="388">
        <f t="shared" si="1"/>
        <v>0</v>
      </c>
      <c r="E20" s="388">
        <f t="shared" si="2"/>
        <v>0</v>
      </c>
      <c r="F20" s="387">
        <f t="shared" si="3"/>
        <v>0</v>
      </c>
      <c r="G20" s="389" t="str">
        <f t="shared" si="4"/>
        <v/>
      </c>
      <c r="H20" s="386" t="str">
        <f t="shared" si="5"/>
        <v/>
      </c>
    </row>
    <row r="21" ht="15.75" customHeight="1">
      <c r="A21" s="391"/>
      <c r="B21" s="386">
        <f t="array" ref="B21">IFERROR(INDEX(SC_OLD!A:A,MATCH($A21,SC_OLD!C:C,0)),"")</f>
        <v>0</v>
      </c>
      <c r="C21" s="387">
        <f>IF($A21="",0,IFERROR(SUMIFS(SC_OLD!D:D,SC_OLD!C:C,$A21,SC_OLD!J:J,"Entregue"),0))</f>
        <v>0</v>
      </c>
      <c r="D21" s="388">
        <f t="shared" si="1"/>
        <v>0</v>
      </c>
      <c r="E21" s="388">
        <f t="shared" si="2"/>
        <v>0</v>
      </c>
      <c r="F21" s="387">
        <f t="shared" si="3"/>
        <v>0</v>
      </c>
      <c r="G21" s="389" t="str">
        <f t="shared" si="4"/>
        <v/>
      </c>
      <c r="H21" s="386" t="str">
        <f t="shared" si="5"/>
        <v/>
      </c>
    </row>
    <row r="22" ht="15.75" customHeight="1">
      <c r="A22" s="391"/>
      <c r="B22" s="386">
        <f t="array" ref="B22">IFERROR(INDEX(SC_OLD!A:A,MATCH($A22,SC_OLD!C:C,0)),"")</f>
        <v>0</v>
      </c>
      <c r="C22" s="387">
        <f>IF($A22="",0,IFERROR(SUMIFS(SC_OLD!D:D,SC_OLD!C:C,$A22,SC_OLD!J:J,"Entregue"),0))</f>
        <v>0</v>
      </c>
      <c r="D22" s="388">
        <f t="shared" si="1"/>
        <v>0</v>
      </c>
      <c r="E22" s="388">
        <f t="shared" si="2"/>
        <v>0</v>
      </c>
      <c r="F22" s="387">
        <f t="shared" si="3"/>
        <v>0</v>
      </c>
      <c r="G22" s="389" t="str">
        <f t="shared" si="4"/>
        <v/>
      </c>
      <c r="H22" s="386" t="str">
        <f t="shared" si="5"/>
        <v/>
      </c>
    </row>
    <row r="23" ht="15.75" customHeight="1">
      <c r="A23" s="391"/>
      <c r="B23" s="386">
        <f t="array" ref="B23">IFERROR(INDEX(SC_OLD!A:A,MATCH($A23,SC_OLD!C:C,0)),"")</f>
        <v>0</v>
      </c>
      <c r="C23" s="387">
        <f>IF($A23="",0,IFERROR(SUMIFS(SC_OLD!D:D,SC_OLD!C:C,$A23,SC_OLD!J:J,"Entregue"),0))</f>
        <v>0</v>
      </c>
      <c r="D23" s="388">
        <f t="shared" si="1"/>
        <v>0</v>
      </c>
      <c r="E23" s="388">
        <f t="shared" si="2"/>
        <v>0</v>
      </c>
      <c r="F23" s="387">
        <f t="shared" si="3"/>
        <v>0</v>
      </c>
      <c r="G23" s="389" t="str">
        <f t="shared" si="4"/>
        <v/>
      </c>
      <c r="H23" s="386" t="str">
        <f t="shared" si="5"/>
        <v/>
      </c>
    </row>
    <row r="24" ht="15.75" customHeight="1">
      <c r="A24" s="391"/>
      <c r="B24" s="386">
        <f t="array" ref="B24">IFERROR(INDEX(SC_OLD!A:A,MATCH($A24,SC_OLD!C:C,0)),"")</f>
        <v>0</v>
      </c>
      <c r="C24" s="387">
        <f>IF($A24="",0,IFERROR(SUMIFS(SC_OLD!D:D,SC_OLD!C:C,$A24,SC_OLD!J:J,"Entregue"),0))</f>
        <v>0</v>
      </c>
      <c r="D24" s="388">
        <f t="shared" si="1"/>
        <v>0</v>
      </c>
      <c r="E24" s="388">
        <f t="shared" si="2"/>
        <v>0</v>
      </c>
      <c r="F24" s="387">
        <f t="shared" si="3"/>
        <v>0</v>
      </c>
      <c r="G24" s="389" t="str">
        <f t="shared" si="4"/>
        <v/>
      </c>
      <c r="H24" s="386" t="str">
        <f t="shared" si="5"/>
        <v/>
      </c>
    </row>
    <row r="25" ht="15.75" customHeight="1">
      <c r="A25" s="391"/>
      <c r="B25" s="386">
        <f t="array" ref="B25">IFERROR(INDEX(SC_OLD!A:A,MATCH($A25,SC_OLD!C:C,0)),"")</f>
        <v>0</v>
      </c>
      <c r="C25" s="387">
        <f>IF($A25="",0,IFERROR(SUMIFS(SC_OLD!D:D,SC_OLD!C:C,$A25,SC_OLD!J:J,"Entregue"),0))</f>
        <v>0</v>
      </c>
      <c r="D25" s="388">
        <f t="shared" si="1"/>
        <v>0</v>
      </c>
      <c r="E25" s="388">
        <f t="shared" si="2"/>
        <v>0</v>
      </c>
      <c r="F25" s="387">
        <f t="shared" si="3"/>
        <v>0</v>
      </c>
      <c r="G25" s="389" t="str">
        <f t="shared" si="4"/>
        <v/>
      </c>
      <c r="H25" s="386" t="str">
        <f t="shared" si="5"/>
        <v/>
      </c>
    </row>
    <row r="26" ht="15.75" customHeight="1">
      <c r="A26" s="391"/>
      <c r="B26" s="386">
        <f t="array" ref="B26">IFERROR(INDEX(SC_OLD!A:A,MATCH($A26,SC_OLD!C:C,0)),"")</f>
        <v>0</v>
      </c>
      <c r="C26" s="387">
        <f>IF($A26="",0,IFERROR(SUMIFS(SC_OLD!D:D,SC_OLD!C:C,$A26,SC_OLD!J:J,"Entregue"),0))</f>
        <v>0</v>
      </c>
      <c r="D26" s="388">
        <f t="shared" si="1"/>
        <v>0</v>
      </c>
      <c r="E26" s="388">
        <f t="shared" si="2"/>
        <v>0</v>
      </c>
      <c r="F26" s="387">
        <f t="shared" si="3"/>
        <v>0</v>
      </c>
      <c r="G26" s="389" t="str">
        <f t="shared" si="4"/>
        <v/>
      </c>
      <c r="H26" s="386" t="str">
        <f t="shared" si="5"/>
        <v/>
      </c>
    </row>
    <row r="27" ht="15.75" customHeight="1">
      <c r="A27" s="391"/>
      <c r="B27" s="386">
        <f t="array" ref="B27">IFERROR(INDEX(SC_OLD!A:A,MATCH($A27,SC_OLD!C:C,0)),"")</f>
        <v>0</v>
      </c>
      <c r="C27" s="387">
        <f>IF($A27="",0,IFERROR(SUMIFS(SC_OLD!D:D,SC_OLD!C:C,$A27,SC_OLD!J:J,"Entregue"),0))</f>
        <v>0</v>
      </c>
      <c r="D27" s="388">
        <f t="shared" si="1"/>
        <v>0</v>
      </c>
      <c r="E27" s="388">
        <f t="shared" si="2"/>
        <v>0</v>
      </c>
      <c r="F27" s="387">
        <f t="shared" si="3"/>
        <v>0</v>
      </c>
      <c r="G27" s="389" t="str">
        <f t="shared" si="4"/>
        <v/>
      </c>
      <c r="H27" s="386" t="str">
        <f t="shared" si="5"/>
        <v/>
      </c>
    </row>
    <row r="28" ht="15.75" customHeight="1">
      <c r="A28" s="391"/>
      <c r="B28" s="386">
        <f t="array" ref="B28">IFERROR(INDEX(SC_OLD!A:A,MATCH($A28,SC_OLD!C:C,0)),"")</f>
        <v>0</v>
      </c>
      <c r="C28" s="387">
        <f>IF($A28="",0,IFERROR(SUMIFS(SC_OLD!D:D,SC_OLD!C:C,$A28,SC_OLD!J:J,"Entregue"),0))</f>
        <v>0</v>
      </c>
      <c r="D28" s="388">
        <f t="shared" si="1"/>
        <v>0</v>
      </c>
      <c r="E28" s="388">
        <f t="shared" si="2"/>
        <v>0</v>
      </c>
      <c r="F28" s="387">
        <f t="shared" si="3"/>
        <v>0</v>
      </c>
      <c r="G28" s="389" t="str">
        <f t="shared" si="4"/>
        <v/>
      </c>
      <c r="H28" s="386" t="str">
        <f t="shared" si="5"/>
        <v/>
      </c>
    </row>
    <row r="29" ht="15.75" customHeight="1">
      <c r="A29" s="391"/>
      <c r="B29" s="386">
        <f t="array" ref="B29">IFERROR(INDEX(SC_OLD!A:A,MATCH($A29,SC_OLD!C:C,0)),"")</f>
        <v>0</v>
      </c>
      <c r="C29" s="387">
        <f>IF($A29="",0,IFERROR(SUMIFS(SC_OLD!D:D,SC_OLD!C:C,$A29,SC_OLD!J:J,"Entregue"),0))</f>
        <v>0</v>
      </c>
      <c r="D29" s="388">
        <f t="shared" si="1"/>
        <v>0</v>
      </c>
      <c r="E29" s="388">
        <f t="shared" si="2"/>
        <v>0</v>
      </c>
      <c r="F29" s="387">
        <f t="shared" si="3"/>
        <v>0</v>
      </c>
      <c r="G29" s="389" t="str">
        <f t="shared" si="4"/>
        <v/>
      </c>
      <c r="H29" s="386" t="str">
        <f t="shared" si="5"/>
        <v/>
      </c>
    </row>
    <row r="30" ht="15.75" customHeight="1">
      <c r="A30" s="391"/>
      <c r="B30" s="386">
        <f t="array" ref="B30">IFERROR(INDEX(SC_OLD!A:A,MATCH($A30,SC_OLD!C:C,0)),"")</f>
        <v>0</v>
      </c>
      <c r="C30" s="387">
        <f>IF($A30="",0,IFERROR(SUMIFS(SC_OLD!D:D,SC_OLD!C:C,$A30,SC_OLD!J:J,"Entregue"),0))</f>
        <v>0</v>
      </c>
      <c r="D30" s="388">
        <f t="shared" si="1"/>
        <v>0</v>
      </c>
      <c r="E30" s="388">
        <f t="shared" si="2"/>
        <v>0</v>
      </c>
      <c r="F30" s="387">
        <f t="shared" si="3"/>
        <v>0</v>
      </c>
      <c r="G30" s="389" t="str">
        <f t="shared" si="4"/>
        <v/>
      </c>
      <c r="H30" s="386" t="str">
        <f t="shared" si="5"/>
        <v/>
      </c>
    </row>
    <row r="31" ht="15.75" customHeight="1">
      <c r="A31" s="391"/>
      <c r="B31" s="386">
        <f t="array" ref="B31">IFERROR(INDEX(SC_OLD!A:A,MATCH($A31,SC_OLD!C:C,0)),"")</f>
        <v>0</v>
      </c>
      <c r="C31" s="387">
        <f>IF($A31="",0,IFERROR(SUMIFS(SC_OLD!D:D,SC_OLD!C:C,$A31,SC_OLD!J:J,"Entregue"),0))</f>
        <v>0</v>
      </c>
      <c r="D31" s="388">
        <f t="shared" si="1"/>
        <v>0</v>
      </c>
      <c r="E31" s="388">
        <f t="shared" si="2"/>
        <v>0</v>
      </c>
      <c r="F31" s="387">
        <f t="shared" si="3"/>
        <v>0</v>
      </c>
      <c r="G31" s="389" t="str">
        <f t="shared" si="4"/>
        <v/>
      </c>
      <c r="H31" s="386" t="str">
        <f t="shared" si="5"/>
        <v/>
      </c>
    </row>
    <row r="32" ht="15.75" customHeight="1">
      <c r="A32" s="391"/>
      <c r="B32" s="386">
        <f t="array" ref="B32">IFERROR(INDEX(SC_OLD!A:A,MATCH($A32,SC_OLD!C:C,0)),"")</f>
        <v>0</v>
      </c>
      <c r="C32" s="387">
        <f>IF($A32="",0,IFERROR(SUMIFS(SC_OLD!D:D,SC_OLD!C:C,$A32,SC_OLD!J:J,"Entregue"),0))</f>
        <v>0</v>
      </c>
      <c r="D32" s="388">
        <f t="shared" si="1"/>
        <v>0</v>
      </c>
      <c r="E32" s="388">
        <f t="shared" si="2"/>
        <v>0</v>
      </c>
      <c r="F32" s="387">
        <f t="shared" si="3"/>
        <v>0</v>
      </c>
      <c r="G32" s="389" t="str">
        <f t="shared" si="4"/>
        <v/>
      </c>
      <c r="H32" s="386" t="str">
        <f t="shared" si="5"/>
        <v/>
      </c>
    </row>
    <row r="33" ht="15.75" customHeight="1">
      <c r="A33" s="391"/>
      <c r="B33" s="386">
        <f t="array" ref="B33">IFERROR(INDEX(SC_OLD!A:A,MATCH($A33,SC_OLD!C:C,0)),"")</f>
        <v>0</v>
      </c>
      <c r="C33" s="387">
        <f>IF($A33="",0,IFERROR(SUMIFS(SC_OLD!D:D,SC_OLD!C:C,$A33,SC_OLD!J:J,"Entregue"),0))</f>
        <v>0</v>
      </c>
      <c r="D33" s="388">
        <f t="shared" si="1"/>
        <v>0</v>
      </c>
      <c r="E33" s="388">
        <f t="shared" si="2"/>
        <v>0</v>
      </c>
      <c r="F33" s="387">
        <f t="shared" si="3"/>
        <v>0</v>
      </c>
      <c r="G33" s="389" t="str">
        <f t="shared" si="4"/>
        <v/>
      </c>
      <c r="H33" s="386" t="str">
        <f t="shared" si="5"/>
        <v/>
      </c>
    </row>
    <row r="34" ht="15.75" customHeight="1">
      <c r="A34" s="391"/>
      <c r="B34" s="386">
        <f t="array" ref="B34">IFERROR(INDEX(SC_OLD!A:A,MATCH($A34,SC_OLD!C:C,0)),"")</f>
        <v>0</v>
      </c>
      <c r="C34" s="387">
        <f>IF($A34="",0,IFERROR(SUMIFS(SC_OLD!D:D,SC_OLD!C:C,$A34,SC_OLD!J:J,"Entregue"),0))</f>
        <v>0</v>
      </c>
      <c r="D34" s="388">
        <f t="shared" si="1"/>
        <v>0</v>
      </c>
      <c r="E34" s="388">
        <f t="shared" si="2"/>
        <v>0</v>
      </c>
      <c r="F34" s="387">
        <f t="shared" si="3"/>
        <v>0</v>
      </c>
      <c r="G34" s="389" t="str">
        <f t="shared" si="4"/>
        <v/>
      </c>
      <c r="H34" s="386" t="str">
        <f t="shared" si="5"/>
        <v/>
      </c>
    </row>
    <row r="35" ht="15.75" customHeight="1">
      <c r="A35" s="391"/>
      <c r="B35" s="386">
        <f t="array" ref="B35">IFERROR(INDEX(SC_OLD!A:A,MATCH($A35,SC_OLD!C:C,0)),"")</f>
        <v>0</v>
      </c>
      <c r="C35" s="387">
        <f>IF($A35="",0,IFERROR(SUMIFS(SC_OLD!D:D,SC_OLD!C:C,$A35,SC_OLD!J:J,"Entregue"),0))</f>
        <v>0</v>
      </c>
      <c r="D35" s="388">
        <f t="shared" si="1"/>
        <v>0</v>
      </c>
      <c r="E35" s="388">
        <f t="shared" si="2"/>
        <v>0</v>
      </c>
      <c r="F35" s="387">
        <f t="shared" si="3"/>
        <v>0</v>
      </c>
      <c r="G35" s="389" t="str">
        <f t="shared" si="4"/>
        <v/>
      </c>
      <c r="H35" s="386" t="str">
        <f t="shared" si="5"/>
        <v/>
      </c>
    </row>
    <row r="36" ht="15.75" customHeight="1">
      <c r="A36" s="391"/>
      <c r="B36" s="386">
        <f t="array" ref="B36">IFERROR(INDEX(SC_OLD!A:A,MATCH($A36,SC_OLD!C:C,0)),"")</f>
        <v>0</v>
      </c>
      <c r="C36" s="387">
        <f>IF($A36="",0,IFERROR(SUMIFS(SC_OLD!D:D,SC_OLD!C:C,$A36,SC_OLD!J:J,"Entregue"),0))</f>
        <v>0</v>
      </c>
      <c r="D36" s="388">
        <f t="shared" si="1"/>
        <v>0</v>
      </c>
      <c r="E36" s="388">
        <f t="shared" si="2"/>
        <v>0</v>
      </c>
      <c r="F36" s="387">
        <f t="shared" si="3"/>
        <v>0</v>
      </c>
      <c r="G36" s="389" t="str">
        <f t="shared" si="4"/>
        <v/>
      </c>
      <c r="H36" s="386" t="str">
        <f t="shared" si="5"/>
        <v/>
      </c>
    </row>
    <row r="37" ht="15.75" customHeight="1">
      <c r="A37" s="391"/>
      <c r="B37" s="386">
        <f t="array" ref="B37">IFERROR(INDEX(SC_OLD!A:A,MATCH($A37,SC_OLD!C:C,0)),"")</f>
        <v>0</v>
      </c>
      <c r="C37" s="387">
        <f>IF($A37="",0,IFERROR(SUMIFS(SC_OLD!D:D,SC_OLD!C:C,$A37,SC_OLD!J:J,"Entregue"),0))</f>
        <v>0</v>
      </c>
      <c r="D37" s="388">
        <f t="shared" si="1"/>
        <v>0</v>
      </c>
      <c r="E37" s="388">
        <f t="shared" si="2"/>
        <v>0</v>
      </c>
      <c r="F37" s="387">
        <f t="shared" si="3"/>
        <v>0</v>
      </c>
      <c r="G37" s="389" t="str">
        <f t="shared" si="4"/>
        <v/>
      </c>
      <c r="H37" s="386" t="str">
        <f t="shared" si="5"/>
        <v/>
      </c>
    </row>
    <row r="38" ht="15.75" customHeight="1">
      <c r="A38" s="391"/>
      <c r="B38" s="386">
        <f t="array" ref="B38">IFERROR(INDEX(SC_OLD!A:A,MATCH($A38,SC_OLD!C:C,0)),"")</f>
        <v>0</v>
      </c>
      <c r="C38" s="387">
        <f>IF($A38="",0,IFERROR(SUMIFS(SC_OLD!D:D,SC_OLD!C:C,$A38,SC_OLD!J:J,"Entregue"),0))</f>
        <v>0</v>
      </c>
      <c r="D38" s="388">
        <f t="shared" si="1"/>
        <v>0</v>
      </c>
      <c r="E38" s="388">
        <f t="shared" si="2"/>
        <v>0</v>
      </c>
      <c r="F38" s="387">
        <f t="shared" si="3"/>
        <v>0</v>
      </c>
      <c r="G38" s="389" t="str">
        <f t="shared" si="4"/>
        <v/>
      </c>
      <c r="H38" s="386" t="str">
        <f t="shared" si="5"/>
        <v/>
      </c>
    </row>
    <row r="39" ht="15.75" customHeight="1">
      <c r="A39" s="391"/>
      <c r="B39" s="386">
        <f t="array" ref="B39">IFERROR(INDEX(SC_OLD!A:A,MATCH($A39,SC_OLD!C:C,0)),"")</f>
        <v>0</v>
      </c>
      <c r="C39" s="387">
        <f>IF($A39="",0,IFERROR(SUMIFS(SC_OLD!D:D,SC_OLD!C:C,$A39,SC_OLD!J:J,"Entregue"),0))</f>
        <v>0</v>
      </c>
      <c r="D39" s="388">
        <f t="shared" si="1"/>
        <v>0</v>
      </c>
      <c r="E39" s="388">
        <f t="shared" si="2"/>
        <v>0</v>
      </c>
      <c r="F39" s="387">
        <f t="shared" si="3"/>
        <v>0</v>
      </c>
      <c r="G39" s="389" t="str">
        <f t="shared" si="4"/>
        <v/>
      </c>
      <c r="H39" s="386" t="str">
        <f t="shared" si="5"/>
        <v/>
      </c>
    </row>
    <row r="40" ht="15.75" customHeight="1">
      <c r="A40" s="391"/>
      <c r="B40" s="386">
        <f t="array" ref="B40">IFERROR(INDEX(SC_OLD!A:A,MATCH($A40,SC_OLD!C:C,0)),"")</f>
        <v>0</v>
      </c>
      <c r="C40" s="387">
        <f>IF($A40="",0,IFERROR(SUMIFS(SC_OLD!D:D,SC_OLD!C:C,$A40,SC_OLD!J:J,"Entregue"),0))</f>
        <v>0</v>
      </c>
      <c r="D40" s="388">
        <f t="shared" si="1"/>
        <v>0</v>
      </c>
      <c r="E40" s="388">
        <f t="shared" si="2"/>
        <v>0</v>
      </c>
      <c r="F40" s="387">
        <f t="shared" si="3"/>
        <v>0</v>
      </c>
      <c r="G40" s="389" t="str">
        <f t="shared" si="4"/>
        <v/>
      </c>
      <c r="H40" s="386" t="str">
        <f t="shared" si="5"/>
        <v/>
      </c>
    </row>
    <row r="41" ht="15.75" customHeight="1">
      <c r="A41" s="391"/>
      <c r="B41" s="386">
        <f t="array" ref="B41">IFERROR(INDEX(SC_OLD!A:A,MATCH($A41,SC_OLD!C:C,0)),"")</f>
        <v>0</v>
      </c>
      <c r="C41" s="387">
        <f>IF($A41="",0,IFERROR(SUMIFS(SC_OLD!D:D,SC_OLD!C:C,$A41,SC_OLD!J:J,"Entregue"),0))</f>
        <v>0</v>
      </c>
      <c r="D41" s="388">
        <f t="shared" si="1"/>
        <v>0</v>
      </c>
      <c r="E41" s="388">
        <f t="shared" si="2"/>
        <v>0</v>
      </c>
      <c r="F41" s="387">
        <f t="shared" si="3"/>
        <v>0</v>
      </c>
      <c r="G41" s="389" t="str">
        <f t="shared" si="4"/>
        <v/>
      </c>
      <c r="H41" s="386" t="str">
        <f t="shared" si="5"/>
        <v/>
      </c>
    </row>
    <row r="42" ht="15.75" customHeight="1">
      <c r="A42" s="391"/>
      <c r="B42" s="386">
        <f t="array" ref="B42">IFERROR(INDEX(SC_OLD!A:A,MATCH($A42,SC_OLD!C:C,0)),"")</f>
        <v>0</v>
      </c>
      <c r="C42" s="387">
        <f>IF($A42="",0,IFERROR(SUMIFS(SC_OLD!D:D,SC_OLD!C:C,$A42,SC_OLD!J:J,"Entregue"),0))</f>
        <v>0</v>
      </c>
      <c r="D42" s="388">
        <f t="shared" si="1"/>
        <v>0</v>
      </c>
      <c r="E42" s="388">
        <f t="shared" si="2"/>
        <v>0</v>
      </c>
      <c r="F42" s="387">
        <f t="shared" si="3"/>
        <v>0</v>
      </c>
      <c r="G42" s="389" t="str">
        <f t="shared" si="4"/>
        <v/>
      </c>
      <c r="H42" s="386" t="str">
        <f t="shared" si="5"/>
        <v/>
      </c>
    </row>
    <row r="43" ht="15.75" customHeight="1">
      <c r="A43" s="391"/>
      <c r="B43" s="386">
        <f t="array" ref="B43">IFERROR(INDEX(SC_OLD!A:A,MATCH($A43,SC_OLD!C:C,0)),"")</f>
        <v>0</v>
      </c>
      <c r="C43" s="387">
        <f>IF($A43="",0,IFERROR(SUMIFS(SC_OLD!D:D,SC_OLD!C:C,$A43,SC_OLD!J:J,"Entregue"),0))</f>
        <v>0</v>
      </c>
      <c r="D43" s="388">
        <f t="shared" si="1"/>
        <v>0</v>
      </c>
      <c r="E43" s="388">
        <f t="shared" si="2"/>
        <v>0</v>
      </c>
      <c r="F43" s="387">
        <f t="shared" si="3"/>
        <v>0</v>
      </c>
      <c r="G43" s="389" t="str">
        <f t="shared" si="4"/>
        <v/>
      </c>
      <c r="H43" s="386" t="str">
        <f t="shared" si="5"/>
        <v/>
      </c>
    </row>
    <row r="44" ht="15.75" customHeight="1">
      <c r="A44" s="391"/>
      <c r="B44" s="386">
        <f t="array" ref="B44">IFERROR(INDEX(SC_OLD!A:A,MATCH($A44,SC_OLD!C:C,0)),"")</f>
        <v>0</v>
      </c>
      <c r="C44" s="387">
        <f>IF($A44="",0,IFERROR(SUMIFS(SC_OLD!D:D,SC_OLD!C:C,$A44,SC_OLD!J:J,"Entregue"),0))</f>
        <v>0</v>
      </c>
      <c r="D44" s="388">
        <f t="shared" si="1"/>
        <v>0</v>
      </c>
      <c r="E44" s="388">
        <f t="shared" si="2"/>
        <v>0</v>
      </c>
      <c r="F44" s="387">
        <f t="shared" si="3"/>
        <v>0</v>
      </c>
      <c r="G44" s="389" t="str">
        <f t="shared" si="4"/>
        <v/>
      </c>
      <c r="H44" s="386" t="str">
        <f t="shared" si="5"/>
        <v/>
      </c>
    </row>
    <row r="45" ht="15.75" customHeight="1">
      <c r="A45" s="391"/>
      <c r="B45" s="386">
        <f t="array" ref="B45">IFERROR(INDEX(SC_OLD!A:A,MATCH($A45,SC_OLD!C:C,0)),"")</f>
        <v>0</v>
      </c>
      <c r="C45" s="387">
        <f>IF($A45="",0,IFERROR(SUMIFS(SC_OLD!D:D,SC_OLD!C:C,$A45,SC_OLD!J:J,"Entregue"),0))</f>
        <v>0</v>
      </c>
      <c r="D45" s="388">
        <f t="shared" si="1"/>
        <v>0</v>
      </c>
      <c r="E45" s="388">
        <f t="shared" si="2"/>
        <v>0</v>
      </c>
      <c r="F45" s="387">
        <f t="shared" si="3"/>
        <v>0</v>
      </c>
      <c r="G45" s="389" t="str">
        <f t="shared" si="4"/>
        <v/>
      </c>
      <c r="H45" s="386" t="str">
        <f t="shared" si="5"/>
        <v/>
      </c>
    </row>
    <row r="46" ht="15.75" customHeight="1">
      <c r="A46" s="391"/>
      <c r="B46" s="386">
        <f t="array" ref="B46">IFERROR(INDEX(SC_OLD!A:A,MATCH($A46,SC_OLD!C:C,0)),"")</f>
        <v>0</v>
      </c>
      <c r="C46" s="387">
        <f>IF($A46="",0,IFERROR(SUMIFS(SC_OLD!D:D,SC_OLD!C:C,$A46,SC_OLD!J:J,"Entregue"),0))</f>
        <v>0</v>
      </c>
      <c r="D46" s="388">
        <f t="shared" si="1"/>
        <v>0</v>
      </c>
      <c r="E46" s="388">
        <f t="shared" si="2"/>
        <v>0</v>
      </c>
      <c r="F46" s="387">
        <f t="shared" si="3"/>
        <v>0</v>
      </c>
      <c r="G46" s="389" t="str">
        <f t="shared" si="4"/>
        <v/>
      </c>
      <c r="H46" s="386" t="str">
        <f t="shared" si="5"/>
        <v/>
      </c>
    </row>
    <row r="47" ht="15.75" customHeight="1">
      <c r="A47" s="391"/>
      <c r="B47" s="386">
        <f t="array" ref="B47">IFERROR(INDEX(SC_OLD!A:A,MATCH($A47,SC_OLD!C:C,0)),"")</f>
        <v>0</v>
      </c>
      <c r="C47" s="387">
        <f>IF($A47="",0,IFERROR(SUMIFS(SC_OLD!D:D,SC_OLD!C:C,$A47,SC_OLD!J:J,"Entregue"),0))</f>
        <v>0</v>
      </c>
      <c r="D47" s="388">
        <f t="shared" si="1"/>
        <v>0</v>
      </c>
      <c r="E47" s="388">
        <f t="shared" si="2"/>
        <v>0</v>
      </c>
      <c r="F47" s="387">
        <f t="shared" si="3"/>
        <v>0</v>
      </c>
      <c r="G47" s="389" t="str">
        <f t="shared" si="4"/>
        <v/>
      </c>
      <c r="H47" s="386" t="str">
        <f t="shared" si="5"/>
        <v/>
      </c>
    </row>
    <row r="48" ht="15.75" customHeight="1">
      <c r="A48" s="391"/>
      <c r="B48" s="386">
        <f t="array" ref="B48">IFERROR(INDEX(SC_OLD!A:A,MATCH($A48,SC_OLD!C:C,0)),"")</f>
        <v>0</v>
      </c>
      <c r="C48" s="387">
        <f>IF($A48="",0,IFERROR(SUMIFS(SC_OLD!D:D,SC_OLD!C:C,$A48,SC_OLD!J:J,"Entregue"),0))</f>
        <v>0</v>
      </c>
      <c r="D48" s="388">
        <f t="shared" si="1"/>
        <v>0</v>
      </c>
      <c r="E48" s="388">
        <f t="shared" si="2"/>
        <v>0</v>
      </c>
      <c r="F48" s="387">
        <f t="shared" si="3"/>
        <v>0</v>
      </c>
      <c r="G48" s="389" t="str">
        <f t="shared" si="4"/>
        <v/>
      </c>
      <c r="H48" s="386" t="str">
        <f t="shared" si="5"/>
        <v/>
      </c>
    </row>
    <row r="49" ht="15.75" customHeight="1">
      <c r="A49" s="391"/>
      <c r="B49" s="386">
        <f t="array" ref="B49">IFERROR(INDEX(SC_OLD!A:A,MATCH($A49,SC_OLD!C:C,0)),"")</f>
        <v>0</v>
      </c>
      <c r="C49" s="387">
        <f>IF($A49="",0,IFERROR(SUMIFS(SC_OLD!D:D,SC_OLD!C:C,$A49,SC_OLD!J:J,"Entregue"),0))</f>
        <v>0</v>
      </c>
      <c r="D49" s="388">
        <f t="shared" si="1"/>
        <v>0</v>
      </c>
      <c r="E49" s="388">
        <f t="shared" si="2"/>
        <v>0</v>
      </c>
      <c r="F49" s="387">
        <f t="shared" si="3"/>
        <v>0</v>
      </c>
      <c r="G49" s="389" t="str">
        <f t="shared" si="4"/>
        <v/>
      </c>
      <c r="H49" s="386" t="str">
        <f t="shared" si="5"/>
        <v/>
      </c>
    </row>
    <row r="50" ht="15.75" customHeight="1">
      <c r="A50" s="391"/>
      <c r="B50" s="386">
        <f t="array" ref="B50">IFERROR(INDEX(SC_OLD!A:A,MATCH($A50,SC_OLD!C:C,0)),"")</f>
        <v>0</v>
      </c>
      <c r="C50" s="387">
        <f>IF($A50="",0,IFERROR(SUMIFS(SC_OLD!D:D,SC_OLD!C:C,$A50,SC_OLD!J:J,"Entregue"),0))</f>
        <v>0</v>
      </c>
      <c r="D50" s="388">
        <f t="shared" si="1"/>
        <v>0</v>
      </c>
      <c r="E50" s="388">
        <f t="shared" si="2"/>
        <v>0</v>
      </c>
      <c r="F50" s="387">
        <f t="shared" si="3"/>
        <v>0</v>
      </c>
      <c r="G50" s="389" t="str">
        <f t="shared" si="4"/>
        <v/>
      </c>
      <c r="H50" s="386" t="str">
        <f t="shared" si="5"/>
        <v/>
      </c>
    </row>
    <row r="51" ht="15.75" customHeight="1">
      <c r="A51" s="391"/>
      <c r="B51" s="386">
        <f t="array" ref="B51">IFERROR(INDEX(SC_OLD!A:A,MATCH($A51,SC_OLD!C:C,0)),"")</f>
        <v>0</v>
      </c>
      <c r="C51" s="387">
        <f>IF($A51="",0,IFERROR(SUMIFS(SC_OLD!D:D,SC_OLD!C:C,$A51,SC_OLD!J:J,"Entregue"),0))</f>
        <v>0</v>
      </c>
      <c r="D51" s="388">
        <f t="shared" si="1"/>
        <v>0</v>
      </c>
      <c r="E51" s="388">
        <f t="shared" si="2"/>
        <v>0</v>
      </c>
      <c r="F51" s="387">
        <f t="shared" si="3"/>
        <v>0</v>
      </c>
      <c r="G51" s="389" t="str">
        <f t="shared" si="4"/>
        <v/>
      </c>
      <c r="H51" s="386" t="str">
        <f t="shared" si="5"/>
        <v/>
      </c>
    </row>
    <row r="52" ht="15.75" customHeight="1">
      <c r="A52" s="391"/>
      <c r="B52" s="386">
        <f t="array" ref="B52">IFERROR(INDEX(SC_OLD!A:A,MATCH($A52,SC_OLD!C:C,0)),"")</f>
        <v>0</v>
      </c>
      <c r="C52" s="387">
        <f>IF($A52="",0,IFERROR(SUMIFS(SC_OLD!D:D,SC_OLD!C:C,$A52,SC_OLD!J:J,"Entregue"),0))</f>
        <v>0</v>
      </c>
      <c r="D52" s="388">
        <f t="shared" si="1"/>
        <v>0</v>
      </c>
      <c r="E52" s="388">
        <f t="shared" si="2"/>
        <v>0</v>
      </c>
      <c r="F52" s="387">
        <f t="shared" si="3"/>
        <v>0</v>
      </c>
      <c r="G52" s="389" t="str">
        <f t="shared" si="4"/>
        <v/>
      </c>
      <c r="H52" s="386" t="str">
        <f t="shared" si="5"/>
        <v/>
      </c>
    </row>
    <row r="53" ht="15.75" customHeight="1">
      <c r="A53" s="391"/>
      <c r="B53" s="386">
        <f t="array" ref="B53">IFERROR(INDEX(SC_OLD!A:A,MATCH($A53,SC_OLD!C:C,0)),"")</f>
        <v>0</v>
      </c>
      <c r="C53" s="387">
        <f>IF($A53="",0,IFERROR(SUMIFS(SC_OLD!D:D,SC_OLD!C:C,$A53,SC_OLD!J:J,"Entregue"),0))</f>
        <v>0</v>
      </c>
      <c r="D53" s="388">
        <f t="shared" si="1"/>
        <v>0</v>
      </c>
      <c r="E53" s="388">
        <f t="shared" si="2"/>
        <v>0</v>
      </c>
      <c r="F53" s="387">
        <f t="shared" si="3"/>
        <v>0</v>
      </c>
      <c r="G53" s="389" t="str">
        <f t="shared" si="4"/>
        <v/>
      </c>
      <c r="H53" s="386" t="str">
        <f t="shared" si="5"/>
        <v/>
      </c>
    </row>
    <row r="54" ht="15.75" customHeight="1">
      <c r="A54" s="391"/>
      <c r="B54" s="386">
        <f t="array" ref="B54">IFERROR(INDEX(SC_OLD!A:A,MATCH($A54,SC_OLD!C:C,0)),"")</f>
        <v>0</v>
      </c>
      <c r="C54" s="387">
        <f>IF($A54="",0,IFERROR(SUMIFS(SC_OLD!D:D,SC_OLD!C:C,$A54,SC_OLD!J:J,"Entregue"),0))</f>
        <v>0</v>
      </c>
      <c r="D54" s="388">
        <f t="shared" si="1"/>
        <v>0</v>
      </c>
      <c r="E54" s="388">
        <f t="shared" si="2"/>
        <v>0</v>
      </c>
      <c r="F54" s="387">
        <f t="shared" si="3"/>
        <v>0</v>
      </c>
      <c r="G54" s="389" t="str">
        <f t="shared" si="4"/>
        <v/>
      </c>
      <c r="H54" s="386" t="str">
        <f t="shared" si="5"/>
        <v/>
      </c>
    </row>
    <row r="55" ht="15.75" customHeight="1">
      <c r="A55" s="391"/>
      <c r="B55" s="386">
        <f t="array" ref="B55">IFERROR(INDEX(SC_OLD!A:A,MATCH($A55,SC_OLD!C:C,0)),"")</f>
        <v>0</v>
      </c>
      <c r="C55" s="387">
        <f>IF($A55="",0,IFERROR(SUMIFS(SC_OLD!D:D,SC_OLD!C:C,$A55,SC_OLD!J:J,"Entregue"),0))</f>
        <v>0</v>
      </c>
      <c r="D55" s="388">
        <f t="shared" si="1"/>
        <v>0</v>
      </c>
      <c r="E55" s="388">
        <f t="shared" si="2"/>
        <v>0</v>
      </c>
      <c r="F55" s="387">
        <f t="shared" si="3"/>
        <v>0</v>
      </c>
      <c r="G55" s="389" t="str">
        <f t="shared" si="4"/>
        <v/>
      </c>
      <c r="H55" s="386" t="str">
        <f t="shared" si="5"/>
        <v/>
      </c>
    </row>
    <row r="56" ht="15.75" customHeight="1">
      <c r="A56" s="391"/>
      <c r="B56" s="386">
        <f t="array" ref="B56">IFERROR(INDEX(SC_OLD!A:A,MATCH($A56,SC_OLD!C:C,0)),"")</f>
        <v>0</v>
      </c>
      <c r="C56" s="387">
        <f>IF($A56="",0,IFERROR(SUMIFS(SC_OLD!D:D,SC_OLD!C:C,$A56,SC_OLD!J:J,"Entregue"),0))</f>
        <v>0</v>
      </c>
      <c r="D56" s="388">
        <f t="shared" si="1"/>
        <v>0</v>
      </c>
      <c r="E56" s="388">
        <f t="shared" si="2"/>
        <v>0</v>
      </c>
      <c r="F56" s="387">
        <f t="shared" si="3"/>
        <v>0</v>
      </c>
      <c r="G56" s="389" t="str">
        <f t="shared" si="4"/>
        <v/>
      </c>
      <c r="H56" s="386" t="str">
        <f t="shared" si="5"/>
        <v/>
      </c>
    </row>
    <row r="57" ht="15.75" customHeight="1">
      <c r="A57" s="391"/>
      <c r="B57" s="386">
        <f t="array" ref="B57">IFERROR(INDEX(SC_OLD!A:A,MATCH($A57,SC_OLD!C:C,0)),"")</f>
        <v>0</v>
      </c>
      <c r="C57" s="387">
        <f>IF($A57="",0,IFERROR(SUMIFS(SC_OLD!D:D,SC_OLD!C:C,$A57,SC_OLD!J:J,"Entregue"),0))</f>
        <v>0</v>
      </c>
      <c r="D57" s="388">
        <f t="shared" si="1"/>
        <v>0</v>
      </c>
      <c r="E57" s="388">
        <f t="shared" si="2"/>
        <v>0</v>
      </c>
      <c r="F57" s="387">
        <f t="shared" si="3"/>
        <v>0</v>
      </c>
      <c r="G57" s="389" t="str">
        <f t="shared" si="4"/>
        <v/>
      </c>
      <c r="H57" s="386" t="str">
        <f t="shared" si="5"/>
        <v/>
      </c>
    </row>
    <row r="58" ht="15.75" customHeight="1">
      <c r="A58" s="391"/>
      <c r="B58" s="386">
        <f t="array" ref="B58">IFERROR(INDEX(SC_OLD!A:A,MATCH($A58,SC_OLD!C:C,0)),"")</f>
        <v>0</v>
      </c>
      <c r="C58" s="387">
        <f>IF($A58="",0,IFERROR(SUMIFS(SC_OLD!D:D,SC_OLD!C:C,$A58,SC_OLD!J:J,"Entregue"),0))</f>
        <v>0</v>
      </c>
      <c r="D58" s="388">
        <f t="shared" si="1"/>
        <v>0</v>
      </c>
      <c r="E58" s="388">
        <f t="shared" si="2"/>
        <v>0</v>
      </c>
      <c r="F58" s="387">
        <f t="shared" si="3"/>
        <v>0</v>
      </c>
      <c r="G58" s="389" t="str">
        <f t="shared" si="4"/>
        <v/>
      </c>
      <c r="H58" s="386" t="str">
        <f t="shared" si="5"/>
        <v/>
      </c>
    </row>
    <row r="59" ht="15.75" customHeight="1">
      <c r="A59" s="391"/>
      <c r="B59" s="386">
        <f t="array" ref="B59">IFERROR(INDEX(SC_OLD!A:A,MATCH($A59,SC_OLD!C:C,0)),"")</f>
        <v>0</v>
      </c>
      <c r="C59" s="387">
        <f>IF($A59="",0,IFERROR(SUMIFS(SC_OLD!D:D,SC_OLD!C:C,$A59,SC_OLD!J:J,"Entregue"),0))</f>
        <v>0</v>
      </c>
      <c r="D59" s="388">
        <f t="shared" si="1"/>
        <v>0</v>
      </c>
      <c r="E59" s="388">
        <f t="shared" si="2"/>
        <v>0</v>
      </c>
      <c r="F59" s="387">
        <f t="shared" si="3"/>
        <v>0</v>
      </c>
      <c r="G59" s="389" t="str">
        <f t="shared" si="4"/>
        <v/>
      </c>
      <c r="H59" s="386" t="str">
        <f t="shared" si="5"/>
        <v/>
      </c>
    </row>
    <row r="60" ht="15.75" customHeight="1">
      <c r="A60" s="391"/>
      <c r="B60" s="386">
        <f t="array" ref="B60">IFERROR(INDEX(SC_OLD!A:A,MATCH($A60,SC_OLD!C:C,0)),"")</f>
        <v>0</v>
      </c>
      <c r="C60" s="387">
        <f>IF($A60="",0,IFERROR(SUMIFS(SC_OLD!D:D,SC_OLD!C:C,$A60,SC_OLD!J:J,"Entregue"),0))</f>
        <v>0</v>
      </c>
      <c r="D60" s="388">
        <f t="shared" si="1"/>
        <v>0</v>
      </c>
      <c r="E60" s="388">
        <f t="shared" si="2"/>
        <v>0</v>
      </c>
      <c r="F60" s="387">
        <f t="shared" si="3"/>
        <v>0</v>
      </c>
      <c r="G60" s="389" t="str">
        <f t="shared" si="4"/>
        <v/>
      </c>
      <c r="H60" s="386" t="str">
        <f t="shared" si="5"/>
        <v/>
      </c>
    </row>
    <row r="61" ht="15.75" customHeight="1">
      <c r="A61" s="391"/>
      <c r="B61" s="386">
        <f t="array" ref="B61">IFERROR(INDEX(SC_OLD!A:A,MATCH($A61,SC_OLD!C:C,0)),"")</f>
        <v>0</v>
      </c>
      <c r="C61" s="387">
        <f>IF($A61="",0,IFERROR(SUMIFS(SC_OLD!D:D,SC_OLD!C:C,$A61,SC_OLD!J:J,"Entregue"),0))</f>
        <v>0</v>
      </c>
      <c r="D61" s="388">
        <f t="shared" si="1"/>
        <v>0</v>
      </c>
      <c r="E61" s="388">
        <f t="shared" si="2"/>
        <v>0</v>
      </c>
      <c r="F61" s="387">
        <f t="shared" si="3"/>
        <v>0</v>
      </c>
      <c r="G61" s="389" t="str">
        <f t="shared" si="4"/>
        <v/>
      </c>
      <c r="H61" s="386" t="str">
        <f t="shared" si="5"/>
        <v/>
      </c>
    </row>
    <row r="62" ht="15.75" customHeight="1">
      <c r="A62" s="391"/>
      <c r="B62" s="386">
        <f t="array" ref="B62">IFERROR(INDEX(SC_OLD!A:A,MATCH($A62,SC_OLD!C:C,0)),"")</f>
        <v>0</v>
      </c>
      <c r="C62" s="387">
        <f>IF($A62="",0,IFERROR(SUMIFS(SC_OLD!D:D,SC_OLD!C:C,$A62,SC_OLD!J:J,"Entregue"),0))</f>
        <v>0</v>
      </c>
      <c r="D62" s="388">
        <f t="shared" si="1"/>
        <v>0</v>
      </c>
      <c r="E62" s="388">
        <f t="shared" si="2"/>
        <v>0</v>
      </c>
      <c r="F62" s="387">
        <f t="shared" si="3"/>
        <v>0</v>
      </c>
      <c r="G62" s="389" t="str">
        <f t="shared" si="4"/>
        <v/>
      </c>
      <c r="H62" s="386" t="str">
        <f t="shared" si="5"/>
        <v/>
      </c>
    </row>
    <row r="63" ht="15.75" customHeight="1">
      <c r="A63" s="391"/>
      <c r="B63" s="386">
        <f t="array" ref="B63">IFERROR(INDEX(SC_OLD!A:A,MATCH($A63,SC_OLD!C:C,0)),"")</f>
        <v>0</v>
      </c>
      <c r="C63" s="387">
        <f>IF($A63="",0,IFERROR(SUMIFS(SC_OLD!D:D,SC_OLD!C:C,$A63,SC_OLD!J:J,"Entregue"),0))</f>
        <v>0</v>
      </c>
      <c r="D63" s="388">
        <f t="shared" si="1"/>
        <v>0</v>
      </c>
      <c r="E63" s="388">
        <f t="shared" si="2"/>
        <v>0</v>
      </c>
      <c r="F63" s="387">
        <f t="shared" si="3"/>
        <v>0</v>
      </c>
      <c r="G63" s="389" t="str">
        <f t="shared" si="4"/>
        <v/>
      </c>
      <c r="H63" s="386" t="str">
        <f t="shared" si="5"/>
        <v/>
      </c>
    </row>
    <row r="64" ht="15.75" customHeight="1">
      <c r="A64" s="391"/>
      <c r="B64" s="386">
        <f t="array" ref="B64">IFERROR(INDEX(SC_OLD!A:A,MATCH($A64,SC_OLD!C:C,0)),"")</f>
        <v>0</v>
      </c>
      <c r="C64" s="387">
        <f>IF($A64="",0,IFERROR(SUMIFS(SC_OLD!D:D,SC_OLD!C:C,$A64,SC_OLD!J:J,"Entregue"),0))</f>
        <v>0</v>
      </c>
      <c r="D64" s="388">
        <f t="shared" si="1"/>
        <v>0</v>
      </c>
      <c r="E64" s="388">
        <f t="shared" si="2"/>
        <v>0</v>
      </c>
      <c r="F64" s="387">
        <f t="shared" si="3"/>
        <v>0</v>
      </c>
      <c r="G64" s="389" t="str">
        <f t="shared" si="4"/>
        <v/>
      </c>
      <c r="H64" s="386" t="str">
        <f t="shared" si="5"/>
        <v/>
      </c>
    </row>
    <row r="65" ht="15.75" customHeight="1">
      <c r="A65" s="391"/>
      <c r="B65" s="386">
        <f t="array" ref="B65">IFERROR(INDEX(SC_OLD!A:A,MATCH($A65,SC_OLD!C:C,0)),"")</f>
        <v>0</v>
      </c>
      <c r="C65" s="387">
        <f>IF($A65="",0,IFERROR(SUMIFS(SC_OLD!D:D,SC_OLD!C:C,$A65,SC_OLD!J:J,"Entregue"),0))</f>
        <v>0</v>
      </c>
      <c r="D65" s="388">
        <f t="shared" si="1"/>
        <v>0</v>
      </c>
      <c r="E65" s="388">
        <f t="shared" si="2"/>
        <v>0</v>
      </c>
      <c r="F65" s="387">
        <f t="shared" si="3"/>
        <v>0</v>
      </c>
      <c r="G65" s="389" t="str">
        <f t="shared" si="4"/>
        <v/>
      </c>
      <c r="H65" s="386" t="str">
        <f t="shared" si="5"/>
        <v/>
      </c>
    </row>
    <row r="66" ht="15.75" customHeight="1">
      <c r="A66" s="391"/>
      <c r="B66" s="386">
        <f t="array" ref="B66">IFERROR(INDEX(SC_OLD!A:A,MATCH($A66,SC_OLD!C:C,0)),"")</f>
        <v>0</v>
      </c>
      <c r="C66" s="387">
        <f>IF($A66="",0,IFERROR(SUMIFS(SC_OLD!D:D,SC_OLD!C:C,$A66,SC_OLD!J:J,"Entregue"),0))</f>
        <v>0</v>
      </c>
      <c r="D66" s="388">
        <f t="shared" si="1"/>
        <v>0</v>
      </c>
      <c r="E66" s="388">
        <f t="shared" si="2"/>
        <v>0</v>
      </c>
      <c r="F66" s="387">
        <f t="shared" si="3"/>
        <v>0</v>
      </c>
      <c r="G66" s="389" t="str">
        <f t="shared" si="4"/>
        <v/>
      </c>
      <c r="H66" s="386" t="str">
        <f t="shared" si="5"/>
        <v/>
      </c>
    </row>
    <row r="67" ht="15.75" customHeight="1">
      <c r="A67" s="391"/>
      <c r="B67" s="386">
        <f t="array" ref="B67">IFERROR(INDEX(SC_OLD!A:A,MATCH($A67,SC_OLD!C:C,0)),"")</f>
        <v>0</v>
      </c>
      <c r="C67" s="387">
        <f>IF($A67="",0,IFERROR(SUMIFS(SC_OLD!D:D,SC_OLD!C:C,$A67,SC_OLD!J:J,"Entregue"),0))</f>
        <v>0</v>
      </c>
      <c r="D67" s="388">
        <f t="shared" si="1"/>
        <v>0</v>
      </c>
      <c r="E67" s="388">
        <f t="shared" si="2"/>
        <v>0</v>
      </c>
      <c r="F67" s="387">
        <f t="shared" si="3"/>
        <v>0</v>
      </c>
      <c r="G67" s="389" t="str">
        <f t="shared" si="4"/>
        <v/>
      </c>
      <c r="H67" s="386" t="str">
        <f t="shared" si="5"/>
        <v/>
      </c>
    </row>
    <row r="68" ht="15.75" customHeight="1">
      <c r="A68" s="391"/>
      <c r="B68" s="386">
        <f t="array" ref="B68">IFERROR(INDEX(SC_OLD!A:A,MATCH($A68,SC_OLD!C:C,0)),"")</f>
        <v>0</v>
      </c>
      <c r="C68" s="387">
        <f>IF($A68="",0,IFERROR(SUMIFS(SC_OLD!D:D,SC_OLD!C:C,$A68,SC_OLD!J:J,"Entregue"),0))</f>
        <v>0</v>
      </c>
      <c r="D68" s="388">
        <f t="shared" si="1"/>
        <v>0</v>
      </c>
      <c r="E68" s="388">
        <f t="shared" si="2"/>
        <v>0</v>
      </c>
      <c r="F68" s="387">
        <f t="shared" si="3"/>
        <v>0</v>
      </c>
      <c r="G68" s="389" t="str">
        <f t="shared" si="4"/>
        <v/>
      </c>
      <c r="H68" s="386" t="str">
        <f t="shared" si="5"/>
        <v/>
      </c>
    </row>
    <row r="69" ht="15.75" customHeight="1">
      <c r="A69" s="391"/>
      <c r="B69" s="386">
        <f t="array" ref="B69">IFERROR(INDEX(SC_OLD!A:A,MATCH($A69,SC_OLD!C:C,0)),"")</f>
        <v>0</v>
      </c>
      <c r="C69" s="387">
        <f>IF($A69="",0,IFERROR(SUMIFS(SC_OLD!D:D,SC_OLD!C:C,$A69,SC_OLD!J:J,"Entregue"),0))</f>
        <v>0</v>
      </c>
      <c r="D69" s="388">
        <f t="shared" si="1"/>
        <v>0</v>
      </c>
      <c r="E69" s="388">
        <f t="shared" si="2"/>
        <v>0</v>
      </c>
      <c r="F69" s="387">
        <f t="shared" si="3"/>
        <v>0</v>
      </c>
      <c r="G69" s="389" t="str">
        <f t="shared" si="4"/>
        <v/>
      </c>
      <c r="H69" s="386" t="str">
        <f t="shared" si="5"/>
        <v/>
      </c>
    </row>
    <row r="70" ht="15.75" customHeight="1">
      <c r="A70" s="391"/>
      <c r="B70" s="386">
        <f t="array" ref="B70">IFERROR(INDEX(SC_OLD!A:A,MATCH($A70,SC_OLD!C:C,0)),"")</f>
        <v>0</v>
      </c>
      <c r="C70" s="387">
        <f>IF($A70="",0,IFERROR(SUMIFS(SC_OLD!D:D,SC_OLD!C:C,$A70,SC_OLD!J:J,"Entregue"),0))</f>
        <v>0</v>
      </c>
      <c r="D70" s="388">
        <f t="shared" si="1"/>
        <v>0</v>
      </c>
      <c r="E70" s="388">
        <f t="shared" si="2"/>
        <v>0</v>
      </c>
      <c r="F70" s="387">
        <f t="shared" si="3"/>
        <v>0</v>
      </c>
      <c r="G70" s="389" t="str">
        <f t="shared" si="4"/>
        <v/>
      </c>
      <c r="H70" s="386" t="str">
        <f t="shared" si="5"/>
        <v/>
      </c>
    </row>
    <row r="71" ht="15.75" customHeight="1">
      <c r="A71" s="391"/>
      <c r="B71" s="386">
        <f t="array" ref="B71">IFERROR(INDEX(SC_OLD!A:A,MATCH($A71,SC_OLD!C:C,0)),"")</f>
        <v>0</v>
      </c>
      <c r="C71" s="387">
        <f>IF($A71="",0,IFERROR(SUMIFS(SC_OLD!D:D,SC_OLD!C:C,$A71,SC_OLD!J:J,"Entregue"),0))</f>
        <v>0</v>
      </c>
      <c r="D71" s="388">
        <f t="shared" si="1"/>
        <v>0</v>
      </c>
      <c r="E71" s="388">
        <f t="shared" si="2"/>
        <v>0</v>
      </c>
      <c r="F71" s="387">
        <f t="shared" si="3"/>
        <v>0</v>
      </c>
      <c r="G71" s="389" t="str">
        <f t="shared" si="4"/>
        <v/>
      </c>
      <c r="H71" s="386" t="str">
        <f t="shared" si="5"/>
        <v/>
      </c>
    </row>
    <row r="72" ht="15.75" customHeight="1">
      <c r="A72" s="391"/>
      <c r="B72" s="386">
        <f t="array" ref="B72">IFERROR(INDEX(SC_OLD!A:A,MATCH($A72,SC_OLD!C:C,0)),"")</f>
        <v>0</v>
      </c>
      <c r="C72" s="387">
        <f>IF($A72="",0,IFERROR(SUMIFS(SC_OLD!D:D,SC_OLD!C:C,$A72,SC_OLD!J:J,"Entregue"),0))</f>
        <v>0</v>
      </c>
      <c r="D72" s="388">
        <f t="shared" si="1"/>
        <v>0</v>
      </c>
      <c r="E72" s="388">
        <f t="shared" si="2"/>
        <v>0</v>
      </c>
      <c r="F72" s="387">
        <f t="shared" si="3"/>
        <v>0</v>
      </c>
      <c r="G72" s="389" t="str">
        <f t="shared" si="4"/>
        <v/>
      </c>
      <c r="H72" s="386" t="str">
        <f t="shared" si="5"/>
        <v/>
      </c>
    </row>
    <row r="73" ht="15.75" customHeight="1">
      <c r="A73" s="391"/>
      <c r="B73" s="386">
        <f t="array" ref="B73">IFERROR(INDEX(SC_OLD!A:A,MATCH($A73,SC_OLD!C:C,0)),"")</f>
        <v>0</v>
      </c>
      <c r="C73" s="387">
        <f>IF($A73="",0,IFERROR(SUMIFS(SC_OLD!D:D,SC_OLD!C:C,$A73,SC_OLD!J:J,"Entregue"),0))</f>
        <v>0</v>
      </c>
      <c r="D73" s="388">
        <f t="shared" si="1"/>
        <v>0</v>
      </c>
      <c r="E73" s="388">
        <f t="shared" si="2"/>
        <v>0</v>
      </c>
      <c r="F73" s="387">
        <f t="shared" si="3"/>
        <v>0</v>
      </c>
      <c r="G73" s="389" t="str">
        <f t="shared" si="4"/>
        <v/>
      </c>
      <c r="H73" s="386" t="str">
        <f t="shared" si="5"/>
        <v/>
      </c>
    </row>
    <row r="74" ht="15.75" customHeight="1">
      <c r="A74" s="391"/>
      <c r="B74" s="386">
        <f t="array" ref="B74">IFERROR(INDEX(SC_OLD!A:A,MATCH($A74,SC_OLD!C:C,0)),"")</f>
        <v>0</v>
      </c>
      <c r="C74" s="387">
        <f>IF($A74="",0,IFERROR(SUMIFS(SC_OLD!D:D,SC_OLD!C:C,$A74,SC_OLD!J:J,"Entregue"),0))</f>
        <v>0</v>
      </c>
      <c r="D74" s="388">
        <f t="shared" si="1"/>
        <v>0</v>
      </c>
      <c r="E74" s="388">
        <f t="shared" si="2"/>
        <v>0</v>
      </c>
      <c r="F74" s="387">
        <f t="shared" si="3"/>
        <v>0</v>
      </c>
      <c r="G74" s="389" t="str">
        <f t="shared" si="4"/>
        <v/>
      </c>
      <c r="H74" s="386" t="str">
        <f t="shared" si="5"/>
        <v/>
      </c>
    </row>
    <row r="75" ht="15.75" customHeight="1">
      <c r="A75" s="391"/>
      <c r="B75" s="386">
        <f t="array" ref="B75">IFERROR(INDEX(SC_OLD!A:A,MATCH($A75,SC_OLD!C:C,0)),"")</f>
        <v>0</v>
      </c>
      <c r="C75" s="387">
        <f>IF($A75="",0,IFERROR(SUMIFS(SC_OLD!D:D,SC_OLD!C:C,$A75,SC_OLD!J:J,"Entregue"),0))</f>
        <v>0</v>
      </c>
      <c r="D75" s="388">
        <f t="shared" si="1"/>
        <v>0</v>
      </c>
      <c r="E75" s="388">
        <f t="shared" si="2"/>
        <v>0</v>
      </c>
      <c r="F75" s="387">
        <f t="shared" si="3"/>
        <v>0</v>
      </c>
      <c r="G75" s="389" t="str">
        <f t="shared" si="4"/>
        <v/>
      </c>
      <c r="H75" s="386" t="str">
        <f t="shared" si="5"/>
        <v/>
      </c>
    </row>
    <row r="76" ht="15.75" customHeight="1">
      <c r="A76" s="391"/>
      <c r="B76" s="386">
        <f t="array" ref="B76">IFERROR(INDEX(SC_OLD!A:A,MATCH($A76,SC_OLD!C:C,0)),"")</f>
        <v>0</v>
      </c>
      <c r="C76" s="387">
        <f>IF($A76="",0,IFERROR(SUMIFS(SC_OLD!D:D,SC_OLD!C:C,$A76,SC_OLD!J:J,"Entregue"),0))</f>
        <v>0</v>
      </c>
      <c r="D76" s="388">
        <f t="shared" si="1"/>
        <v>0</v>
      </c>
      <c r="E76" s="388">
        <f t="shared" si="2"/>
        <v>0</v>
      </c>
      <c r="F76" s="387">
        <f t="shared" si="3"/>
        <v>0</v>
      </c>
      <c r="G76" s="389" t="str">
        <f t="shared" si="4"/>
        <v/>
      </c>
      <c r="H76" s="386" t="str">
        <f t="shared" si="5"/>
        <v/>
      </c>
    </row>
    <row r="77" ht="15.75" customHeight="1">
      <c r="A77" s="391"/>
      <c r="B77" s="386">
        <f t="array" ref="B77">IFERROR(INDEX(SC_OLD!A:A,MATCH($A77,SC_OLD!C:C,0)),"")</f>
        <v>0</v>
      </c>
      <c r="C77" s="387">
        <f>IF($A77="",0,IFERROR(SUMIFS(SC_OLD!D:D,SC_OLD!C:C,$A77,SC_OLD!J:J,"Entregue"),0))</f>
        <v>0</v>
      </c>
      <c r="D77" s="388">
        <f t="shared" si="1"/>
        <v>0</v>
      </c>
      <c r="E77" s="388">
        <f t="shared" si="2"/>
        <v>0</v>
      </c>
      <c r="F77" s="387">
        <f t="shared" si="3"/>
        <v>0</v>
      </c>
      <c r="G77" s="389" t="str">
        <f t="shared" si="4"/>
        <v/>
      </c>
      <c r="H77" s="386" t="str">
        <f t="shared" si="5"/>
        <v/>
      </c>
    </row>
    <row r="78" ht="15.75" customHeight="1">
      <c r="A78" s="391"/>
      <c r="B78" s="386">
        <f t="array" ref="B78">IFERROR(INDEX(SC_OLD!A:A,MATCH($A78,SC_OLD!C:C,0)),"")</f>
        <v>0</v>
      </c>
      <c r="C78" s="387">
        <f>IF($A78="",0,IFERROR(SUMIFS(SC_OLD!D:D,SC_OLD!C:C,$A78,SC_OLD!J:J,"Entregue"),0))</f>
        <v>0</v>
      </c>
      <c r="D78" s="388">
        <f t="shared" si="1"/>
        <v>0</v>
      </c>
      <c r="E78" s="388">
        <f t="shared" si="2"/>
        <v>0</v>
      </c>
      <c r="F78" s="387">
        <f t="shared" si="3"/>
        <v>0</v>
      </c>
      <c r="G78" s="389" t="str">
        <f t="shared" si="4"/>
        <v/>
      </c>
      <c r="H78" s="386" t="str">
        <f t="shared" si="5"/>
        <v/>
      </c>
    </row>
    <row r="79" ht="15.75" customHeight="1">
      <c r="A79" s="391"/>
      <c r="B79" s="386">
        <f t="array" ref="B79">IFERROR(INDEX(SC_OLD!A:A,MATCH($A79,SC_OLD!C:C,0)),"")</f>
        <v>0</v>
      </c>
      <c r="C79" s="387">
        <f>IF($A79="",0,IFERROR(SUMIFS(SC_OLD!D:D,SC_OLD!C:C,$A79,SC_OLD!J:J,"Entregue"),0))</f>
        <v>0</v>
      </c>
      <c r="D79" s="388">
        <f t="shared" si="1"/>
        <v>0</v>
      </c>
      <c r="E79" s="388">
        <f t="shared" si="2"/>
        <v>0</v>
      </c>
      <c r="F79" s="387">
        <f t="shared" si="3"/>
        <v>0</v>
      </c>
      <c r="G79" s="389" t="str">
        <f t="shared" si="4"/>
        <v/>
      </c>
      <c r="H79" s="386" t="str">
        <f t="shared" si="5"/>
        <v/>
      </c>
    </row>
    <row r="80" ht="15.75" customHeight="1">
      <c r="A80" s="391"/>
      <c r="B80" s="386">
        <f t="array" ref="B80">IFERROR(INDEX(SC_OLD!A:A,MATCH($A80,SC_OLD!C:C,0)),"")</f>
        <v>0</v>
      </c>
      <c r="C80" s="387">
        <f>IF($A80="",0,IFERROR(SUMIFS(SC_OLD!D:D,SC_OLD!C:C,$A80,SC_OLD!J:J,"Entregue"),0))</f>
        <v>0</v>
      </c>
      <c r="D80" s="388">
        <f t="shared" si="1"/>
        <v>0</v>
      </c>
      <c r="E80" s="388">
        <f t="shared" si="2"/>
        <v>0</v>
      </c>
      <c r="F80" s="387">
        <f t="shared" si="3"/>
        <v>0</v>
      </c>
      <c r="G80" s="389" t="str">
        <f t="shared" si="4"/>
        <v/>
      </c>
      <c r="H80" s="386" t="str">
        <f t="shared" si="5"/>
        <v/>
      </c>
    </row>
    <row r="81" ht="15.75" customHeight="1">
      <c r="A81" s="391"/>
      <c r="B81" s="386">
        <f t="array" ref="B81">IFERROR(INDEX(SC_OLD!A:A,MATCH($A81,SC_OLD!C:C,0)),"")</f>
        <v>0</v>
      </c>
      <c r="C81" s="387">
        <f>IF($A81="",0,IFERROR(SUMIFS(SC_OLD!D:D,SC_OLD!C:C,$A81,SC_OLD!J:J,"Entregue"),0))</f>
        <v>0</v>
      </c>
      <c r="D81" s="388">
        <f t="shared" si="1"/>
        <v>0</v>
      </c>
      <c r="E81" s="388">
        <f t="shared" si="2"/>
        <v>0</v>
      </c>
      <c r="F81" s="387">
        <f t="shared" si="3"/>
        <v>0</v>
      </c>
      <c r="G81" s="389" t="str">
        <f t="shared" si="4"/>
        <v/>
      </c>
      <c r="H81" s="386" t="str">
        <f t="shared" si="5"/>
        <v/>
      </c>
    </row>
    <row r="82" ht="15.75" customHeight="1">
      <c r="A82" s="391"/>
      <c r="B82" s="386">
        <f t="array" ref="B82">IFERROR(INDEX(SC_OLD!A:A,MATCH($A82,SC_OLD!C:C,0)),"")</f>
        <v>0</v>
      </c>
      <c r="C82" s="387">
        <f>IF($A82="",0,IFERROR(SUMIFS(SC_OLD!D:D,SC_OLD!C:C,$A82,SC_OLD!J:J,"Entregue"),0))</f>
        <v>0</v>
      </c>
      <c r="D82" s="388">
        <f t="shared" si="1"/>
        <v>0</v>
      </c>
      <c r="E82" s="388">
        <f t="shared" si="2"/>
        <v>0</v>
      </c>
      <c r="F82" s="387">
        <f t="shared" si="3"/>
        <v>0</v>
      </c>
      <c r="G82" s="389" t="str">
        <f t="shared" si="4"/>
        <v/>
      </c>
      <c r="H82" s="386" t="str">
        <f t="shared" si="5"/>
        <v/>
      </c>
    </row>
    <row r="83" ht="15.75" customHeight="1">
      <c r="A83" s="391"/>
      <c r="B83" s="386">
        <f t="array" ref="B83">IFERROR(INDEX(SC_OLD!A:A,MATCH($A83,SC_OLD!C:C,0)),"")</f>
        <v>0</v>
      </c>
      <c r="C83" s="387">
        <f>IF($A83="",0,IFERROR(SUMIFS(SC_OLD!D:D,SC_OLD!C:C,$A83,SC_OLD!J:J,"Entregue"),0))</f>
        <v>0</v>
      </c>
      <c r="D83" s="388">
        <f t="shared" si="1"/>
        <v>0</v>
      </c>
      <c r="E83" s="388">
        <f t="shared" si="2"/>
        <v>0</v>
      </c>
      <c r="F83" s="387">
        <f t="shared" si="3"/>
        <v>0</v>
      </c>
      <c r="G83" s="389" t="str">
        <f t="shared" si="4"/>
        <v/>
      </c>
      <c r="H83" s="386" t="str">
        <f t="shared" si="5"/>
        <v/>
      </c>
    </row>
    <row r="84" ht="15.75" customHeight="1">
      <c r="A84" s="391"/>
      <c r="B84" s="386">
        <f t="array" ref="B84">IFERROR(INDEX(SC_OLD!A:A,MATCH($A84,SC_OLD!C:C,0)),"")</f>
        <v>0</v>
      </c>
      <c r="C84" s="387">
        <f>IF($A84="",0,IFERROR(SUMIFS(SC_OLD!D:D,SC_OLD!C:C,$A84,SC_OLD!J:J,"Entregue"),0))</f>
        <v>0</v>
      </c>
      <c r="D84" s="388">
        <f t="shared" si="1"/>
        <v>0</v>
      </c>
      <c r="E84" s="388">
        <f t="shared" si="2"/>
        <v>0</v>
      </c>
      <c r="F84" s="387">
        <f t="shared" si="3"/>
        <v>0</v>
      </c>
      <c r="G84" s="389" t="str">
        <f t="shared" si="4"/>
        <v/>
      </c>
      <c r="H84" s="386" t="str">
        <f t="shared" si="5"/>
        <v/>
      </c>
    </row>
    <row r="85" ht="15.75" customHeight="1">
      <c r="A85" s="391"/>
      <c r="B85" s="386">
        <f t="array" ref="B85">IFERROR(INDEX(SC_OLD!A:A,MATCH($A85,SC_OLD!C:C,0)),"")</f>
        <v>0</v>
      </c>
      <c r="C85" s="387">
        <f>IF($A85="",0,IFERROR(SUMIFS(SC_OLD!D:D,SC_OLD!C:C,$A85,SC_OLD!J:J,"Entregue"),0))</f>
        <v>0</v>
      </c>
      <c r="D85" s="388">
        <f t="shared" si="1"/>
        <v>0</v>
      </c>
      <c r="E85" s="388">
        <f t="shared" si="2"/>
        <v>0</v>
      </c>
      <c r="F85" s="387">
        <f t="shared" si="3"/>
        <v>0</v>
      </c>
      <c r="G85" s="389" t="str">
        <f t="shared" si="4"/>
        <v/>
      </c>
      <c r="H85" s="386" t="str">
        <f t="shared" si="5"/>
        <v/>
      </c>
    </row>
    <row r="86" ht="15.75" customHeight="1">
      <c r="A86" s="391"/>
      <c r="B86" s="386">
        <f t="array" ref="B86">IFERROR(INDEX(SC_OLD!A:A,MATCH($A86,SC_OLD!C:C,0)),"")</f>
        <v>0</v>
      </c>
      <c r="C86" s="387">
        <f>IF($A86="",0,IFERROR(SUMIFS(SC_OLD!D:D,SC_OLD!C:C,$A86,SC_OLD!J:J,"Entregue"),0))</f>
        <v>0</v>
      </c>
      <c r="D86" s="388">
        <f t="shared" si="1"/>
        <v>0</v>
      </c>
      <c r="E86" s="388">
        <f t="shared" si="2"/>
        <v>0</v>
      </c>
      <c r="F86" s="387">
        <f t="shared" si="3"/>
        <v>0</v>
      </c>
      <c r="G86" s="389" t="str">
        <f t="shared" si="4"/>
        <v/>
      </c>
      <c r="H86" s="386" t="str">
        <f t="shared" si="5"/>
        <v/>
      </c>
    </row>
    <row r="87" ht="15.75" customHeight="1">
      <c r="A87" s="391"/>
      <c r="B87" s="386">
        <f t="array" ref="B87">IFERROR(INDEX(SC_OLD!A:A,MATCH($A87,SC_OLD!C:C,0)),"")</f>
        <v>0</v>
      </c>
      <c r="C87" s="387">
        <f>IF($A87="",0,IFERROR(SUMIFS(SC_OLD!D:D,SC_OLD!C:C,$A87,SC_OLD!J:J,"Entregue"),0))</f>
        <v>0</v>
      </c>
      <c r="D87" s="388">
        <f t="shared" si="1"/>
        <v>0</v>
      </c>
      <c r="E87" s="388">
        <f t="shared" si="2"/>
        <v>0</v>
      </c>
      <c r="F87" s="387">
        <f t="shared" si="3"/>
        <v>0</v>
      </c>
      <c r="G87" s="389" t="str">
        <f t="shared" si="4"/>
        <v/>
      </c>
      <c r="H87" s="386" t="str">
        <f t="shared" si="5"/>
        <v/>
      </c>
    </row>
    <row r="88" ht="15.75" customHeight="1">
      <c r="A88" s="391"/>
      <c r="B88" s="386">
        <f t="array" ref="B88">IFERROR(INDEX(SC_OLD!A:A,MATCH($A88,SC_OLD!C:C,0)),"")</f>
        <v>0</v>
      </c>
      <c r="C88" s="387">
        <f>IF($A88="",0,IFERROR(SUMIFS(SC_OLD!D:D,SC_OLD!C:C,$A88,SC_OLD!J:J,"Entregue"),0))</f>
        <v>0</v>
      </c>
      <c r="D88" s="388">
        <f t="shared" si="1"/>
        <v>0</v>
      </c>
      <c r="E88" s="388">
        <f t="shared" si="2"/>
        <v>0</v>
      </c>
      <c r="F88" s="387">
        <f t="shared" si="3"/>
        <v>0</v>
      </c>
      <c r="G88" s="389" t="str">
        <f t="shared" si="4"/>
        <v/>
      </c>
      <c r="H88" s="386" t="str">
        <f t="shared" si="5"/>
        <v/>
      </c>
    </row>
    <row r="89" ht="15.75" customHeight="1">
      <c r="A89" s="391"/>
      <c r="B89" s="386">
        <f t="array" ref="B89">IFERROR(INDEX(SC_OLD!A:A,MATCH($A89,SC_OLD!C:C,0)),"")</f>
        <v>0</v>
      </c>
      <c r="C89" s="387">
        <f>IF($A89="",0,IFERROR(SUMIFS(SC_OLD!D:D,SC_OLD!C:C,$A89,SC_OLD!J:J,"Entregue"),0))</f>
        <v>0</v>
      </c>
      <c r="D89" s="388">
        <f t="shared" si="1"/>
        <v>0</v>
      </c>
      <c r="E89" s="388">
        <f t="shared" si="2"/>
        <v>0</v>
      </c>
      <c r="F89" s="387">
        <f t="shared" si="3"/>
        <v>0</v>
      </c>
      <c r="G89" s="389" t="str">
        <f t="shared" si="4"/>
        <v/>
      </c>
      <c r="H89" s="386" t="str">
        <f t="shared" si="5"/>
        <v/>
      </c>
    </row>
    <row r="90" ht="15.75" customHeight="1">
      <c r="A90" s="391"/>
      <c r="B90" s="386">
        <f t="array" ref="B90">IFERROR(INDEX(SC_OLD!A:A,MATCH($A90,SC_OLD!C:C,0)),"")</f>
        <v>0</v>
      </c>
      <c r="C90" s="387">
        <f>IF($A90="",0,IFERROR(SUMIFS(SC_OLD!D:D,SC_OLD!C:C,$A90,SC_OLD!J:J,"Entregue"),0))</f>
        <v>0</v>
      </c>
      <c r="D90" s="388">
        <f t="shared" si="1"/>
        <v>0</v>
      </c>
      <c r="E90" s="388">
        <f t="shared" si="2"/>
        <v>0</v>
      </c>
      <c r="F90" s="387">
        <f t="shared" si="3"/>
        <v>0</v>
      </c>
      <c r="G90" s="389" t="str">
        <f t="shared" si="4"/>
        <v/>
      </c>
      <c r="H90" s="386" t="str">
        <f t="shared" si="5"/>
        <v/>
      </c>
    </row>
    <row r="91" ht="15.75" customHeight="1">
      <c r="A91" s="391"/>
      <c r="B91" s="386">
        <f t="array" ref="B91">IFERROR(INDEX(SC_OLD!A:A,MATCH($A91,SC_OLD!C:C,0)),"")</f>
        <v>0</v>
      </c>
      <c r="C91" s="387">
        <f>IF($A91="",0,IFERROR(SUMIFS(SC_OLD!D:D,SC_OLD!C:C,$A91,SC_OLD!J:J,"Entregue"),0))</f>
        <v>0</v>
      </c>
      <c r="D91" s="388">
        <f t="shared" si="1"/>
        <v>0</v>
      </c>
      <c r="E91" s="388">
        <f t="shared" si="2"/>
        <v>0</v>
      </c>
      <c r="F91" s="387">
        <f t="shared" si="3"/>
        <v>0</v>
      </c>
      <c r="G91" s="389" t="str">
        <f t="shared" si="4"/>
        <v/>
      </c>
      <c r="H91" s="386" t="str">
        <f t="shared" si="5"/>
        <v/>
      </c>
    </row>
    <row r="92" ht="15.75" customHeight="1">
      <c r="A92" s="391"/>
      <c r="B92" s="386">
        <f t="array" ref="B92">IFERROR(INDEX(SC_OLD!A:A,MATCH($A92,SC_OLD!C:C,0)),"")</f>
        <v>0</v>
      </c>
      <c r="C92" s="387">
        <f>IF($A92="",0,IFERROR(SUMIFS(SC_OLD!D:D,SC_OLD!C:C,$A92,SC_OLD!J:J,"Entregue"),0))</f>
        <v>0</v>
      </c>
      <c r="D92" s="388">
        <f t="shared" si="1"/>
        <v>0</v>
      </c>
      <c r="E92" s="388">
        <f t="shared" si="2"/>
        <v>0</v>
      </c>
      <c r="F92" s="387">
        <f t="shared" si="3"/>
        <v>0</v>
      </c>
      <c r="G92" s="389" t="str">
        <f t="shared" si="4"/>
        <v/>
      </c>
      <c r="H92" s="386" t="str">
        <f t="shared" si="5"/>
        <v/>
      </c>
    </row>
    <row r="93" ht="15.75" customHeight="1">
      <c r="A93" s="391"/>
      <c r="B93" s="386">
        <f t="array" ref="B93">IFERROR(INDEX(SC_OLD!A:A,MATCH($A93,SC_OLD!C:C,0)),"")</f>
        <v>0</v>
      </c>
      <c r="C93" s="387">
        <f>IF($A93="",0,IFERROR(SUMIFS(SC_OLD!D:D,SC_OLD!C:C,$A93,SC_OLD!J:J,"Entregue"),0))</f>
        <v>0</v>
      </c>
      <c r="D93" s="388">
        <f t="shared" si="1"/>
        <v>0</v>
      </c>
      <c r="E93" s="388">
        <f t="shared" si="2"/>
        <v>0</v>
      </c>
      <c r="F93" s="387">
        <f t="shared" si="3"/>
        <v>0</v>
      </c>
      <c r="G93" s="389" t="str">
        <f t="shared" si="4"/>
        <v/>
      </c>
      <c r="H93" s="386" t="str">
        <f t="shared" si="5"/>
        <v/>
      </c>
    </row>
    <row r="94" ht="15.75" customHeight="1">
      <c r="A94" s="391"/>
      <c r="B94" s="386">
        <f t="array" ref="B94">IFERROR(INDEX(SC_OLD!A:A,MATCH($A94,SC_OLD!C:C,0)),"")</f>
        <v>0</v>
      </c>
      <c r="C94" s="387">
        <f>IF($A94="",0,IFERROR(SUMIFS(SC_OLD!D:D,SC_OLD!C:C,$A94,SC_OLD!J:J,"Entregue"),0))</f>
        <v>0</v>
      </c>
      <c r="D94" s="388">
        <f t="shared" si="1"/>
        <v>0</v>
      </c>
      <c r="E94" s="388">
        <f t="shared" si="2"/>
        <v>0</v>
      </c>
      <c r="F94" s="387">
        <f t="shared" si="3"/>
        <v>0</v>
      </c>
      <c r="G94" s="389" t="str">
        <f t="shared" si="4"/>
        <v/>
      </c>
      <c r="H94" s="386" t="str">
        <f t="shared" si="5"/>
        <v/>
      </c>
    </row>
    <row r="95" ht="15.75" customHeight="1">
      <c r="A95" s="391"/>
      <c r="B95" s="386">
        <f t="array" ref="B95">IFERROR(INDEX(SC_OLD!A:A,MATCH($A95,SC_OLD!C:C,0)),"")</f>
        <v>0</v>
      </c>
      <c r="C95" s="387">
        <f>IF($A95="",0,IFERROR(SUMIFS(SC_OLD!D:D,SC_OLD!C:C,$A95,SC_OLD!J:J,"Entregue"),0))</f>
        <v>0</v>
      </c>
      <c r="D95" s="388">
        <f t="shared" si="1"/>
        <v>0</v>
      </c>
      <c r="E95" s="388">
        <f t="shared" si="2"/>
        <v>0</v>
      </c>
      <c r="F95" s="387">
        <f t="shared" si="3"/>
        <v>0</v>
      </c>
      <c r="G95" s="389" t="str">
        <f t="shared" si="4"/>
        <v/>
      </c>
      <c r="H95" s="386" t="str">
        <f t="shared" si="5"/>
        <v/>
      </c>
    </row>
    <row r="96" ht="15.75" customHeight="1">
      <c r="A96" s="391"/>
      <c r="B96" s="386">
        <f t="array" ref="B96">IFERROR(INDEX(SC_OLD!A:A,MATCH($A96,SC_OLD!C:C,0)),"")</f>
        <v>0</v>
      </c>
      <c r="C96" s="387">
        <f>IF($A96="",0,IFERROR(SUMIFS(SC_OLD!D:D,SC_OLD!C:C,$A96,SC_OLD!J:J,"Entregue"),0))</f>
        <v>0</v>
      </c>
      <c r="D96" s="388">
        <f t="shared" si="1"/>
        <v>0</v>
      </c>
      <c r="E96" s="388">
        <f t="shared" si="2"/>
        <v>0</v>
      </c>
      <c r="F96" s="387">
        <f t="shared" si="3"/>
        <v>0</v>
      </c>
      <c r="G96" s="389" t="str">
        <f t="shared" si="4"/>
        <v/>
      </c>
      <c r="H96" s="386" t="str">
        <f t="shared" si="5"/>
        <v/>
      </c>
    </row>
    <row r="97" ht="15.75" customHeight="1">
      <c r="A97" s="391"/>
      <c r="B97" s="386">
        <f t="array" ref="B97">IFERROR(INDEX(SC_OLD!A:A,MATCH($A97,SC_OLD!C:C,0)),"")</f>
        <v>0</v>
      </c>
      <c r="C97" s="387">
        <f>IF($A97="",0,IFERROR(SUMIFS(SC_OLD!D:D,SC_OLD!C:C,$A97,SC_OLD!J:J,"Entregue"),0))</f>
        <v>0</v>
      </c>
      <c r="D97" s="388">
        <f t="shared" si="1"/>
        <v>0</v>
      </c>
      <c r="E97" s="388">
        <f t="shared" si="2"/>
        <v>0</v>
      </c>
      <c r="F97" s="387">
        <f t="shared" si="3"/>
        <v>0</v>
      </c>
      <c r="G97" s="389" t="str">
        <f t="shared" si="4"/>
        <v/>
      </c>
      <c r="H97" s="386" t="str">
        <f t="shared" si="5"/>
        <v/>
      </c>
    </row>
    <row r="98" ht="15.75" customHeight="1">
      <c r="A98" s="391"/>
      <c r="B98" s="386">
        <f t="array" ref="B98">IFERROR(INDEX(SC_OLD!A:A,MATCH($A98,SC_OLD!C:C,0)),"")</f>
        <v>0</v>
      </c>
      <c r="C98" s="387">
        <f>IF($A98="",0,IFERROR(SUMIFS(SC_OLD!D:D,SC_OLD!C:C,$A98,SC_OLD!J:J,"Entregue"),0))</f>
        <v>0</v>
      </c>
      <c r="D98" s="388">
        <f t="shared" si="1"/>
        <v>0</v>
      </c>
      <c r="E98" s="388">
        <f t="shared" si="2"/>
        <v>0</v>
      </c>
      <c r="F98" s="387">
        <f t="shared" si="3"/>
        <v>0</v>
      </c>
      <c r="G98" s="389" t="str">
        <f t="shared" si="4"/>
        <v/>
      </c>
      <c r="H98" s="386" t="str">
        <f t="shared" si="5"/>
        <v/>
      </c>
    </row>
    <row r="99" ht="15.75" customHeight="1">
      <c r="A99" s="391"/>
      <c r="B99" s="386">
        <f t="array" ref="B99">IFERROR(INDEX(SC_OLD!A:A,MATCH($A99,SC_OLD!C:C,0)),"")</f>
        <v>0</v>
      </c>
      <c r="C99" s="387">
        <f>IF($A99="",0,IFERROR(SUMIFS(SC_OLD!D:D,SC_OLD!C:C,$A99,SC_OLD!J:J,"Entregue"),0))</f>
        <v>0</v>
      </c>
      <c r="D99" s="388">
        <f t="shared" si="1"/>
        <v>0</v>
      </c>
      <c r="E99" s="388">
        <f t="shared" si="2"/>
        <v>0</v>
      </c>
      <c r="F99" s="387">
        <f t="shared" si="3"/>
        <v>0</v>
      </c>
      <c r="G99" s="389" t="str">
        <f t="shared" si="4"/>
        <v/>
      </c>
      <c r="H99" s="386" t="str">
        <f t="shared" si="5"/>
        <v/>
      </c>
    </row>
    <row r="100" ht="15.75" customHeight="1">
      <c r="A100" s="391"/>
      <c r="B100" s="386">
        <f t="array" ref="B100">IFERROR(INDEX(SC_OLD!A:A,MATCH($A100,SC_OLD!C:C,0)),"")</f>
        <v>0</v>
      </c>
      <c r="C100" s="387">
        <f>IF($A100="",0,IFERROR(SUMIFS(SC_OLD!D:D,SC_OLD!C:C,$A100,SC_OLD!J:J,"Entregue"),0))</f>
        <v>0</v>
      </c>
      <c r="D100" s="388">
        <f t="shared" si="1"/>
        <v>0</v>
      </c>
      <c r="E100" s="388">
        <f t="shared" si="2"/>
        <v>0</v>
      </c>
      <c r="F100" s="387">
        <f t="shared" si="3"/>
        <v>0</v>
      </c>
      <c r="G100" s="389" t="str">
        <f t="shared" si="4"/>
        <v/>
      </c>
      <c r="H100" s="386" t="str">
        <f t="shared" si="5"/>
        <v/>
      </c>
    </row>
    <row r="101" ht="15.75" customHeight="1">
      <c r="A101" s="391"/>
      <c r="B101" s="386">
        <f t="array" ref="B101">IFERROR(INDEX(SC_OLD!A:A,MATCH($A101,SC_OLD!C:C,0)),"")</f>
        <v>0</v>
      </c>
      <c r="C101" s="387">
        <f>IF($A101="",0,IFERROR(SUMIFS(SC_OLD!D:D,SC_OLD!C:C,$A101,SC_OLD!J:J,"Entregue"),0))</f>
        <v>0</v>
      </c>
      <c r="D101" s="388">
        <f t="shared" si="1"/>
        <v>0</v>
      </c>
      <c r="E101" s="388">
        <f t="shared" si="2"/>
        <v>0</v>
      </c>
      <c r="F101" s="387">
        <f t="shared" si="3"/>
        <v>0</v>
      </c>
      <c r="G101" s="389" t="str">
        <f t="shared" si="4"/>
        <v/>
      </c>
      <c r="H101" s="386" t="str">
        <f t="shared" si="5"/>
        <v/>
      </c>
    </row>
    <row r="102" ht="15.75" customHeight="1">
      <c r="A102" s="391"/>
      <c r="B102" s="386">
        <f t="array" ref="B102">IFERROR(INDEX(SC_OLD!A:A,MATCH($A102,SC_OLD!C:C,0)),"")</f>
        <v>0</v>
      </c>
      <c r="C102" s="387">
        <f>IF($A102="",0,IFERROR(SUMIFS(SC_OLD!D:D,SC_OLD!C:C,$A102,SC_OLD!J:J,"Entregue"),0))</f>
        <v>0</v>
      </c>
      <c r="D102" s="388">
        <f t="shared" si="1"/>
        <v>0</v>
      </c>
      <c r="E102" s="388">
        <f t="shared" si="2"/>
        <v>0</v>
      </c>
      <c r="F102" s="387">
        <f t="shared" si="3"/>
        <v>0</v>
      </c>
      <c r="G102" s="389" t="str">
        <f t="shared" si="4"/>
        <v/>
      </c>
      <c r="H102" s="386" t="str">
        <f t="shared" si="5"/>
        <v/>
      </c>
    </row>
    <row r="103" ht="15.75" customHeight="1">
      <c r="A103" s="391"/>
      <c r="B103" s="386">
        <f t="array" ref="B103">IFERROR(INDEX(SC_OLD!A:A,MATCH($A103,SC_OLD!C:C,0)),"")</f>
        <v>0</v>
      </c>
      <c r="C103" s="387">
        <f>IF($A103="",0,IFERROR(SUMIFS(SC_OLD!D:D,SC_OLD!C:C,$A103,SC_OLD!J:J,"Entregue"),0))</f>
        <v>0</v>
      </c>
      <c r="D103" s="388">
        <f t="shared" si="1"/>
        <v>0</v>
      </c>
      <c r="E103" s="388">
        <f t="shared" si="2"/>
        <v>0</v>
      </c>
      <c r="F103" s="387">
        <f t="shared" si="3"/>
        <v>0</v>
      </c>
      <c r="G103" s="389" t="str">
        <f t="shared" si="4"/>
        <v/>
      </c>
      <c r="H103" s="386" t="str">
        <f t="shared" si="5"/>
        <v/>
      </c>
    </row>
    <row r="104" ht="15.75" customHeight="1">
      <c r="A104" s="391"/>
      <c r="B104" s="386">
        <f t="array" ref="B104">IFERROR(INDEX(SC_OLD!A:A,MATCH($A104,SC_OLD!C:C,0)),"")</f>
        <v>0</v>
      </c>
      <c r="C104" s="387">
        <f>IF($A104="",0,IFERROR(SUMIFS(SC_OLD!D:D,SC_OLD!C:C,$A104,SC_OLD!J:J,"Entregue"),0))</f>
        <v>0</v>
      </c>
      <c r="D104" s="388">
        <f t="shared" si="1"/>
        <v>0</v>
      </c>
      <c r="E104" s="388">
        <f t="shared" si="2"/>
        <v>0</v>
      </c>
      <c r="F104" s="387">
        <f t="shared" si="3"/>
        <v>0</v>
      </c>
      <c r="G104" s="389" t="str">
        <f t="shared" si="4"/>
        <v/>
      </c>
      <c r="H104" s="386" t="str">
        <f t="shared" si="5"/>
        <v/>
      </c>
    </row>
    <row r="105" ht="15.75" customHeight="1">
      <c r="A105" s="391"/>
      <c r="B105" s="386">
        <f t="array" ref="B105">IFERROR(INDEX(SC_OLD!A:A,MATCH($A105,SC_OLD!C:C,0)),"")</f>
        <v>0</v>
      </c>
      <c r="C105" s="387">
        <f>IF($A105="",0,IFERROR(SUMIFS(SC_OLD!D:D,SC_OLD!C:C,$A105,SC_OLD!J:J,"Entregue"),0))</f>
        <v>0</v>
      </c>
      <c r="D105" s="388">
        <f t="shared" si="1"/>
        <v>0</v>
      </c>
      <c r="E105" s="388">
        <f t="shared" si="2"/>
        <v>0</v>
      </c>
      <c r="F105" s="387">
        <f t="shared" si="3"/>
        <v>0</v>
      </c>
      <c r="G105" s="389" t="str">
        <f t="shared" si="4"/>
        <v/>
      </c>
      <c r="H105" s="386" t="str">
        <f t="shared" si="5"/>
        <v/>
      </c>
    </row>
    <row r="106" ht="15.75" customHeight="1">
      <c r="A106" s="391"/>
      <c r="B106" s="386">
        <f t="array" ref="B106">IFERROR(INDEX(SC_OLD!A:A,MATCH($A106,SC_OLD!C:C,0)),"")</f>
        <v>0</v>
      </c>
      <c r="C106" s="387">
        <f>IF($A106="",0,IFERROR(SUMIFS(SC_OLD!D:D,SC_OLD!C:C,$A106,SC_OLD!J:J,"Entregue"),0))</f>
        <v>0</v>
      </c>
      <c r="D106" s="388">
        <f t="shared" si="1"/>
        <v>0</v>
      </c>
      <c r="E106" s="388">
        <f t="shared" si="2"/>
        <v>0</v>
      </c>
      <c r="F106" s="387">
        <f t="shared" si="3"/>
        <v>0</v>
      </c>
      <c r="G106" s="389" t="str">
        <f t="shared" si="4"/>
        <v/>
      </c>
      <c r="H106" s="386" t="str">
        <f t="shared" si="5"/>
        <v/>
      </c>
    </row>
    <row r="107" ht="15.75" customHeight="1">
      <c r="A107" s="391"/>
      <c r="B107" s="386">
        <f t="array" ref="B107">IFERROR(INDEX(SC_OLD!A:A,MATCH($A107,SC_OLD!C:C,0)),"")</f>
        <v>0</v>
      </c>
      <c r="C107" s="387">
        <f>IF($A107="",0,IFERROR(SUMIFS(SC_OLD!D:D,SC_OLD!C:C,$A107,SC_OLD!J:J,"Entregue"),0))</f>
        <v>0</v>
      </c>
      <c r="D107" s="388">
        <f t="shared" si="1"/>
        <v>0</v>
      </c>
      <c r="E107" s="388">
        <f t="shared" si="2"/>
        <v>0</v>
      </c>
      <c r="F107" s="387">
        <f t="shared" si="3"/>
        <v>0</v>
      </c>
      <c r="G107" s="389" t="str">
        <f t="shared" si="4"/>
        <v/>
      </c>
      <c r="H107" s="386" t="str">
        <f t="shared" si="5"/>
        <v/>
      </c>
    </row>
    <row r="108" ht="15.75" customHeight="1">
      <c r="A108" s="391"/>
      <c r="B108" s="386">
        <f t="array" ref="B108">IFERROR(INDEX(SC_OLD!A:A,MATCH($A108,SC_OLD!C:C,0)),"")</f>
        <v>0</v>
      </c>
      <c r="C108" s="387">
        <f>IF($A108="",0,IFERROR(SUMIFS(SC_OLD!D:D,SC_OLD!C:C,$A108,SC_OLD!J:J,"Entregue"),0))</f>
        <v>0</v>
      </c>
      <c r="D108" s="388">
        <f t="shared" si="1"/>
        <v>0</v>
      </c>
      <c r="E108" s="388">
        <f t="shared" si="2"/>
        <v>0</v>
      </c>
      <c r="F108" s="387">
        <f t="shared" si="3"/>
        <v>0</v>
      </c>
      <c r="G108" s="389" t="str">
        <f t="shared" si="4"/>
        <v/>
      </c>
      <c r="H108" s="386" t="str">
        <f t="shared" si="5"/>
        <v/>
      </c>
    </row>
    <row r="109" ht="15.75" customHeight="1">
      <c r="A109" s="391"/>
      <c r="B109" s="386">
        <f t="array" ref="B109">IFERROR(INDEX(SC_OLD!A:A,MATCH($A109,SC_OLD!C:C,0)),"")</f>
        <v>0</v>
      </c>
      <c r="C109" s="387">
        <f>IF($A109="",0,IFERROR(SUMIFS(SC_OLD!D:D,SC_OLD!C:C,$A109,SC_OLD!J:J,"Entregue"),0))</f>
        <v>0</v>
      </c>
      <c r="D109" s="388">
        <f t="shared" si="1"/>
        <v>0</v>
      </c>
      <c r="E109" s="388">
        <f t="shared" si="2"/>
        <v>0</v>
      </c>
      <c r="F109" s="387">
        <f t="shared" si="3"/>
        <v>0</v>
      </c>
      <c r="G109" s="389" t="str">
        <f t="shared" si="4"/>
        <v/>
      </c>
      <c r="H109" s="386" t="str">
        <f t="shared" si="5"/>
        <v/>
      </c>
    </row>
    <row r="110" ht="15.75" customHeight="1">
      <c r="A110" s="391"/>
      <c r="B110" s="386">
        <f t="array" ref="B110">IFERROR(INDEX(SC_OLD!A:A,MATCH($A110,SC_OLD!C:C,0)),"")</f>
        <v>0</v>
      </c>
      <c r="C110" s="387">
        <f>IF($A110="",0,IFERROR(SUMIFS(SC_OLD!D:D,SC_OLD!C:C,$A110,SC_OLD!J:J,"Entregue"),0))</f>
        <v>0</v>
      </c>
      <c r="D110" s="388">
        <f t="shared" si="1"/>
        <v>0</v>
      </c>
      <c r="E110" s="388">
        <f t="shared" si="2"/>
        <v>0</v>
      </c>
      <c r="F110" s="387">
        <f t="shared" si="3"/>
        <v>0</v>
      </c>
      <c r="G110" s="389" t="str">
        <f t="shared" si="4"/>
        <v/>
      </c>
      <c r="H110" s="386" t="str">
        <f t="shared" si="5"/>
        <v/>
      </c>
    </row>
    <row r="111" ht="15.75" customHeight="1">
      <c r="A111" s="391"/>
      <c r="B111" s="386">
        <f t="array" ref="B111">IFERROR(INDEX(SC_OLD!A:A,MATCH($A111,SC_OLD!C:C,0)),"")</f>
        <v>0</v>
      </c>
      <c r="C111" s="387">
        <f>IF($A111="",0,IFERROR(SUMIFS(SC_OLD!D:D,SC_OLD!C:C,$A111,SC_OLD!J:J,"Entregue"),0))</f>
        <v>0</v>
      </c>
      <c r="D111" s="388">
        <f t="shared" si="1"/>
        <v>0</v>
      </c>
      <c r="E111" s="388">
        <f t="shared" si="2"/>
        <v>0</v>
      </c>
      <c r="F111" s="387">
        <f t="shared" si="3"/>
        <v>0</v>
      </c>
      <c r="G111" s="389" t="str">
        <f t="shared" si="4"/>
        <v/>
      </c>
      <c r="H111" s="386" t="str">
        <f t="shared" si="5"/>
        <v/>
      </c>
    </row>
    <row r="112" ht="15.75" customHeight="1">
      <c r="A112" s="391"/>
      <c r="B112" s="386">
        <f t="array" ref="B112">IFERROR(INDEX(SC_OLD!A:A,MATCH($A112,SC_OLD!C:C,0)),"")</f>
        <v>0</v>
      </c>
      <c r="C112" s="387">
        <f>IF($A112="",0,IFERROR(SUMIFS(SC_OLD!D:D,SC_OLD!C:C,$A112,SC_OLD!J:J,"Entregue"),0))</f>
        <v>0</v>
      </c>
      <c r="D112" s="388">
        <f t="shared" si="1"/>
        <v>0</v>
      </c>
      <c r="E112" s="388">
        <f t="shared" si="2"/>
        <v>0</v>
      </c>
      <c r="F112" s="387">
        <f t="shared" si="3"/>
        <v>0</v>
      </c>
      <c r="G112" s="389" t="str">
        <f t="shared" si="4"/>
        <v/>
      </c>
      <c r="H112" s="386" t="str">
        <f t="shared" si="5"/>
        <v/>
      </c>
    </row>
    <row r="113" ht="15.75" customHeight="1">
      <c r="A113" s="391"/>
      <c r="B113" s="386">
        <f t="array" ref="B113">IFERROR(INDEX(SC_OLD!A:A,MATCH($A113,SC_OLD!C:C,0)),"")</f>
        <v>0</v>
      </c>
      <c r="C113" s="387">
        <f>IF($A113="",0,IFERROR(SUMIFS(SC_OLD!D:D,SC_OLD!C:C,$A113,SC_OLD!J:J,"Entregue"),0))</f>
        <v>0</v>
      </c>
      <c r="D113" s="388">
        <f t="shared" si="1"/>
        <v>0</v>
      </c>
      <c r="E113" s="388">
        <f t="shared" si="2"/>
        <v>0</v>
      </c>
      <c r="F113" s="387">
        <f t="shared" si="3"/>
        <v>0</v>
      </c>
      <c r="G113" s="389" t="str">
        <f t="shared" si="4"/>
        <v/>
      </c>
      <c r="H113" s="386" t="str">
        <f t="shared" si="5"/>
        <v/>
      </c>
    </row>
    <row r="114" ht="15.75" customHeight="1">
      <c r="A114" s="391"/>
      <c r="B114" s="386">
        <f t="array" ref="B114">IFERROR(INDEX(SC_OLD!A:A,MATCH($A114,SC_OLD!C:C,0)),"")</f>
        <v>0</v>
      </c>
      <c r="C114" s="387">
        <f>IF($A114="",0,IFERROR(SUMIFS(SC_OLD!D:D,SC_OLD!C:C,$A114,SC_OLD!J:J,"Entregue"),0))</f>
        <v>0</v>
      </c>
      <c r="D114" s="388">
        <f t="shared" si="1"/>
        <v>0</v>
      </c>
      <c r="E114" s="388">
        <f t="shared" si="2"/>
        <v>0</v>
      </c>
      <c r="F114" s="387">
        <f t="shared" si="3"/>
        <v>0</v>
      </c>
      <c r="G114" s="389" t="str">
        <f t="shared" si="4"/>
        <v/>
      </c>
      <c r="H114" s="386" t="str">
        <f t="shared" si="5"/>
        <v/>
      </c>
    </row>
    <row r="115" ht="15.75" customHeight="1">
      <c r="A115" s="391"/>
      <c r="B115" s="386">
        <f t="array" ref="B115">IFERROR(INDEX(SC_OLD!A:A,MATCH($A115,SC_OLD!C:C,0)),"")</f>
        <v>0</v>
      </c>
      <c r="C115" s="387">
        <f>IF($A115="",0,IFERROR(SUMIFS(SC_OLD!D:D,SC_OLD!C:C,$A115,SC_OLD!J:J,"Entregue"),0))</f>
        <v>0</v>
      </c>
      <c r="D115" s="388">
        <f t="shared" si="1"/>
        <v>0</v>
      </c>
      <c r="E115" s="388">
        <f t="shared" si="2"/>
        <v>0</v>
      </c>
      <c r="F115" s="387">
        <f t="shared" si="3"/>
        <v>0</v>
      </c>
      <c r="G115" s="389" t="str">
        <f t="shared" si="4"/>
        <v/>
      </c>
      <c r="H115" s="386" t="str">
        <f t="shared" si="5"/>
        <v/>
      </c>
    </row>
    <row r="116" ht="15.75" customHeight="1">
      <c r="A116" s="391"/>
      <c r="B116" s="386">
        <f t="array" ref="B116">IFERROR(INDEX(SC_OLD!A:A,MATCH($A116,SC_OLD!C:C,0)),"")</f>
        <v>0</v>
      </c>
      <c r="C116" s="387">
        <f>IF($A116="",0,IFERROR(SUMIFS(SC_OLD!D:D,SC_OLD!C:C,$A116,SC_OLD!J:J,"Entregue"),0))</f>
        <v>0</v>
      </c>
      <c r="D116" s="388">
        <f t="shared" si="1"/>
        <v>0</v>
      </c>
      <c r="E116" s="388">
        <f t="shared" si="2"/>
        <v>0</v>
      </c>
      <c r="F116" s="387">
        <f t="shared" si="3"/>
        <v>0</v>
      </c>
      <c r="G116" s="389" t="str">
        <f t="shared" si="4"/>
        <v/>
      </c>
      <c r="H116" s="386" t="str">
        <f t="shared" si="5"/>
        <v/>
      </c>
    </row>
    <row r="117" ht="15.75" customHeight="1">
      <c r="A117" s="391"/>
      <c r="B117" s="386">
        <f t="array" ref="B117">IFERROR(INDEX(SC_OLD!A:A,MATCH($A117,SC_OLD!C:C,0)),"")</f>
        <v>0</v>
      </c>
      <c r="C117" s="387">
        <f>IF($A117="",0,IFERROR(SUMIFS(SC_OLD!D:D,SC_OLD!C:C,$A117,SC_OLD!J:J,"Entregue"),0))</f>
        <v>0</v>
      </c>
      <c r="D117" s="388">
        <f t="shared" si="1"/>
        <v>0</v>
      </c>
      <c r="E117" s="388">
        <f t="shared" si="2"/>
        <v>0</v>
      </c>
      <c r="F117" s="387">
        <f t="shared" si="3"/>
        <v>0</v>
      </c>
      <c r="G117" s="389" t="str">
        <f t="shared" si="4"/>
        <v/>
      </c>
      <c r="H117" s="386" t="str">
        <f t="shared" si="5"/>
        <v/>
      </c>
    </row>
    <row r="118" ht="15.75" customHeight="1">
      <c r="A118" s="391"/>
      <c r="B118" s="386">
        <f t="array" ref="B118">IFERROR(INDEX(SC_OLD!A:A,MATCH($A118,SC_OLD!C:C,0)),"")</f>
        <v>0</v>
      </c>
      <c r="C118" s="387">
        <f>IF($A118="",0,IFERROR(SUMIFS(SC_OLD!D:D,SC_OLD!C:C,$A118,SC_OLD!J:J,"Entregue"),0))</f>
        <v>0</v>
      </c>
      <c r="D118" s="388">
        <f t="shared" si="1"/>
        <v>0</v>
      </c>
      <c r="E118" s="388">
        <f t="shared" si="2"/>
        <v>0</v>
      </c>
      <c r="F118" s="387">
        <f t="shared" si="3"/>
        <v>0</v>
      </c>
      <c r="G118" s="389" t="str">
        <f t="shared" si="4"/>
        <v/>
      </c>
      <c r="H118" s="386" t="str">
        <f t="shared" si="5"/>
        <v/>
      </c>
    </row>
    <row r="119" ht="15.75" customHeight="1">
      <c r="A119" s="391"/>
      <c r="B119" s="386">
        <f t="array" ref="B119">IFERROR(INDEX(SC_OLD!A:A,MATCH($A119,SC_OLD!C:C,0)),"")</f>
        <v>0</v>
      </c>
      <c r="C119" s="387">
        <f>IF($A119="",0,IFERROR(SUMIFS(SC_OLD!D:D,SC_OLD!C:C,$A119,SC_OLD!J:J,"Entregue"),0))</f>
        <v>0</v>
      </c>
      <c r="D119" s="388">
        <f t="shared" si="1"/>
        <v>0</v>
      </c>
      <c r="E119" s="388">
        <f t="shared" si="2"/>
        <v>0</v>
      </c>
      <c r="F119" s="387">
        <f t="shared" si="3"/>
        <v>0</v>
      </c>
      <c r="G119" s="389" t="str">
        <f t="shared" si="4"/>
        <v/>
      </c>
      <c r="H119" s="386" t="str">
        <f t="shared" si="5"/>
        <v/>
      </c>
    </row>
    <row r="120" ht="15.75" customHeight="1">
      <c r="A120" s="391"/>
      <c r="B120" s="386">
        <f t="array" ref="B120">IFERROR(INDEX(SC_OLD!A:A,MATCH($A120,SC_OLD!C:C,0)),"")</f>
        <v>0</v>
      </c>
      <c r="C120" s="387">
        <f>IF($A120="",0,IFERROR(SUMIFS(SC_OLD!D:D,SC_OLD!C:C,$A120,SC_OLD!J:J,"Entregue"),0))</f>
        <v>0</v>
      </c>
      <c r="D120" s="388">
        <f t="shared" si="1"/>
        <v>0</v>
      </c>
      <c r="E120" s="388">
        <f t="shared" si="2"/>
        <v>0</v>
      </c>
      <c r="F120" s="387">
        <f t="shared" si="3"/>
        <v>0</v>
      </c>
      <c r="G120" s="389" t="str">
        <f t="shared" si="4"/>
        <v/>
      </c>
      <c r="H120" s="386" t="str">
        <f t="shared" si="5"/>
        <v/>
      </c>
    </row>
    <row r="121" ht="15.75" customHeight="1">
      <c r="A121" s="391"/>
      <c r="B121" s="386">
        <f t="array" ref="B121">IFERROR(INDEX(SC_OLD!A:A,MATCH($A121,SC_OLD!C:C,0)),"")</f>
        <v>0</v>
      </c>
      <c r="C121" s="387">
        <f>IF($A121="",0,IFERROR(SUMIFS(SC_OLD!D:D,SC_OLD!C:C,$A121,SC_OLD!J:J,"Entregue"),0))</f>
        <v>0</v>
      </c>
      <c r="D121" s="388">
        <f t="shared" si="1"/>
        <v>0</v>
      </c>
      <c r="E121" s="388">
        <f t="shared" si="2"/>
        <v>0</v>
      </c>
      <c r="F121" s="387">
        <f t="shared" si="3"/>
        <v>0</v>
      </c>
      <c r="G121" s="389" t="str">
        <f t="shared" si="4"/>
        <v/>
      </c>
      <c r="H121" s="386" t="str">
        <f t="shared" si="5"/>
        <v/>
      </c>
    </row>
    <row r="122" ht="15.75" customHeight="1">
      <c r="A122" s="391"/>
      <c r="B122" s="386">
        <f t="array" ref="B122">IFERROR(INDEX(SC_OLD!A:A,MATCH($A122,SC_OLD!C:C,0)),"")</f>
        <v>0</v>
      </c>
      <c r="C122" s="387">
        <f>IF($A122="",0,IFERROR(SUMIFS(SC_OLD!D:D,SC_OLD!C:C,$A122,SC_OLD!J:J,"Entregue"),0))</f>
        <v>0</v>
      </c>
      <c r="D122" s="388">
        <f t="shared" si="1"/>
        <v>0</v>
      </c>
      <c r="E122" s="388">
        <f t="shared" si="2"/>
        <v>0</v>
      </c>
      <c r="F122" s="387">
        <f t="shared" si="3"/>
        <v>0</v>
      </c>
      <c r="G122" s="389" t="str">
        <f t="shared" si="4"/>
        <v/>
      </c>
      <c r="H122" s="386" t="str">
        <f t="shared" si="5"/>
        <v/>
      </c>
    </row>
    <row r="123" ht="15.75" customHeight="1">
      <c r="A123" s="391"/>
      <c r="B123" s="386">
        <f t="array" ref="B123">IFERROR(INDEX(SC_OLD!A:A,MATCH($A123,SC_OLD!C:C,0)),"")</f>
        <v>0</v>
      </c>
      <c r="C123" s="387">
        <f>IF($A123="",0,IFERROR(SUMIFS(SC_OLD!D:D,SC_OLD!C:C,$A123,SC_OLD!J:J,"Entregue"),0))</f>
        <v>0</v>
      </c>
      <c r="D123" s="388">
        <f t="shared" si="1"/>
        <v>0</v>
      </c>
      <c r="E123" s="388">
        <f t="shared" si="2"/>
        <v>0</v>
      </c>
      <c r="F123" s="387">
        <f t="shared" si="3"/>
        <v>0</v>
      </c>
      <c r="G123" s="389" t="str">
        <f t="shared" si="4"/>
        <v/>
      </c>
      <c r="H123" s="386" t="str">
        <f t="shared" si="5"/>
        <v/>
      </c>
    </row>
    <row r="124" ht="15.75" customHeight="1">
      <c r="A124" s="391"/>
      <c r="B124" s="386">
        <f t="array" ref="B124">IFERROR(INDEX(SC_OLD!A:A,MATCH($A124,SC_OLD!C:C,0)),"")</f>
        <v>0</v>
      </c>
      <c r="C124" s="387">
        <f>IF($A124="",0,IFERROR(SUMIFS(SC_OLD!D:D,SC_OLD!C:C,$A124,SC_OLD!J:J,"Entregue"),0))</f>
        <v>0</v>
      </c>
      <c r="D124" s="388">
        <f t="shared" si="1"/>
        <v>0</v>
      </c>
      <c r="E124" s="388">
        <f t="shared" si="2"/>
        <v>0</v>
      </c>
      <c r="F124" s="387">
        <f t="shared" si="3"/>
        <v>0</v>
      </c>
      <c r="G124" s="389" t="str">
        <f t="shared" si="4"/>
        <v/>
      </c>
      <c r="H124" s="386" t="str">
        <f t="shared" si="5"/>
        <v/>
      </c>
    </row>
    <row r="125" ht="15.75" customHeight="1">
      <c r="A125" s="391"/>
      <c r="B125" s="386">
        <f t="array" ref="B125">IFERROR(INDEX(SC_OLD!A:A,MATCH($A125,SC_OLD!C:C,0)),"")</f>
        <v>0</v>
      </c>
      <c r="C125" s="387">
        <f>IF($A125="",0,IFERROR(SUMIFS(SC_OLD!D:D,SC_OLD!C:C,$A125,SC_OLD!J:J,"Entregue"),0))</f>
        <v>0</v>
      </c>
      <c r="D125" s="388">
        <f t="shared" si="1"/>
        <v>0</v>
      </c>
      <c r="E125" s="388">
        <f t="shared" si="2"/>
        <v>0</v>
      </c>
      <c r="F125" s="387">
        <f t="shared" si="3"/>
        <v>0</v>
      </c>
      <c r="G125" s="389" t="str">
        <f t="shared" si="4"/>
        <v/>
      </c>
      <c r="H125" s="386" t="str">
        <f t="shared" si="5"/>
        <v/>
      </c>
    </row>
    <row r="126" ht="15.75" customHeight="1">
      <c r="A126" s="391"/>
      <c r="B126" s="386">
        <f t="array" ref="B126">IFERROR(INDEX(SC_OLD!A:A,MATCH($A126,SC_OLD!C:C,0)),"")</f>
        <v>0</v>
      </c>
      <c r="C126" s="387">
        <f>IF($A126="",0,IFERROR(SUMIFS(SC_OLD!D:D,SC_OLD!C:C,$A126,SC_OLD!J:J,"Entregue"),0))</f>
        <v>0</v>
      </c>
      <c r="D126" s="388">
        <f t="shared" si="1"/>
        <v>0</v>
      </c>
      <c r="E126" s="388">
        <f t="shared" si="2"/>
        <v>0</v>
      </c>
      <c r="F126" s="387">
        <f t="shared" si="3"/>
        <v>0</v>
      </c>
      <c r="G126" s="389" t="str">
        <f t="shared" si="4"/>
        <v/>
      </c>
      <c r="H126" s="386" t="str">
        <f t="shared" si="5"/>
        <v/>
      </c>
    </row>
    <row r="127" ht="15.75" customHeight="1">
      <c r="A127" s="391"/>
      <c r="B127" s="386">
        <f t="array" ref="B127">IFERROR(INDEX(SC_OLD!A:A,MATCH($A127,SC_OLD!C:C,0)),"")</f>
        <v>0</v>
      </c>
      <c r="C127" s="387">
        <f>IF($A127="",0,IFERROR(SUMIFS(SC_OLD!D:D,SC_OLD!C:C,$A127,SC_OLD!J:J,"Entregue"),0))</f>
        <v>0</v>
      </c>
      <c r="D127" s="388">
        <f t="shared" si="1"/>
        <v>0</v>
      </c>
      <c r="E127" s="388">
        <f t="shared" si="2"/>
        <v>0</v>
      </c>
      <c r="F127" s="387">
        <f t="shared" si="3"/>
        <v>0</v>
      </c>
      <c r="G127" s="389" t="str">
        <f t="shared" si="4"/>
        <v/>
      </c>
      <c r="H127" s="386" t="str">
        <f t="shared" si="5"/>
        <v/>
      </c>
    </row>
    <row r="128" ht="15.75" customHeight="1">
      <c r="A128" s="391"/>
      <c r="B128" s="386">
        <f t="array" ref="B128">IFERROR(INDEX(SC_OLD!A:A,MATCH($A128,SC_OLD!C:C,0)),"")</f>
        <v>0</v>
      </c>
      <c r="C128" s="387">
        <f>IF($A128="",0,IFERROR(SUMIFS(SC_OLD!D:D,SC_OLD!C:C,$A128,SC_OLD!J:J,"Entregue"),0))</f>
        <v>0</v>
      </c>
      <c r="D128" s="388">
        <f t="shared" si="1"/>
        <v>0</v>
      </c>
      <c r="E128" s="388">
        <f t="shared" si="2"/>
        <v>0</v>
      </c>
      <c r="F128" s="387">
        <f t="shared" si="3"/>
        <v>0</v>
      </c>
      <c r="G128" s="389" t="str">
        <f t="shared" si="4"/>
        <v/>
      </c>
      <c r="H128" s="386" t="str">
        <f t="shared" si="5"/>
        <v/>
      </c>
    </row>
    <row r="129" ht="15.75" customHeight="1">
      <c r="A129" s="391"/>
      <c r="B129" s="386">
        <f t="array" ref="B129">IFERROR(INDEX(SC_OLD!A:A,MATCH($A129,SC_OLD!C:C,0)),"")</f>
        <v>0</v>
      </c>
      <c r="C129" s="387">
        <f>IF($A129="",0,IFERROR(SUMIFS(SC_OLD!D:D,SC_OLD!C:C,$A129,SC_OLD!J:J,"Entregue"),0))</f>
        <v>0</v>
      </c>
      <c r="D129" s="388">
        <f t="shared" si="1"/>
        <v>0</v>
      </c>
      <c r="E129" s="388">
        <f t="shared" si="2"/>
        <v>0</v>
      </c>
      <c r="F129" s="387">
        <f t="shared" si="3"/>
        <v>0</v>
      </c>
      <c r="G129" s="389" t="str">
        <f t="shared" si="4"/>
        <v/>
      </c>
      <c r="H129" s="386" t="str">
        <f t="shared" si="5"/>
        <v/>
      </c>
    </row>
    <row r="130" ht="15.75" customHeight="1">
      <c r="A130" s="391"/>
      <c r="B130" s="386">
        <f t="array" ref="B130">IFERROR(INDEX(SC_OLD!A:A,MATCH($A130,SC_OLD!C:C,0)),"")</f>
        <v>0</v>
      </c>
      <c r="C130" s="387">
        <f>IF($A130="",0,IFERROR(SUMIFS(SC_OLD!D:D,SC_OLD!C:C,$A130,SC_OLD!J:J,"Entregue"),0))</f>
        <v>0</v>
      </c>
      <c r="D130" s="388">
        <f t="shared" si="1"/>
        <v>0</v>
      </c>
      <c r="E130" s="388">
        <f t="shared" si="2"/>
        <v>0</v>
      </c>
      <c r="F130" s="387">
        <f t="shared" si="3"/>
        <v>0</v>
      </c>
      <c r="G130" s="389" t="str">
        <f t="shared" si="4"/>
        <v/>
      </c>
      <c r="H130" s="386" t="str">
        <f t="shared" si="5"/>
        <v/>
      </c>
    </row>
    <row r="131" ht="15.75" customHeight="1">
      <c r="A131" s="391"/>
      <c r="B131" s="386">
        <f t="array" ref="B131">IFERROR(INDEX(SC_OLD!A:A,MATCH($A131,SC_OLD!C:C,0)),"")</f>
        <v>0</v>
      </c>
      <c r="C131" s="387">
        <f>IF($A131="",0,IFERROR(SUMIFS(SC_OLD!D:D,SC_OLD!C:C,$A131,SC_OLD!J:J,"Entregue"),0))</f>
        <v>0</v>
      </c>
      <c r="D131" s="388">
        <f t="shared" si="1"/>
        <v>0</v>
      </c>
      <c r="E131" s="388">
        <f t="shared" si="2"/>
        <v>0</v>
      </c>
      <c r="F131" s="387">
        <f t="shared" si="3"/>
        <v>0</v>
      </c>
      <c r="G131" s="389" t="str">
        <f t="shared" si="4"/>
        <v/>
      </c>
      <c r="H131" s="386" t="str">
        <f t="shared" si="5"/>
        <v/>
      </c>
    </row>
    <row r="132" ht="15.75" customHeight="1">
      <c r="A132" s="391"/>
      <c r="B132" s="386">
        <f t="array" ref="B132">IFERROR(INDEX(SC_OLD!A:A,MATCH($A132,SC_OLD!C:C,0)),"")</f>
        <v>0</v>
      </c>
      <c r="C132" s="387">
        <f>IF($A132="",0,IFERROR(SUMIFS(SC_OLD!D:D,SC_OLD!C:C,$A132,SC_OLD!J:J,"Entregue"),0))</f>
        <v>0</v>
      </c>
      <c r="D132" s="388">
        <f t="shared" si="1"/>
        <v>0</v>
      </c>
      <c r="E132" s="388">
        <f t="shared" si="2"/>
        <v>0</v>
      </c>
      <c r="F132" s="387">
        <f t="shared" si="3"/>
        <v>0</v>
      </c>
      <c r="G132" s="389" t="str">
        <f t="shared" si="4"/>
        <v/>
      </c>
      <c r="H132" s="386" t="str">
        <f t="shared" si="5"/>
        <v/>
      </c>
    </row>
    <row r="133" ht="15.75" customHeight="1">
      <c r="A133" s="391"/>
      <c r="B133" s="386">
        <f t="array" ref="B133">IFERROR(INDEX(SC_OLD!A:A,MATCH($A133,SC_OLD!C:C,0)),"")</f>
        <v>0</v>
      </c>
      <c r="C133" s="387">
        <f>IF($A133="",0,IFERROR(SUMIFS(SC_OLD!D:D,SC_OLD!C:C,$A133,SC_OLD!J:J,"Entregue"),0))</f>
        <v>0</v>
      </c>
      <c r="D133" s="388">
        <f t="shared" si="1"/>
        <v>0</v>
      </c>
      <c r="E133" s="388">
        <f t="shared" si="2"/>
        <v>0</v>
      </c>
      <c r="F133" s="387">
        <f t="shared" si="3"/>
        <v>0</v>
      </c>
      <c r="G133" s="389" t="str">
        <f t="shared" si="4"/>
        <v/>
      </c>
      <c r="H133" s="386" t="str">
        <f t="shared" si="5"/>
        <v/>
      </c>
    </row>
    <row r="134" ht="15.75" customHeight="1">
      <c r="A134" s="391"/>
      <c r="B134" s="386">
        <f t="array" ref="B134">IFERROR(INDEX(SC_OLD!A:A,MATCH($A134,SC_OLD!C:C,0)),"")</f>
        <v>0</v>
      </c>
      <c r="C134" s="387">
        <f>IF($A134="",0,IFERROR(SUMIFS(SC_OLD!D:D,SC_OLD!C:C,$A134,SC_OLD!J:J,"Entregue"),0))</f>
        <v>0</v>
      </c>
      <c r="D134" s="388">
        <f t="shared" si="1"/>
        <v>0</v>
      </c>
      <c r="E134" s="388">
        <f t="shared" si="2"/>
        <v>0</v>
      </c>
      <c r="F134" s="387">
        <f t="shared" si="3"/>
        <v>0</v>
      </c>
      <c r="G134" s="389" t="str">
        <f t="shared" si="4"/>
        <v/>
      </c>
      <c r="H134" s="386" t="str">
        <f t="shared" si="5"/>
        <v/>
      </c>
    </row>
    <row r="135" ht="15.75" customHeight="1">
      <c r="A135" s="391"/>
      <c r="B135" s="386">
        <f t="array" ref="B135">IFERROR(INDEX(SC_OLD!A:A,MATCH($A135,SC_OLD!C:C,0)),"")</f>
        <v>0</v>
      </c>
      <c r="C135" s="387">
        <f>IF($A135="",0,IFERROR(SUMIFS(SC_OLD!D:D,SC_OLD!C:C,$A135,SC_OLD!J:J,"Entregue"),0))</f>
        <v>0</v>
      </c>
      <c r="D135" s="388">
        <f t="shared" si="1"/>
        <v>0</v>
      </c>
      <c r="E135" s="388">
        <f t="shared" si="2"/>
        <v>0</v>
      </c>
      <c r="F135" s="387">
        <f t="shared" si="3"/>
        <v>0</v>
      </c>
      <c r="G135" s="389" t="str">
        <f t="shared" si="4"/>
        <v/>
      </c>
      <c r="H135" s="386" t="str">
        <f t="shared" si="5"/>
        <v/>
      </c>
    </row>
    <row r="136" ht="15.75" customHeight="1">
      <c r="A136" s="391"/>
      <c r="B136" s="386">
        <f t="array" ref="B136">IFERROR(INDEX(SC_OLD!A:A,MATCH($A136,SC_OLD!C:C,0)),"")</f>
        <v>0</v>
      </c>
      <c r="C136" s="387">
        <f>IF($A136="",0,IFERROR(SUMIFS(SC_OLD!D:D,SC_OLD!C:C,$A136,SC_OLD!J:J,"Entregue"),0))</f>
        <v>0</v>
      </c>
      <c r="D136" s="388">
        <f t="shared" si="1"/>
        <v>0</v>
      </c>
      <c r="E136" s="388">
        <f t="shared" si="2"/>
        <v>0</v>
      </c>
      <c r="F136" s="387">
        <f t="shared" si="3"/>
        <v>0</v>
      </c>
      <c r="G136" s="389" t="str">
        <f t="shared" si="4"/>
        <v/>
      </c>
      <c r="H136" s="386" t="str">
        <f t="shared" si="5"/>
        <v/>
      </c>
    </row>
    <row r="137" ht="15.75" customHeight="1">
      <c r="A137" s="391"/>
      <c r="B137" s="386">
        <f t="array" ref="B137">IFERROR(INDEX(SC_OLD!A:A,MATCH($A137,SC_OLD!C:C,0)),"")</f>
        <v>0</v>
      </c>
      <c r="C137" s="387">
        <f>IF($A137="",0,IFERROR(SUMIFS(SC_OLD!D:D,SC_OLD!C:C,$A137,SC_OLD!J:J,"Entregue"),0))</f>
        <v>0</v>
      </c>
      <c r="D137" s="388">
        <f t="shared" si="1"/>
        <v>0</v>
      </c>
      <c r="E137" s="388">
        <f t="shared" si="2"/>
        <v>0</v>
      </c>
      <c r="F137" s="387">
        <f t="shared" si="3"/>
        <v>0</v>
      </c>
      <c r="G137" s="389" t="str">
        <f t="shared" si="4"/>
        <v/>
      </c>
      <c r="H137" s="386" t="str">
        <f t="shared" si="5"/>
        <v/>
      </c>
    </row>
    <row r="138" ht="15.75" customHeight="1">
      <c r="A138" s="391"/>
      <c r="B138" s="386">
        <f t="array" ref="B138">IFERROR(INDEX(SC_OLD!A:A,MATCH($A138,SC_OLD!C:C,0)),"")</f>
        <v>0</v>
      </c>
      <c r="C138" s="387">
        <f>IF($A138="",0,IFERROR(SUMIFS(SC_OLD!D:D,SC_OLD!C:C,$A138,SC_OLD!J:J,"Entregue"),0))</f>
        <v>0</v>
      </c>
      <c r="D138" s="388">
        <f t="shared" si="1"/>
        <v>0</v>
      </c>
      <c r="E138" s="388">
        <f t="shared" si="2"/>
        <v>0</v>
      </c>
      <c r="F138" s="387">
        <f t="shared" si="3"/>
        <v>0</v>
      </c>
      <c r="G138" s="389" t="str">
        <f t="shared" si="4"/>
        <v/>
      </c>
      <c r="H138" s="386" t="str">
        <f t="shared" si="5"/>
        <v/>
      </c>
    </row>
    <row r="139" ht="15.75" customHeight="1">
      <c r="A139" s="391"/>
      <c r="B139" s="386">
        <f t="array" ref="B139">IFERROR(INDEX(SC_OLD!A:A,MATCH($A139,SC_OLD!C:C,0)),"")</f>
        <v>0</v>
      </c>
      <c r="C139" s="387">
        <f>IF($A139="",0,IFERROR(SUMIFS(SC_OLD!D:D,SC_OLD!C:C,$A139,SC_OLD!J:J,"Entregue"),0))</f>
        <v>0</v>
      </c>
      <c r="D139" s="388">
        <f t="shared" si="1"/>
        <v>0</v>
      </c>
      <c r="E139" s="388">
        <f t="shared" si="2"/>
        <v>0</v>
      </c>
      <c r="F139" s="387">
        <f t="shared" si="3"/>
        <v>0</v>
      </c>
      <c r="G139" s="389" t="str">
        <f t="shared" si="4"/>
        <v/>
      </c>
      <c r="H139" s="386" t="str">
        <f t="shared" si="5"/>
        <v/>
      </c>
    </row>
    <row r="140" ht="15.75" customHeight="1">
      <c r="A140" s="391"/>
      <c r="B140" s="386">
        <f t="array" ref="B140">IFERROR(INDEX(SC_OLD!A:A,MATCH($A140,SC_OLD!C:C,0)),"")</f>
        <v>0</v>
      </c>
      <c r="C140" s="387">
        <f>IF($A140="",0,IFERROR(SUMIFS(SC_OLD!D:D,SC_OLD!C:C,$A140,SC_OLD!J:J,"Entregue"),0))</f>
        <v>0</v>
      </c>
      <c r="D140" s="388">
        <f t="shared" si="1"/>
        <v>0</v>
      </c>
      <c r="E140" s="388">
        <f t="shared" si="2"/>
        <v>0</v>
      </c>
      <c r="F140" s="387">
        <f t="shared" si="3"/>
        <v>0</v>
      </c>
      <c r="G140" s="389" t="str">
        <f t="shared" si="4"/>
        <v/>
      </c>
      <c r="H140" s="386" t="str">
        <f t="shared" si="5"/>
        <v/>
      </c>
    </row>
    <row r="141" ht="15.75" customHeight="1">
      <c r="A141" s="391"/>
      <c r="B141" s="386">
        <f t="array" ref="B141">IFERROR(INDEX(SC_OLD!A:A,MATCH($A141,SC_OLD!C:C,0)),"")</f>
        <v>0</v>
      </c>
      <c r="C141" s="387">
        <f>IF($A141="",0,IFERROR(SUMIFS(SC_OLD!D:D,SC_OLD!C:C,$A141,SC_OLD!J:J,"Entregue"),0))</f>
        <v>0</v>
      </c>
      <c r="D141" s="388">
        <f t="shared" si="1"/>
        <v>0</v>
      </c>
      <c r="E141" s="388">
        <f t="shared" si="2"/>
        <v>0</v>
      </c>
      <c r="F141" s="387">
        <f t="shared" si="3"/>
        <v>0</v>
      </c>
      <c r="G141" s="389" t="str">
        <f t="shared" si="4"/>
        <v/>
      </c>
      <c r="H141" s="386" t="str">
        <f t="shared" si="5"/>
        <v/>
      </c>
    </row>
    <row r="142" ht="15.75" customHeight="1">
      <c r="A142" s="391"/>
      <c r="B142" s="386">
        <f t="array" ref="B142">IFERROR(INDEX(SC_OLD!A:A,MATCH($A142,SC_OLD!C:C,0)),"")</f>
        <v>0</v>
      </c>
      <c r="C142" s="387">
        <f>IF($A142="",0,IFERROR(SUMIFS(SC_OLD!D:D,SC_OLD!C:C,$A142,SC_OLD!J:J,"Entregue"),0))</f>
        <v>0</v>
      </c>
      <c r="D142" s="388">
        <f t="shared" si="1"/>
        <v>0</v>
      </c>
      <c r="E142" s="388">
        <f t="shared" si="2"/>
        <v>0</v>
      </c>
      <c r="F142" s="387">
        <f t="shared" si="3"/>
        <v>0</v>
      </c>
      <c r="G142" s="389" t="str">
        <f t="shared" si="4"/>
        <v/>
      </c>
      <c r="H142" s="386" t="str">
        <f t="shared" si="5"/>
        <v/>
      </c>
    </row>
    <row r="143" ht="15.75" customHeight="1">
      <c r="A143" s="391"/>
      <c r="B143" s="386">
        <f t="array" ref="B143">IFERROR(INDEX(SC_OLD!A:A,MATCH($A143,SC_OLD!C:C,0)),"")</f>
        <v>0</v>
      </c>
      <c r="C143" s="387">
        <f>IF($A143="",0,IFERROR(SUMIFS(SC_OLD!D:D,SC_OLD!C:C,$A143,SC_OLD!J:J,"Entregue"),0))</f>
        <v>0</v>
      </c>
      <c r="D143" s="388">
        <f t="shared" si="1"/>
        <v>0</v>
      </c>
      <c r="E143" s="388">
        <f t="shared" si="2"/>
        <v>0</v>
      </c>
      <c r="F143" s="387">
        <f t="shared" si="3"/>
        <v>0</v>
      </c>
      <c r="G143" s="389" t="str">
        <f t="shared" si="4"/>
        <v/>
      </c>
      <c r="H143" s="386" t="str">
        <f t="shared" si="5"/>
        <v/>
      </c>
    </row>
    <row r="144" ht="15.75" customHeight="1">
      <c r="A144" s="391"/>
      <c r="B144" s="386">
        <f t="array" ref="B144">IFERROR(INDEX(SC_OLD!A:A,MATCH($A144,SC_OLD!C:C,0)),"")</f>
        <v>0</v>
      </c>
      <c r="C144" s="387">
        <f>IF($A144="",0,IFERROR(SUMIFS(SC_OLD!D:D,SC_OLD!C:C,$A144,SC_OLD!J:J,"Entregue"),0))</f>
        <v>0</v>
      </c>
      <c r="D144" s="388">
        <f t="shared" si="1"/>
        <v>0</v>
      </c>
      <c r="E144" s="388">
        <f t="shared" si="2"/>
        <v>0</v>
      </c>
      <c r="F144" s="387">
        <f t="shared" si="3"/>
        <v>0</v>
      </c>
      <c r="G144" s="389" t="str">
        <f t="shared" si="4"/>
        <v/>
      </c>
      <c r="H144" s="386" t="str">
        <f t="shared" si="5"/>
        <v/>
      </c>
    </row>
    <row r="145" ht="15.75" customHeight="1">
      <c r="A145" s="391"/>
      <c r="B145" s="386">
        <f t="array" ref="B145">IFERROR(INDEX(SC_OLD!A:A,MATCH($A145,SC_OLD!C:C,0)),"")</f>
        <v>0</v>
      </c>
      <c r="C145" s="387">
        <f>IF($A145="",0,IFERROR(SUMIFS(SC_OLD!D:D,SC_OLD!C:C,$A145,SC_OLD!J:J,"Entregue"),0))</f>
        <v>0</v>
      </c>
      <c r="D145" s="388">
        <f t="shared" si="1"/>
        <v>0</v>
      </c>
      <c r="E145" s="388">
        <f t="shared" si="2"/>
        <v>0</v>
      </c>
      <c r="F145" s="387">
        <f t="shared" si="3"/>
        <v>0</v>
      </c>
      <c r="G145" s="389" t="str">
        <f t="shared" si="4"/>
        <v/>
      </c>
      <c r="H145" s="386" t="str">
        <f t="shared" si="5"/>
        <v/>
      </c>
    </row>
    <row r="146" ht="15.75" customHeight="1">
      <c r="A146" s="391"/>
      <c r="B146" s="386">
        <f t="array" ref="B146">IFERROR(INDEX(SC_OLD!A:A,MATCH($A146,SC_OLD!C:C,0)),"")</f>
        <v>0</v>
      </c>
      <c r="C146" s="387">
        <f>IF($A146="",0,IFERROR(SUMIFS(SC_OLD!D:D,SC_OLD!C:C,$A146,SC_OLD!J:J,"Entregue"),0))</f>
        <v>0</v>
      </c>
      <c r="D146" s="388">
        <f t="shared" si="1"/>
        <v>0</v>
      </c>
      <c r="E146" s="388">
        <f t="shared" si="2"/>
        <v>0</v>
      </c>
      <c r="F146" s="387">
        <f t="shared" si="3"/>
        <v>0</v>
      </c>
      <c r="G146" s="389" t="str">
        <f t="shared" si="4"/>
        <v/>
      </c>
      <c r="H146" s="386" t="str">
        <f t="shared" si="5"/>
        <v/>
      </c>
    </row>
    <row r="147" ht="15.75" customHeight="1">
      <c r="A147" s="391"/>
      <c r="B147" s="386">
        <f t="array" ref="B147">IFERROR(INDEX(SC_OLD!A:A,MATCH($A147,SC_OLD!C:C,0)),"")</f>
        <v>0</v>
      </c>
      <c r="C147" s="387">
        <f>IF($A147="",0,IFERROR(SUMIFS(SC_OLD!D:D,SC_OLD!C:C,$A147,SC_OLD!J:J,"Entregue"),0))</f>
        <v>0</v>
      </c>
      <c r="D147" s="388">
        <f t="shared" si="1"/>
        <v>0</v>
      </c>
      <c r="E147" s="388">
        <f t="shared" si="2"/>
        <v>0</v>
      </c>
      <c r="F147" s="387">
        <f t="shared" si="3"/>
        <v>0</v>
      </c>
      <c r="G147" s="389" t="str">
        <f t="shared" si="4"/>
        <v/>
      </c>
      <c r="H147" s="386" t="str">
        <f t="shared" si="5"/>
        <v/>
      </c>
    </row>
    <row r="148" ht="15.75" customHeight="1">
      <c r="A148" s="391"/>
      <c r="B148" s="386">
        <f t="array" ref="B148">IFERROR(INDEX(SC_OLD!A:A,MATCH($A148,SC_OLD!C:C,0)),"")</f>
        <v>0</v>
      </c>
      <c r="C148" s="387">
        <f>IF($A148="",0,IFERROR(SUMIFS(SC_OLD!D:D,SC_OLD!C:C,$A148,SC_OLD!J:J,"Entregue"),0))</f>
        <v>0</v>
      </c>
      <c r="D148" s="388">
        <f t="shared" si="1"/>
        <v>0</v>
      </c>
      <c r="E148" s="388">
        <f t="shared" si="2"/>
        <v>0</v>
      </c>
      <c r="F148" s="387">
        <f t="shared" si="3"/>
        <v>0</v>
      </c>
      <c r="G148" s="389" t="str">
        <f t="shared" si="4"/>
        <v/>
      </c>
      <c r="H148" s="386" t="str">
        <f t="shared" si="5"/>
        <v/>
      </c>
    </row>
    <row r="149" ht="15.75" customHeight="1">
      <c r="A149" s="391"/>
      <c r="B149" s="386">
        <f t="array" ref="B149">IFERROR(INDEX(SC_OLD!A:A,MATCH($A149,SC_OLD!C:C,0)),"")</f>
        <v>0</v>
      </c>
      <c r="C149" s="387">
        <f>IF($A149="",0,IFERROR(SUMIFS(SC_OLD!D:D,SC_OLD!C:C,$A149,SC_OLD!J:J,"Entregue"),0))</f>
        <v>0</v>
      </c>
      <c r="D149" s="388">
        <f t="shared" si="1"/>
        <v>0</v>
      </c>
      <c r="E149" s="388">
        <f t="shared" si="2"/>
        <v>0</v>
      </c>
      <c r="F149" s="387">
        <f t="shared" si="3"/>
        <v>0</v>
      </c>
      <c r="G149" s="389" t="str">
        <f t="shared" si="4"/>
        <v/>
      </c>
      <c r="H149" s="386" t="str">
        <f t="shared" si="5"/>
        <v/>
      </c>
    </row>
    <row r="150" ht="15.75" customHeight="1">
      <c r="A150" s="391"/>
      <c r="B150" s="386">
        <f t="array" ref="B150">IFERROR(INDEX(SC_OLD!A:A,MATCH($A150,SC_OLD!C:C,0)),"")</f>
        <v>0</v>
      </c>
      <c r="C150" s="387">
        <f>IF($A150="",0,IFERROR(SUMIFS(SC_OLD!D:D,SC_OLD!C:C,$A150,SC_OLD!J:J,"Entregue"),0))</f>
        <v>0</v>
      </c>
      <c r="D150" s="388">
        <f t="shared" si="1"/>
        <v>0</v>
      </c>
      <c r="E150" s="388">
        <f t="shared" si="2"/>
        <v>0</v>
      </c>
      <c r="F150" s="387">
        <f t="shared" si="3"/>
        <v>0</v>
      </c>
      <c r="G150" s="389" t="str">
        <f t="shared" si="4"/>
        <v/>
      </c>
      <c r="H150" s="386" t="str">
        <f t="shared" si="5"/>
        <v/>
      </c>
    </row>
    <row r="151" ht="15.75" customHeight="1">
      <c r="A151" s="391"/>
      <c r="B151" s="386">
        <f t="array" ref="B151">IFERROR(INDEX(SC_OLD!A:A,MATCH($A151,SC_OLD!C:C,0)),"")</f>
        <v>0</v>
      </c>
      <c r="C151" s="387">
        <f>IF($A151="",0,IFERROR(SUMIFS(SC_OLD!D:D,SC_OLD!C:C,$A151,SC_OLD!J:J,"Entregue"),0))</f>
        <v>0</v>
      </c>
      <c r="D151" s="388">
        <f t="shared" si="1"/>
        <v>0</v>
      </c>
      <c r="E151" s="388">
        <f t="shared" si="2"/>
        <v>0</v>
      </c>
      <c r="F151" s="387">
        <f t="shared" si="3"/>
        <v>0</v>
      </c>
      <c r="G151" s="389" t="str">
        <f t="shared" si="4"/>
        <v/>
      </c>
      <c r="H151" s="386" t="str">
        <f t="shared" si="5"/>
        <v/>
      </c>
    </row>
    <row r="152" ht="15.75" customHeight="1">
      <c r="A152" s="391"/>
      <c r="B152" s="386">
        <f t="array" ref="B152">IFERROR(INDEX(SC_OLD!A:A,MATCH($A152,SC_OLD!C:C,0)),"")</f>
        <v>0</v>
      </c>
      <c r="C152" s="387">
        <f>IF($A152="",0,IFERROR(SUMIFS(SC_OLD!D:D,SC_OLD!C:C,$A152,SC_OLD!J:J,"Entregue"),0))</f>
        <v>0</v>
      </c>
      <c r="D152" s="388">
        <f t="shared" si="1"/>
        <v>0</v>
      </c>
      <c r="E152" s="388">
        <f t="shared" si="2"/>
        <v>0</v>
      </c>
      <c r="F152" s="387">
        <f t="shared" si="3"/>
        <v>0</v>
      </c>
      <c r="G152" s="389" t="str">
        <f t="shared" si="4"/>
        <v/>
      </c>
      <c r="H152" s="386" t="str">
        <f t="shared" si="5"/>
        <v/>
      </c>
    </row>
    <row r="153" ht="15.75" customHeight="1">
      <c r="A153" s="391"/>
      <c r="B153" s="386">
        <f t="array" ref="B153">IFERROR(INDEX(SC_OLD!A:A,MATCH($A153,SC_OLD!C:C,0)),"")</f>
        <v>0</v>
      </c>
      <c r="C153" s="387">
        <f>IF($A153="",0,IFERROR(SUMIFS(SC_OLD!D:D,SC_OLD!C:C,$A153,SC_OLD!J:J,"Entregue"),0))</f>
        <v>0</v>
      </c>
      <c r="D153" s="388">
        <f t="shared" si="1"/>
        <v>0</v>
      </c>
      <c r="E153" s="388">
        <f t="shared" si="2"/>
        <v>0</v>
      </c>
      <c r="F153" s="387">
        <f t="shared" si="3"/>
        <v>0</v>
      </c>
      <c r="G153" s="389" t="str">
        <f t="shared" si="4"/>
        <v/>
      </c>
      <c r="H153" s="386" t="str">
        <f t="shared" si="5"/>
        <v/>
      </c>
    </row>
    <row r="154" ht="15.75" customHeight="1">
      <c r="A154" s="391"/>
      <c r="B154" s="386">
        <f t="array" ref="B154">IFERROR(INDEX(SC_OLD!A:A,MATCH($A154,SC_OLD!C:C,0)),"")</f>
        <v>0</v>
      </c>
      <c r="C154" s="387">
        <f>IF($A154="",0,IFERROR(SUMIFS(SC_OLD!D:D,SC_OLD!C:C,$A154,SC_OLD!J:J,"Entregue"),0))</f>
        <v>0</v>
      </c>
      <c r="D154" s="388">
        <f t="shared" si="1"/>
        <v>0</v>
      </c>
      <c r="E154" s="388">
        <f t="shared" si="2"/>
        <v>0</v>
      </c>
      <c r="F154" s="387">
        <f t="shared" si="3"/>
        <v>0</v>
      </c>
      <c r="G154" s="389" t="str">
        <f t="shared" si="4"/>
        <v/>
      </c>
      <c r="H154" s="386" t="str">
        <f t="shared" si="5"/>
        <v/>
      </c>
    </row>
    <row r="155" ht="15.75" customHeight="1">
      <c r="A155" s="391"/>
      <c r="B155" s="386">
        <f t="array" ref="B155">IFERROR(INDEX(SC_OLD!A:A,MATCH($A155,SC_OLD!C:C,0)),"")</f>
        <v>0</v>
      </c>
      <c r="C155" s="387">
        <f>IF($A155="",0,IFERROR(SUMIFS(SC_OLD!D:D,SC_OLD!C:C,$A155,SC_OLD!J:J,"Entregue"),0))</f>
        <v>0</v>
      </c>
      <c r="D155" s="388">
        <f t="shared" si="1"/>
        <v>0</v>
      </c>
      <c r="E155" s="388">
        <f t="shared" si="2"/>
        <v>0</v>
      </c>
      <c r="F155" s="387">
        <f t="shared" si="3"/>
        <v>0</v>
      </c>
      <c r="G155" s="389" t="str">
        <f t="shared" si="4"/>
        <v/>
      </c>
      <c r="H155" s="386" t="str">
        <f t="shared" si="5"/>
        <v/>
      </c>
    </row>
    <row r="156" ht="15.75" customHeight="1">
      <c r="A156" s="391"/>
      <c r="B156" s="386">
        <f t="array" ref="B156">IFERROR(INDEX(SC_OLD!A:A,MATCH($A156,SC_OLD!C:C,0)),"")</f>
        <v>0</v>
      </c>
      <c r="C156" s="387">
        <f>IF($A156="",0,IFERROR(SUMIFS(SC_OLD!D:D,SC_OLD!C:C,$A156,SC_OLD!J:J,"Entregue"),0))</f>
        <v>0</v>
      </c>
      <c r="D156" s="388">
        <f t="shared" si="1"/>
        <v>0</v>
      </c>
      <c r="E156" s="388">
        <f t="shared" si="2"/>
        <v>0</v>
      </c>
      <c r="F156" s="387">
        <f t="shared" si="3"/>
        <v>0</v>
      </c>
      <c r="G156" s="389" t="str">
        <f t="shared" si="4"/>
        <v/>
      </c>
      <c r="H156" s="386" t="str">
        <f t="shared" si="5"/>
        <v/>
      </c>
    </row>
    <row r="157" ht="15.75" customHeight="1">
      <c r="A157" s="391"/>
      <c r="B157" s="386">
        <f t="array" ref="B157">IFERROR(INDEX(SC_OLD!A:A,MATCH($A157,SC_OLD!C:C,0)),"")</f>
        <v>0</v>
      </c>
      <c r="C157" s="387">
        <f>IF($A157="",0,IFERROR(SUMIFS(SC_OLD!D:D,SC_OLD!C:C,$A157,SC_OLD!J:J,"Entregue"),0))</f>
        <v>0</v>
      </c>
      <c r="D157" s="388">
        <f t="shared" si="1"/>
        <v>0</v>
      </c>
      <c r="E157" s="388">
        <f t="shared" si="2"/>
        <v>0</v>
      </c>
      <c r="F157" s="387">
        <f t="shared" si="3"/>
        <v>0</v>
      </c>
      <c r="G157" s="389" t="str">
        <f t="shared" si="4"/>
        <v/>
      </c>
      <c r="H157" s="386" t="str">
        <f t="shared" si="5"/>
        <v/>
      </c>
    </row>
    <row r="158" ht="15.75" customHeight="1">
      <c r="A158" s="391"/>
      <c r="B158" s="386">
        <f t="array" ref="B158">IFERROR(INDEX(SC_OLD!A:A,MATCH($A158,SC_OLD!C:C,0)),"")</f>
        <v>0</v>
      </c>
      <c r="C158" s="387">
        <f>IF($A158="",0,IFERROR(SUMIFS(SC_OLD!D:D,SC_OLD!C:C,$A158,SC_OLD!J:J,"Entregue"),0))</f>
        <v>0</v>
      </c>
      <c r="D158" s="388">
        <f t="shared" si="1"/>
        <v>0</v>
      </c>
      <c r="E158" s="388">
        <f t="shared" si="2"/>
        <v>0</v>
      </c>
      <c r="F158" s="387">
        <f t="shared" si="3"/>
        <v>0</v>
      </c>
      <c r="G158" s="389" t="str">
        <f t="shared" si="4"/>
        <v/>
      </c>
      <c r="H158" s="386" t="str">
        <f t="shared" si="5"/>
        <v/>
      </c>
    </row>
    <row r="159" ht="15.75" customHeight="1">
      <c r="A159" s="391"/>
      <c r="B159" s="386">
        <f t="array" ref="B159">IFERROR(INDEX(SC_OLD!A:A,MATCH($A159,SC_OLD!C:C,0)),"")</f>
        <v>0</v>
      </c>
      <c r="C159" s="387">
        <f>IF($A159="",0,IFERROR(SUMIFS(SC_OLD!D:D,SC_OLD!C:C,$A159,SC_OLD!J:J,"Entregue"),0))</f>
        <v>0</v>
      </c>
      <c r="D159" s="388">
        <f t="shared" si="1"/>
        <v>0</v>
      </c>
      <c r="E159" s="388">
        <f t="shared" si="2"/>
        <v>0</v>
      </c>
      <c r="F159" s="387">
        <f t="shared" si="3"/>
        <v>0</v>
      </c>
      <c r="G159" s="389" t="str">
        <f t="shared" si="4"/>
        <v/>
      </c>
      <c r="H159" s="386" t="str">
        <f t="shared" si="5"/>
        <v/>
      </c>
    </row>
    <row r="160" ht="15.75" customHeight="1">
      <c r="A160" s="391"/>
      <c r="B160" s="386">
        <f t="array" ref="B160">IFERROR(INDEX(SC_OLD!A:A,MATCH($A160,SC_OLD!C:C,0)),"")</f>
        <v>0</v>
      </c>
      <c r="C160" s="387">
        <f>IF($A160="",0,IFERROR(SUMIFS(SC_OLD!D:D,SC_OLD!C:C,$A160,SC_OLD!J:J,"Entregue"),0))</f>
        <v>0</v>
      </c>
      <c r="D160" s="388">
        <f t="shared" si="1"/>
        <v>0</v>
      </c>
      <c r="E160" s="388">
        <f t="shared" si="2"/>
        <v>0</v>
      </c>
      <c r="F160" s="387">
        <f t="shared" si="3"/>
        <v>0</v>
      </c>
      <c r="G160" s="389" t="str">
        <f t="shared" si="4"/>
        <v/>
      </c>
      <c r="H160" s="386" t="str">
        <f t="shared" si="5"/>
        <v/>
      </c>
    </row>
    <row r="161" ht="15.75" customHeight="1">
      <c r="A161" s="391"/>
      <c r="B161" s="386">
        <f t="array" ref="B161">IFERROR(INDEX(SC_OLD!A:A,MATCH($A161,SC_OLD!C:C,0)),"")</f>
        <v>0</v>
      </c>
      <c r="C161" s="387">
        <f>IF($A161="",0,IFERROR(SUMIFS(SC_OLD!D:D,SC_OLD!C:C,$A161,SC_OLD!J:J,"Entregue"),0))</f>
        <v>0</v>
      </c>
      <c r="D161" s="388">
        <f t="shared" si="1"/>
        <v>0</v>
      </c>
      <c r="E161" s="388">
        <f t="shared" si="2"/>
        <v>0</v>
      </c>
      <c r="F161" s="387">
        <f t="shared" si="3"/>
        <v>0</v>
      </c>
      <c r="G161" s="389" t="str">
        <f t="shared" si="4"/>
        <v/>
      </c>
      <c r="H161" s="386" t="str">
        <f t="shared" si="5"/>
        <v/>
      </c>
    </row>
    <row r="162" ht="15.75" customHeight="1">
      <c r="A162" s="391"/>
      <c r="B162" s="386">
        <f t="array" ref="B162">IFERROR(INDEX(SC_OLD!A:A,MATCH($A162,SC_OLD!C:C,0)),"")</f>
        <v>0</v>
      </c>
      <c r="C162" s="387">
        <f>IF($A162="",0,IFERROR(SUMIFS(SC_OLD!D:D,SC_OLD!C:C,$A162,SC_OLD!J:J,"Entregue"),0))</f>
        <v>0</v>
      </c>
      <c r="D162" s="388">
        <f t="shared" si="1"/>
        <v>0</v>
      </c>
      <c r="E162" s="388">
        <f t="shared" si="2"/>
        <v>0</v>
      </c>
      <c r="F162" s="387">
        <f t="shared" si="3"/>
        <v>0</v>
      </c>
      <c r="G162" s="389" t="str">
        <f t="shared" si="4"/>
        <v/>
      </c>
      <c r="H162" s="386" t="str">
        <f t="shared" si="5"/>
        <v/>
      </c>
    </row>
    <row r="163" ht="15.75" customHeight="1">
      <c r="A163" s="391"/>
      <c r="B163" s="386">
        <f t="array" ref="B163">IFERROR(INDEX(SC_OLD!A:A,MATCH($A163,SC_OLD!C:C,0)),"")</f>
        <v>0</v>
      </c>
      <c r="C163" s="387">
        <f>IF($A163="",0,IFERROR(SUMIFS(SC_OLD!D:D,SC_OLD!C:C,$A163,SC_OLD!J:J,"Entregue"),0))</f>
        <v>0</v>
      </c>
      <c r="D163" s="388">
        <f t="shared" si="1"/>
        <v>0</v>
      </c>
      <c r="E163" s="388">
        <f t="shared" si="2"/>
        <v>0</v>
      </c>
      <c r="F163" s="387">
        <f t="shared" si="3"/>
        <v>0</v>
      </c>
      <c r="G163" s="389" t="str">
        <f t="shared" si="4"/>
        <v/>
      </c>
      <c r="H163" s="386" t="str">
        <f t="shared" si="5"/>
        <v/>
      </c>
    </row>
    <row r="164" ht="15.75" customHeight="1">
      <c r="A164" s="391"/>
      <c r="B164" s="386">
        <f t="array" ref="B164">IFERROR(INDEX(SC_OLD!A:A,MATCH($A164,SC_OLD!C:C,0)),"")</f>
        <v>0</v>
      </c>
      <c r="C164" s="387">
        <f>IF($A164="",0,IFERROR(SUMIFS(SC_OLD!D:D,SC_OLD!C:C,$A164,SC_OLD!J:J,"Entregue"),0))</f>
        <v>0</v>
      </c>
      <c r="D164" s="388">
        <f t="shared" si="1"/>
        <v>0</v>
      </c>
      <c r="E164" s="388">
        <f t="shared" si="2"/>
        <v>0</v>
      </c>
      <c r="F164" s="387">
        <f t="shared" si="3"/>
        <v>0</v>
      </c>
      <c r="G164" s="389" t="str">
        <f t="shared" si="4"/>
        <v/>
      </c>
      <c r="H164" s="386" t="str">
        <f t="shared" si="5"/>
        <v/>
      </c>
    </row>
    <row r="165" ht="15.75" customHeight="1">
      <c r="A165" s="391"/>
      <c r="B165" s="386">
        <f t="array" ref="B165">IFERROR(INDEX(SC_OLD!A:A,MATCH($A165,SC_OLD!C:C,0)),"")</f>
        <v>0</v>
      </c>
      <c r="C165" s="387">
        <f>IF($A165="",0,IFERROR(SUMIFS(SC_OLD!D:D,SC_OLD!C:C,$A165,SC_OLD!J:J,"Entregue"),0))</f>
        <v>0</v>
      </c>
      <c r="D165" s="388">
        <f t="shared" si="1"/>
        <v>0</v>
      </c>
      <c r="E165" s="388">
        <f t="shared" si="2"/>
        <v>0</v>
      </c>
      <c r="F165" s="387">
        <f t="shared" si="3"/>
        <v>0</v>
      </c>
      <c r="G165" s="389" t="str">
        <f t="shared" si="4"/>
        <v/>
      </c>
      <c r="H165" s="386" t="str">
        <f t="shared" si="5"/>
        <v/>
      </c>
    </row>
    <row r="166" ht="15.75" customHeight="1">
      <c r="A166" s="391"/>
      <c r="B166" s="386">
        <f t="array" ref="B166">IFERROR(INDEX(SC_OLD!A:A,MATCH($A166,SC_OLD!C:C,0)),"")</f>
        <v>0</v>
      </c>
      <c r="C166" s="387">
        <f>IF($A166="",0,IFERROR(SUMIFS(SC_OLD!D:D,SC_OLD!C:C,$A166,SC_OLD!J:J,"Entregue"),0))</f>
        <v>0</v>
      </c>
      <c r="D166" s="388">
        <f t="shared" si="1"/>
        <v>0</v>
      </c>
      <c r="E166" s="388">
        <f t="shared" si="2"/>
        <v>0</v>
      </c>
      <c r="F166" s="387">
        <f t="shared" si="3"/>
        <v>0</v>
      </c>
      <c r="G166" s="389" t="str">
        <f t="shared" si="4"/>
        <v/>
      </c>
      <c r="H166" s="386" t="str">
        <f t="shared" si="5"/>
        <v/>
      </c>
    </row>
    <row r="167" ht="15.75" customHeight="1">
      <c r="A167" s="391"/>
      <c r="B167" s="386">
        <f t="array" ref="B167">IFERROR(INDEX(SC_OLD!A:A,MATCH($A167,SC_OLD!C:C,0)),"")</f>
        <v>0</v>
      </c>
      <c r="C167" s="387">
        <f>IF($A167="",0,IFERROR(SUMIFS(SC_OLD!D:D,SC_OLD!C:C,$A167,SC_OLD!J:J,"Entregue"),0))</f>
        <v>0</v>
      </c>
      <c r="D167" s="388">
        <f t="shared" si="1"/>
        <v>0</v>
      </c>
      <c r="E167" s="388">
        <f t="shared" si="2"/>
        <v>0</v>
      </c>
      <c r="F167" s="387">
        <f t="shared" si="3"/>
        <v>0</v>
      </c>
      <c r="G167" s="389" t="str">
        <f t="shared" si="4"/>
        <v/>
      </c>
      <c r="H167" s="386" t="str">
        <f t="shared" si="5"/>
        <v/>
      </c>
    </row>
    <row r="168" ht="15.75" customHeight="1">
      <c r="A168" s="391"/>
      <c r="B168" s="386">
        <f t="array" ref="B168">IFERROR(INDEX(SC_OLD!A:A,MATCH($A168,SC_OLD!C:C,0)),"")</f>
        <v>0</v>
      </c>
      <c r="C168" s="387">
        <f>IF($A168="",0,IFERROR(SUMIFS(SC_OLD!D:D,SC_OLD!C:C,$A168,SC_OLD!J:J,"Entregue"),0))</f>
        <v>0</v>
      </c>
      <c r="D168" s="388">
        <f t="shared" si="1"/>
        <v>0</v>
      </c>
      <c r="E168" s="388">
        <f t="shared" si="2"/>
        <v>0</v>
      </c>
      <c r="F168" s="387">
        <f t="shared" si="3"/>
        <v>0</v>
      </c>
      <c r="G168" s="389" t="str">
        <f t="shared" si="4"/>
        <v/>
      </c>
      <c r="H168" s="386" t="str">
        <f t="shared" si="5"/>
        <v/>
      </c>
    </row>
    <row r="169" ht="15.75" customHeight="1">
      <c r="A169" s="391"/>
      <c r="B169" s="386">
        <f t="array" ref="B169">IFERROR(INDEX(SC_OLD!A:A,MATCH($A169,SC_OLD!C:C,0)),"")</f>
        <v>0</v>
      </c>
      <c r="C169" s="387">
        <f>IF($A169="",0,IFERROR(SUMIFS(SC_OLD!D:D,SC_OLD!C:C,$A169,SC_OLD!J:J,"Entregue"),0))</f>
        <v>0</v>
      </c>
      <c r="D169" s="388">
        <f t="shared" si="1"/>
        <v>0</v>
      </c>
      <c r="E169" s="388">
        <f t="shared" si="2"/>
        <v>0</v>
      </c>
      <c r="F169" s="387">
        <f t="shared" si="3"/>
        <v>0</v>
      </c>
      <c r="G169" s="389" t="str">
        <f t="shared" si="4"/>
        <v/>
      </c>
      <c r="H169" s="386" t="str">
        <f t="shared" si="5"/>
        <v/>
      </c>
    </row>
    <row r="170" ht="15.75" customHeight="1">
      <c r="A170" s="391"/>
      <c r="B170" s="386">
        <f t="array" ref="B170">IFERROR(INDEX(SC_OLD!A:A,MATCH($A170,SC_OLD!C:C,0)),"")</f>
        <v>0</v>
      </c>
      <c r="C170" s="387">
        <f>IF($A170="",0,IFERROR(SUMIFS(SC_OLD!D:D,SC_OLD!C:C,$A170,SC_OLD!J:J,"Entregue"),0))</f>
        <v>0</v>
      </c>
      <c r="D170" s="388">
        <f t="shared" si="1"/>
        <v>0</v>
      </c>
      <c r="E170" s="388">
        <f t="shared" si="2"/>
        <v>0</v>
      </c>
      <c r="F170" s="387">
        <f t="shared" si="3"/>
        <v>0</v>
      </c>
      <c r="G170" s="389" t="str">
        <f t="shared" si="4"/>
        <v/>
      </c>
      <c r="H170" s="386" t="str">
        <f t="shared" si="5"/>
        <v/>
      </c>
    </row>
    <row r="171" ht="15.75" customHeight="1">
      <c r="A171" s="391"/>
      <c r="B171" s="386">
        <f t="array" ref="B171">IFERROR(INDEX(SC_OLD!A:A,MATCH($A171,SC_OLD!C:C,0)),"")</f>
        <v>0</v>
      </c>
      <c r="C171" s="387">
        <f>IF($A171="",0,IFERROR(SUMIFS(SC_OLD!D:D,SC_OLD!C:C,$A171,SC_OLD!J:J,"Entregue"),0))</f>
        <v>0</v>
      </c>
      <c r="D171" s="388">
        <f t="shared" si="1"/>
        <v>0</v>
      </c>
      <c r="E171" s="388">
        <f t="shared" si="2"/>
        <v>0</v>
      </c>
      <c r="F171" s="387">
        <f t="shared" si="3"/>
        <v>0</v>
      </c>
      <c r="G171" s="389" t="str">
        <f t="shared" si="4"/>
        <v/>
      </c>
      <c r="H171" s="386" t="str">
        <f t="shared" si="5"/>
        <v/>
      </c>
    </row>
    <row r="172" ht="15.75" customHeight="1">
      <c r="A172" s="391"/>
      <c r="B172" s="386">
        <f t="array" ref="B172">IFERROR(INDEX(SC_OLD!A:A,MATCH($A172,SC_OLD!C:C,0)),"")</f>
        <v>0</v>
      </c>
      <c r="C172" s="387">
        <f>IF($A172="",0,IFERROR(SUMIFS(SC_OLD!D:D,SC_OLD!C:C,$A172,SC_OLD!J:J,"Entregue"),0))</f>
        <v>0</v>
      </c>
      <c r="D172" s="388">
        <f t="shared" si="1"/>
        <v>0</v>
      </c>
      <c r="E172" s="388">
        <f t="shared" si="2"/>
        <v>0</v>
      </c>
      <c r="F172" s="387">
        <f t="shared" si="3"/>
        <v>0</v>
      </c>
      <c r="G172" s="389" t="str">
        <f t="shared" si="4"/>
        <v/>
      </c>
      <c r="H172" s="386" t="str">
        <f t="shared" si="5"/>
        <v/>
      </c>
    </row>
    <row r="173" ht="15.75" customHeight="1">
      <c r="A173" s="391"/>
      <c r="B173" s="386">
        <f t="array" ref="B173">IFERROR(INDEX(SC_OLD!A:A,MATCH($A173,SC_OLD!C:C,0)),"")</f>
        <v>0</v>
      </c>
      <c r="C173" s="387">
        <f>IF($A173="",0,IFERROR(SUMIFS(SC_OLD!D:D,SC_OLD!C:C,$A173,SC_OLD!J:J,"Entregue"),0))</f>
        <v>0</v>
      </c>
      <c r="D173" s="388">
        <f t="shared" si="1"/>
        <v>0</v>
      </c>
      <c r="E173" s="388">
        <f t="shared" si="2"/>
        <v>0</v>
      </c>
      <c r="F173" s="387">
        <f t="shared" si="3"/>
        <v>0</v>
      </c>
      <c r="G173" s="389" t="str">
        <f t="shared" si="4"/>
        <v/>
      </c>
      <c r="H173" s="386" t="str">
        <f t="shared" si="5"/>
        <v/>
      </c>
    </row>
    <row r="174" ht="15.75" customHeight="1">
      <c r="A174" s="391"/>
      <c r="B174" s="386">
        <f t="array" ref="B174">IFERROR(INDEX(SC_OLD!A:A,MATCH($A174,SC_OLD!C:C,0)),"")</f>
        <v>0</v>
      </c>
      <c r="C174" s="387">
        <f>IF($A174="",0,IFERROR(SUMIFS(SC_OLD!D:D,SC_OLD!C:C,$A174,SC_OLD!J:J,"Entregue"),0))</f>
        <v>0</v>
      </c>
      <c r="D174" s="388">
        <f t="shared" si="1"/>
        <v>0</v>
      </c>
      <c r="E174" s="388">
        <f t="shared" si="2"/>
        <v>0</v>
      </c>
      <c r="F174" s="387">
        <f t="shared" si="3"/>
        <v>0</v>
      </c>
      <c r="G174" s="389" t="str">
        <f t="shared" si="4"/>
        <v/>
      </c>
      <c r="H174" s="386" t="str">
        <f t="shared" si="5"/>
        <v/>
      </c>
    </row>
    <row r="175" ht="15.75" customHeight="1">
      <c r="A175" s="391"/>
      <c r="B175" s="386">
        <f t="array" ref="B175">IFERROR(INDEX(SC_OLD!A:A,MATCH($A175,SC_OLD!C:C,0)),"")</f>
        <v>0</v>
      </c>
      <c r="C175" s="387">
        <f>IF($A175="",0,IFERROR(SUMIFS(SC_OLD!D:D,SC_OLD!C:C,$A175,SC_OLD!J:J,"Entregue"),0))</f>
        <v>0</v>
      </c>
      <c r="D175" s="388">
        <f t="shared" si="1"/>
        <v>0</v>
      </c>
      <c r="E175" s="388">
        <f t="shared" si="2"/>
        <v>0</v>
      </c>
      <c r="F175" s="387">
        <f t="shared" si="3"/>
        <v>0</v>
      </c>
      <c r="G175" s="389" t="str">
        <f t="shared" si="4"/>
        <v/>
      </c>
      <c r="H175" s="386" t="str">
        <f t="shared" si="5"/>
        <v/>
      </c>
    </row>
    <row r="176" ht="15.75" customHeight="1">
      <c r="A176" s="391"/>
      <c r="B176" s="386">
        <f t="array" ref="B176">IFERROR(INDEX(SC_OLD!A:A,MATCH($A176,SC_OLD!C:C,0)),"")</f>
        <v>0</v>
      </c>
      <c r="C176" s="387">
        <f>IF($A176="",0,IFERROR(SUMIFS(SC_OLD!D:D,SC_OLD!C:C,$A176,SC_OLD!J:J,"Entregue"),0))</f>
        <v>0</v>
      </c>
      <c r="D176" s="388">
        <f t="shared" si="1"/>
        <v>0</v>
      </c>
      <c r="E176" s="388">
        <f t="shared" si="2"/>
        <v>0</v>
      </c>
      <c r="F176" s="387">
        <f t="shared" si="3"/>
        <v>0</v>
      </c>
      <c r="G176" s="389" t="str">
        <f t="shared" si="4"/>
        <v/>
      </c>
      <c r="H176" s="386" t="str">
        <f t="shared" si="5"/>
        <v/>
      </c>
    </row>
    <row r="177" ht="15.75" customHeight="1">
      <c r="A177" s="391"/>
      <c r="B177" s="386">
        <f t="array" ref="B177">IFERROR(INDEX(SC_OLD!A:A,MATCH($A177,SC_OLD!C:C,0)),"")</f>
        <v>0</v>
      </c>
      <c r="C177" s="387">
        <f>IF($A177="",0,IFERROR(SUMIFS(SC_OLD!D:D,SC_OLD!C:C,$A177,SC_OLD!J:J,"Entregue"),0))</f>
        <v>0</v>
      </c>
      <c r="D177" s="388">
        <f t="shared" si="1"/>
        <v>0</v>
      </c>
      <c r="E177" s="388">
        <f t="shared" si="2"/>
        <v>0</v>
      </c>
      <c r="F177" s="387">
        <f t="shared" si="3"/>
        <v>0</v>
      </c>
      <c r="G177" s="389" t="str">
        <f t="shared" si="4"/>
        <v/>
      </c>
      <c r="H177" s="386" t="str">
        <f t="shared" si="5"/>
        <v/>
      </c>
    </row>
    <row r="178" ht="15.75" customHeight="1">
      <c r="A178" s="391"/>
      <c r="B178" s="386">
        <f t="array" ref="B178">IFERROR(INDEX(SC_OLD!A:A,MATCH($A178,SC_OLD!C:C,0)),"")</f>
        <v>0</v>
      </c>
      <c r="C178" s="387">
        <f>IF($A178="",0,IFERROR(SUMIFS(SC_OLD!D:D,SC_OLD!C:C,$A178,SC_OLD!J:J,"Entregue"),0))</f>
        <v>0</v>
      </c>
      <c r="D178" s="388">
        <f t="shared" si="1"/>
        <v>0</v>
      </c>
      <c r="E178" s="388">
        <f t="shared" si="2"/>
        <v>0</v>
      </c>
      <c r="F178" s="387">
        <f t="shared" si="3"/>
        <v>0</v>
      </c>
      <c r="G178" s="389" t="str">
        <f t="shared" si="4"/>
        <v/>
      </c>
      <c r="H178" s="386" t="str">
        <f t="shared" si="5"/>
        <v/>
      </c>
    </row>
    <row r="179" ht="15.75" customHeight="1">
      <c r="A179" s="391"/>
      <c r="B179" s="386">
        <f t="array" ref="B179">IFERROR(INDEX(SC_OLD!A:A,MATCH($A179,SC_OLD!C:C,0)),"")</f>
        <v>0</v>
      </c>
      <c r="C179" s="387">
        <f>IF($A179="",0,IFERROR(SUMIFS(SC_OLD!D:D,SC_OLD!C:C,$A179,SC_OLD!J:J,"Entregue"),0))</f>
        <v>0</v>
      </c>
      <c r="D179" s="388">
        <f t="shared" si="1"/>
        <v>0</v>
      </c>
      <c r="E179" s="388">
        <f t="shared" si="2"/>
        <v>0</v>
      </c>
      <c r="F179" s="387">
        <f t="shared" si="3"/>
        <v>0</v>
      </c>
      <c r="G179" s="389" t="str">
        <f t="shared" si="4"/>
        <v/>
      </c>
      <c r="H179" s="386" t="str">
        <f t="shared" si="5"/>
        <v/>
      </c>
    </row>
    <row r="180" ht="15.75" customHeight="1">
      <c r="A180" s="391"/>
      <c r="B180" s="386">
        <f t="array" ref="B180">IFERROR(INDEX(SC_OLD!A:A,MATCH($A180,SC_OLD!C:C,0)),"")</f>
        <v>0</v>
      </c>
      <c r="C180" s="387">
        <f>IF($A180="",0,IFERROR(SUMIFS(SC_OLD!D:D,SC_OLD!C:C,$A180,SC_OLD!J:J,"Entregue"),0))</f>
        <v>0</v>
      </c>
      <c r="D180" s="388">
        <f t="shared" si="1"/>
        <v>0</v>
      </c>
      <c r="E180" s="388">
        <f t="shared" si="2"/>
        <v>0</v>
      </c>
      <c r="F180" s="387">
        <f t="shared" si="3"/>
        <v>0</v>
      </c>
      <c r="G180" s="389" t="str">
        <f t="shared" si="4"/>
        <v/>
      </c>
      <c r="H180" s="386" t="str">
        <f t="shared" si="5"/>
        <v/>
      </c>
    </row>
    <row r="181" ht="15.75" customHeight="1">
      <c r="A181" s="391"/>
      <c r="B181" s="386">
        <f t="array" ref="B181">IFERROR(INDEX(SC_OLD!A:A,MATCH($A181,SC_OLD!C:C,0)),"")</f>
        <v>0</v>
      </c>
      <c r="C181" s="387">
        <f>IF($A181="",0,IFERROR(SUMIFS(SC_OLD!D:D,SC_OLD!C:C,$A181,SC_OLD!J:J,"Entregue"),0))</f>
        <v>0</v>
      </c>
      <c r="D181" s="388">
        <f t="shared" si="1"/>
        <v>0</v>
      </c>
      <c r="E181" s="388">
        <f t="shared" si="2"/>
        <v>0</v>
      </c>
      <c r="F181" s="387">
        <f t="shared" si="3"/>
        <v>0</v>
      </c>
      <c r="G181" s="389" t="str">
        <f t="shared" si="4"/>
        <v/>
      </c>
      <c r="H181" s="386" t="str">
        <f t="shared" si="5"/>
        <v/>
      </c>
    </row>
    <row r="182" ht="15.75" customHeight="1">
      <c r="A182" s="391"/>
      <c r="B182" s="386">
        <f t="array" ref="B182">IFERROR(INDEX(SC_OLD!A:A,MATCH($A182,SC_OLD!C:C,0)),"")</f>
        <v>0</v>
      </c>
      <c r="C182" s="387">
        <f>IF($A182="",0,IFERROR(SUMIFS(SC_OLD!D:D,SC_OLD!C:C,$A182,SC_OLD!J:J,"Entregue"),0))</f>
        <v>0</v>
      </c>
      <c r="D182" s="388">
        <f t="shared" si="1"/>
        <v>0</v>
      </c>
      <c r="E182" s="388">
        <f t="shared" si="2"/>
        <v>0</v>
      </c>
      <c r="F182" s="387">
        <f t="shared" si="3"/>
        <v>0</v>
      </c>
      <c r="G182" s="389" t="str">
        <f t="shared" si="4"/>
        <v/>
      </c>
      <c r="H182" s="386" t="str">
        <f t="shared" si="5"/>
        <v/>
      </c>
    </row>
    <row r="183" ht="15.75" customHeight="1">
      <c r="A183" s="391"/>
      <c r="B183" s="386">
        <f t="array" ref="B183">IFERROR(INDEX(SC_OLD!A:A,MATCH($A183,SC_OLD!C:C,0)),"")</f>
        <v>0</v>
      </c>
      <c r="C183" s="387">
        <f>IF($A183="",0,IFERROR(SUMIFS(SC_OLD!D:D,SC_OLD!C:C,$A183,SC_OLD!J:J,"Entregue"),0))</f>
        <v>0</v>
      </c>
      <c r="D183" s="388">
        <f t="shared" si="1"/>
        <v>0</v>
      </c>
      <c r="E183" s="388">
        <f t="shared" si="2"/>
        <v>0</v>
      </c>
      <c r="F183" s="387">
        <f t="shared" si="3"/>
        <v>0</v>
      </c>
      <c r="G183" s="389" t="str">
        <f t="shared" si="4"/>
        <v/>
      </c>
      <c r="H183" s="386" t="str">
        <f t="shared" si="5"/>
        <v/>
      </c>
    </row>
    <row r="184" ht="15.75" customHeight="1">
      <c r="A184" s="391"/>
      <c r="B184" s="386">
        <f t="array" ref="B184">IFERROR(INDEX(SC_OLD!A:A,MATCH($A184,SC_OLD!C:C,0)),"")</f>
        <v>0</v>
      </c>
      <c r="C184" s="387">
        <f>IF($A184="",0,IFERROR(SUMIFS(SC_OLD!D:D,SC_OLD!C:C,$A184,SC_OLD!J:J,"Entregue"),0))</f>
        <v>0</v>
      </c>
      <c r="D184" s="388">
        <f t="shared" si="1"/>
        <v>0</v>
      </c>
      <c r="E184" s="388">
        <f t="shared" si="2"/>
        <v>0</v>
      </c>
      <c r="F184" s="387">
        <f t="shared" si="3"/>
        <v>0</v>
      </c>
      <c r="G184" s="389" t="str">
        <f t="shared" si="4"/>
        <v/>
      </c>
      <c r="H184" s="386" t="str">
        <f t="shared" si="5"/>
        <v/>
      </c>
    </row>
    <row r="185" ht="15.75" customHeight="1">
      <c r="A185" s="391"/>
      <c r="B185" s="386">
        <f t="array" ref="B185">IFERROR(INDEX(SC_OLD!A:A,MATCH($A185,SC_OLD!C:C,0)),"")</f>
        <v>0</v>
      </c>
      <c r="C185" s="387">
        <f>IF($A185="",0,IFERROR(SUMIFS(SC_OLD!D:D,SC_OLD!C:C,$A185,SC_OLD!J:J,"Entregue"),0))</f>
        <v>0</v>
      </c>
      <c r="D185" s="388">
        <f t="shared" si="1"/>
        <v>0</v>
      </c>
      <c r="E185" s="388">
        <f t="shared" si="2"/>
        <v>0</v>
      </c>
      <c r="F185" s="387">
        <f t="shared" si="3"/>
        <v>0</v>
      </c>
      <c r="G185" s="389" t="str">
        <f t="shared" si="4"/>
        <v/>
      </c>
      <c r="H185" s="386" t="str">
        <f t="shared" si="5"/>
        <v/>
      </c>
    </row>
    <row r="186" ht="15.75" customHeight="1">
      <c r="A186" s="391"/>
      <c r="B186" s="386">
        <f t="array" ref="B186">IFERROR(INDEX(SC_OLD!A:A,MATCH($A186,SC_OLD!C:C,0)),"")</f>
        <v>0</v>
      </c>
      <c r="C186" s="387">
        <f>IF($A186="",0,IFERROR(SUMIFS(SC_OLD!D:D,SC_OLD!C:C,$A186,SC_OLD!J:J,"Entregue"),0))</f>
        <v>0</v>
      </c>
      <c r="D186" s="388">
        <f t="shared" si="1"/>
        <v>0</v>
      </c>
      <c r="E186" s="388">
        <f t="shared" si="2"/>
        <v>0</v>
      </c>
      <c r="F186" s="387">
        <f t="shared" si="3"/>
        <v>0</v>
      </c>
      <c r="G186" s="389" t="str">
        <f t="shared" si="4"/>
        <v/>
      </c>
      <c r="H186" s="386" t="str">
        <f t="shared" si="5"/>
        <v/>
      </c>
    </row>
    <row r="187" ht="15.75" customHeight="1">
      <c r="A187" s="391"/>
      <c r="B187" s="386">
        <f t="array" ref="B187">IFERROR(INDEX(SC_OLD!A:A,MATCH($A187,SC_OLD!C:C,0)),"")</f>
        <v>0</v>
      </c>
      <c r="C187" s="387">
        <f>IF($A187="",0,IFERROR(SUMIFS(SC_OLD!D:D,SC_OLD!C:C,$A187,SC_OLD!J:J,"Entregue"),0))</f>
        <v>0</v>
      </c>
      <c r="D187" s="388">
        <f t="shared" si="1"/>
        <v>0</v>
      </c>
      <c r="E187" s="388">
        <f t="shared" si="2"/>
        <v>0</v>
      </c>
      <c r="F187" s="387">
        <f t="shared" si="3"/>
        <v>0</v>
      </c>
      <c r="G187" s="389" t="str">
        <f t="shared" si="4"/>
        <v/>
      </c>
      <c r="H187" s="386" t="str">
        <f t="shared" si="5"/>
        <v/>
      </c>
    </row>
    <row r="188" ht="15.75" customHeight="1">
      <c r="A188" s="391"/>
      <c r="B188" s="386">
        <f t="array" ref="B188">IFERROR(INDEX(SC_OLD!A:A,MATCH($A188,SC_OLD!C:C,0)),"")</f>
        <v>0</v>
      </c>
      <c r="C188" s="387">
        <f>IF($A188="",0,IFERROR(SUMIFS(SC_OLD!D:D,SC_OLD!C:C,$A188,SC_OLD!J:J,"Entregue"),0))</f>
        <v>0</v>
      </c>
      <c r="D188" s="388">
        <f t="shared" si="1"/>
        <v>0</v>
      </c>
      <c r="E188" s="388">
        <f t="shared" si="2"/>
        <v>0</v>
      </c>
      <c r="F188" s="387">
        <f t="shared" si="3"/>
        <v>0</v>
      </c>
      <c r="G188" s="389" t="str">
        <f t="shared" si="4"/>
        <v/>
      </c>
      <c r="H188" s="386" t="str">
        <f t="shared" si="5"/>
        <v/>
      </c>
    </row>
    <row r="189" ht="15.75" customHeight="1">
      <c r="A189" s="391"/>
      <c r="B189" s="386">
        <f t="array" ref="B189">IFERROR(INDEX(SC_OLD!A:A,MATCH($A189,SC_OLD!C:C,0)),"")</f>
        <v>0</v>
      </c>
      <c r="C189" s="387">
        <f>IF($A189="",0,IFERROR(SUMIFS(SC_OLD!D:D,SC_OLD!C:C,$A189,SC_OLD!J:J,"Entregue"),0))</f>
        <v>0</v>
      </c>
      <c r="D189" s="388">
        <f t="shared" si="1"/>
        <v>0</v>
      </c>
      <c r="E189" s="388">
        <f t="shared" si="2"/>
        <v>0</v>
      </c>
      <c r="F189" s="387">
        <f t="shared" si="3"/>
        <v>0</v>
      </c>
      <c r="G189" s="389" t="str">
        <f t="shared" si="4"/>
        <v/>
      </c>
      <c r="H189" s="386" t="str">
        <f t="shared" si="5"/>
        <v/>
      </c>
    </row>
    <row r="190" ht="15.75" customHeight="1">
      <c r="A190" s="391"/>
      <c r="B190" s="386">
        <f t="array" ref="B190">IFERROR(INDEX(SC_OLD!A:A,MATCH($A190,SC_OLD!C:C,0)),"")</f>
        <v>0</v>
      </c>
      <c r="C190" s="387">
        <f>IF($A190="",0,IFERROR(SUMIFS(SC_OLD!D:D,SC_OLD!C:C,$A190,SC_OLD!J:J,"Entregue"),0))</f>
        <v>0</v>
      </c>
      <c r="D190" s="388">
        <f t="shared" si="1"/>
        <v>0</v>
      </c>
      <c r="E190" s="388">
        <f t="shared" si="2"/>
        <v>0</v>
      </c>
      <c r="F190" s="387">
        <f t="shared" si="3"/>
        <v>0</v>
      </c>
      <c r="G190" s="389" t="str">
        <f t="shared" si="4"/>
        <v/>
      </c>
      <c r="H190" s="386" t="str">
        <f t="shared" si="5"/>
        <v/>
      </c>
    </row>
    <row r="191" ht="15.75" customHeight="1">
      <c r="A191" s="391"/>
      <c r="B191" s="386">
        <f t="array" ref="B191">IFERROR(INDEX(SC_OLD!A:A,MATCH($A191,SC_OLD!C:C,0)),"")</f>
        <v>0</v>
      </c>
      <c r="C191" s="387">
        <f>IF($A191="",0,IFERROR(SUMIFS(SC_OLD!D:D,SC_OLD!C:C,$A191,SC_OLD!J:J,"Entregue"),0))</f>
        <v>0</v>
      </c>
      <c r="D191" s="388">
        <f t="shared" si="1"/>
        <v>0</v>
      </c>
      <c r="E191" s="388">
        <f t="shared" si="2"/>
        <v>0</v>
      </c>
      <c r="F191" s="387">
        <f t="shared" si="3"/>
        <v>0</v>
      </c>
      <c r="G191" s="389" t="str">
        <f t="shared" si="4"/>
        <v/>
      </c>
      <c r="H191" s="386" t="str">
        <f t="shared" si="5"/>
        <v/>
      </c>
    </row>
    <row r="192" ht="15.75" customHeight="1">
      <c r="A192" s="391"/>
      <c r="B192" s="386">
        <f t="array" ref="B192">IFERROR(INDEX(SC_OLD!A:A,MATCH($A192,SC_OLD!C:C,0)),"")</f>
        <v>0</v>
      </c>
      <c r="C192" s="387">
        <f>IF($A192="",0,IFERROR(SUMIFS(SC_OLD!D:D,SC_OLD!C:C,$A192,SC_OLD!J:J,"Entregue"),0))</f>
        <v>0</v>
      </c>
      <c r="D192" s="388">
        <f t="shared" si="1"/>
        <v>0</v>
      </c>
      <c r="E192" s="388">
        <f t="shared" si="2"/>
        <v>0</v>
      </c>
      <c r="F192" s="387">
        <f t="shared" si="3"/>
        <v>0</v>
      </c>
      <c r="G192" s="389" t="str">
        <f t="shared" si="4"/>
        <v/>
      </c>
      <c r="H192" s="386" t="str">
        <f t="shared" si="5"/>
        <v/>
      </c>
    </row>
    <row r="193" ht="15.75" customHeight="1">
      <c r="A193" s="391"/>
      <c r="B193" s="386">
        <f t="array" ref="B193">IFERROR(INDEX(SC_OLD!A:A,MATCH($A193,SC_OLD!C:C,0)),"")</f>
        <v>0</v>
      </c>
      <c r="C193" s="387">
        <f>IF($A193="",0,IFERROR(SUMIFS(SC_OLD!D:D,SC_OLD!C:C,$A193,SC_OLD!J:J,"Entregue"),0))</f>
        <v>0</v>
      </c>
      <c r="D193" s="388">
        <f t="shared" si="1"/>
        <v>0</v>
      </c>
      <c r="E193" s="388">
        <f t="shared" si="2"/>
        <v>0</v>
      </c>
      <c r="F193" s="387">
        <f t="shared" si="3"/>
        <v>0</v>
      </c>
      <c r="G193" s="389" t="str">
        <f t="shared" si="4"/>
        <v/>
      </c>
      <c r="H193" s="386" t="str">
        <f t="shared" si="5"/>
        <v/>
      </c>
    </row>
    <row r="194" ht="15.75" customHeight="1">
      <c r="A194" s="391"/>
      <c r="B194" s="386">
        <f t="array" ref="B194">IFERROR(INDEX(SC_OLD!A:A,MATCH($A194,SC_OLD!C:C,0)),"")</f>
        <v>0</v>
      </c>
      <c r="C194" s="387">
        <f>IF($A194="",0,IFERROR(SUMIFS(SC_OLD!D:D,SC_OLD!C:C,$A194,SC_OLD!J:J,"Entregue"),0))</f>
        <v>0</v>
      </c>
      <c r="D194" s="388">
        <f t="shared" si="1"/>
        <v>0</v>
      </c>
      <c r="E194" s="388">
        <f t="shared" si="2"/>
        <v>0</v>
      </c>
      <c r="F194" s="387">
        <f t="shared" si="3"/>
        <v>0</v>
      </c>
      <c r="G194" s="389" t="str">
        <f t="shared" si="4"/>
        <v/>
      </c>
      <c r="H194" s="386" t="str">
        <f t="shared" si="5"/>
        <v/>
      </c>
    </row>
    <row r="195" ht="15.75" customHeight="1">
      <c r="A195" s="391"/>
      <c r="B195" s="386">
        <f t="array" ref="B195">IFERROR(INDEX(SC_OLD!A:A,MATCH($A195,SC_OLD!C:C,0)),"")</f>
        <v>0</v>
      </c>
      <c r="C195" s="387">
        <f>IF($A195="",0,IFERROR(SUMIFS(SC_OLD!D:D,SC_OLD!C:C,$A195,SC_OLD!J:J,"Entregue"),0))</f>
        <v>0</v>
      </c>
      <c r="D195" s="388">
        <f t="shared" si="1"/>
        <v>0</v>
      </c>
      <c r="E195" s="388">
        <f t="shared" si="2"/>
        <v>0</v>
      </c>
      <c r="F195" s="387">
        <f t="shared" si="3"/>
        <v>0</v>
      </c>
      <c r="G195" s="389" t="str">
        <f t="shared" si="4"/>
        <v/>
      </c>
      <c r="H195" s="386" t="str">
        <f t="shared" si="5"/>
        <v/>
      </c>
    </row>
    <row r="196" ht="15.75" customHeight="1">
      <c r="A196" s="391"/>
      <c r="B196" s="386">
        <f t="array" ref="B196">IFERROR(INDEX(SC_OLD!A:A,MATCH($A196,SC_OLD!C:C,0)),"")</f>
        <v>0</v>
      </c>
      <c r="C196" s="387">
        <f>IF($A196="",0,IFERROR(SUMIFS(SC_OLD!D:D,SC_OLD!C:C,$A196,SC_OLD!J:J,"Entregue"),0))</f>
        <v>0</v>
      </c>
      <c r="D196" s="388">
        <f t="shared" si="1"/>
        <v>0</v>
      </c>
      <c r="E196" s="388">
        <f t="shared" si="2"/>
        <v>0</v>
      </c>
      <c r="F196" s="387">
        <f t="shared" si="3"/>
        <v>0</v>
      </c>
      <c r="G196" s="389" t="str">
        <f t="shared" si="4"/>
        <v/>
      </c>
      <c r="H196" s="386" t="str">
        <f t="shared" si="5"/>
        <v/>
      </c>
    </row>
    <row r="197" ht="15.75" customHeight="1">
      <c r="A197" s="391"/>
      <c r="B197" s="386">
        <f t="array" ref="B197">IFERROR(INDEX(SC_OLD!A:A,MATCH($A197,SC_OLD!C:C,0)),"")</f>
        <v>0</v>
      </c>
      <c r="C197" s="387">
        <f>IF($A197="",0,IFERROR(SUMIFS(SC_OLD!D:D,SC_OLD!C:C,$A197,SC_OLD!J:J,"Entregue"),0))</f>
        <v>0</v>
      </c>
      <c r="D197" s="388">
        <f t="shared" si="1"/>
        <v>0</v>
      </c>
      <c r="E197" s="388">
        <f t="shared" si="2"/>
        <v>0</v>
      </c>
      <c r="F197" s="387">
        <f t="shared" si="3"/>
        <v>0</v>
      </c>
      <c r="G197" s="389" t="str">
        <f t="shared" si="4"/>
        <v/>
      </c>
      <c r="H197" s="386" t="str">
        <f t="shared" si="5"/>
        <v/>
      </c>
    </row>
    <row r="198" ht="15.75" customHeight="1">
      <c r="A198" s="391"/>
      <c r="B198" s="386">
        <f t="array" ref="B198">IFERROR(INDEX(SC_OLD!A:A,MATCH($A198,SC_OLD!C:C,0)),"")</f>
        <v>0</v>
      </c>
      <c r="C198" s="387">
        <f>IF($A198="",0,IFERROR(SUMIFS(SC_OLD!D:D,SC_OLD!C:C,$A198,SC_OLD!J:J,"Entregue"),0))</f>
        <v>0</v>
      </c>
      <c r="D198" s="388">
        <f t="shared" si="1"/>
        <v>0</v>
      </c>
      <c r="E198" s="388">
        <f t="shared" si="2"/>
        <v>0</v>
      </c>
      <c r="F198" s="387">
        <f t="shared" si="3"/>
        <v>0</v>
      </c>
      <c r="G198" s="389" t="str">
        <f t="shared" si="4"/>
        <v/>
      </c>
      <c r="H198" s="386" t="str">
        <f t="shared" si="5"/>
        <v/>
      </c>
    </row>
    <row r="199" ht="15.75" customHeight="1">
      <c r="A199" s="391"/>
      <c r="B199" s="386">
        <f t="array" ref="B199">IFERROR(INDEX(SC_OLD!A:A,MATCH($A199,SC_OLD!C:C,0)),"")</f>
        <v>0</v>
      </c>
      <c r="C199" s="387">
        <f>IF($A199="",0,IFERROR(SUMIFS(SC_OLD!D:D,SC_OLD!C:C,$A199,SC_OLD!J:J,"Entregue"),0))</f>
        <v>0</v>
      </c>
      <c r="D199" s="388">
        <f t="shared" si="1"/>
        <v>0</v>
      </c>
      <c r="E199" s="388">
        <f t="shared" si="2"/>
        <v>0</v>
      </c>
      <c r="F199" s="387">
        <f t="shared" si="3"/>
        <v>0</v>
      </c>
      <c r="G199" s="389" t="str">
        <f t="shared" si="4"/>
        <v/>
      </c>
      <c r="H199" s="386" t="str">
        <f t="shared" si="5"/>
        <v/>
      </c>
    </row>
    <row r="200" ht="15.75" customHeight="1">
      <c r="A200" s="391"/>
      <c r="B200" s="386">
        <f t="array" ref="B200">IFERROR(INDEX(SC_OLD!A:A,MATCH($A200,SC_OLD!C:C,0)),"")</f>
        <v>0</v>
      </c>
      <c r="C200" s="387">
        <f>IF($A200="",0,IFERROR(SUMIFS(SC_OLD!D:D,SC_OLD!C:C,$A200,SC_OLD!J:J,"Entregue"),0))</f>
        <v>0</v>
      </c>
      <c r="D200" s="388">
        <f t="shared" si="1"/>
        <v>0</v>
      </c>
      <c r="E200" s="388">
        <f t="shared" si="2"/>
        <v>0</v>
      </c>
      <c r="F200" s="387">
        <f t="shared" si="3"/>
        <v>0</v>
      </c>
      <c r="G200" s="389" t="str">
        <f t="shared" si="4"/>
        <v/>
      </c>
      <c r="H200" s="386" t="str">
        <f t="shared" si="5"/>
        <v/>
      </c>
    </row>
    <row r="201" ht="15.75" customHeight="1">
      <c r="A201" s="391"/>
      <c r="B201" s="386">
        <f t="array" ref="B201">IFERROR(INDEX(SC_OLD!A:A,MATCH($A201,SC_OLD!C:C,0)),"")</f>
        <v>0</v>
      </c>
      <c r="C201" s="387">
        <f>IF($A201="",0,IFERROR(SUMIFS(SC_OLD!D:D,SC_OLD!C:C,$A201,SC_OLD!J:J,"Entregue"),0))</f>
        <v>0</v>
      </c>
      <c r="D201" s="388">
        <f t="shared" si="1"/>
        <v>0</v>
      </c>
      <c r="E201" s="388">
        <f t="shared" si="2"/>
        <v>0</v>
      </c>
      <c r="F201" s="387">
        <f t="shared" si="3"/>
        <v>0</v>
      </c>
      <c r="G201" s="389" t="str">
        <f t="shared" si="4"/>
        <v/>
      </c>
      <c r="H201" s="386" t="str">
        <f t="shared" si="5"/>
        <v/>
      </c>
    </row>
    <row r="202" ht="15.75" customHeight="1">
      <c r="A202" s="391"/>
      <c r="B202" s="386">
        <f t="array" ref="B202">IFERROR(INDEX(SC_OLD!A:A,MATCH($A202,SC_OLD!C:C,0)),"")</f>
        <v>0</v>
      </c>
      <c r="C202" s="387">
        <f>IF($A202="",0,IFERROR(SUMIFS(SC_OLD!D:D,SC_OLD!C:C,$A202,SC_OLD!J:J,"Entregue"),0))</f>
        <v>0</v>
      </c>
      <c r="D202" s="388">
        <f t="shared" si="1"/>
        <v>0</v>
      </c>
      <c r="E202" s="388">
        <f t="shared" si="2"/>
        <v>0</v>
      </c>
      <c r="F202" s="387">
        <f t="shared" si="3"/>
        <v>0</v>
      </c>
      <c r="G202" s="389" t="str">
        <f t="shared" si="4"/>
        <v/>
      </c>
      <c r="H202" s="386" t="str">
        <f t="shared" si="5"/>
        <v/>
      </c>
    </row>
    <row r="203" ht="15.75" customHeight="1">
      <c r="A203" s="391"/>
      <c r="B203" s="386">
        <f t="array" ref="B203">IFERROR(INDEX(SC_OLD!A:A,MATCH($A203,SC_OLD!C:C,0)),"")</f>
        <v>0</v>
      </c>
      <c r="C203" s="387">
        <f>IF($A203="",0,IFERROR(SUMIFS(SC_OLD!D:D,SC_OLD!C:C,$A203,SC_OLD!J:J,"Entregue"),0))</f>
        <v>0</v>
      </c>
      <c r="D203" s="388">
        <f t="shared" si="1"/>
        <v>0</v>
      </c>
      <c r="E203" s="388">
        <f t="shared" si="2"/>
        <v>0</v>
      </c>
      <c r="F203" s="387">
        <f t="shared" si="3"/>
        <v>0</v>
      </c>
      <c r="G203" s="389" t="str">
        <f t="shared" si="4"/>
        <v/>
      </c>
      <c r="H203" s="386" t="str">
        <f t="shared" si="5"/>
        <v/>
      </c>
    </row>
    <row r="204" ht="15.75" customHeight="1">
      <c r="A204" s="391"/>
      <c r="B204" s="386">
        <f t="array" ref="B204">IFERROR(INDEX(SC_OLD!A:A,MATCH($A204,SC_OLD!C:C,0)),"")</f>
        <v>0</v>
      </c>
      <c r="C204" s="387">
        <f>IF($A204="",0,IFERROR(SUMIFS(SC_OLD!D:D,SC_OLD!C:C,$A204,SC_OLD!J:J,"Entregue"),0))</f>
        <v>0</v>
      </c>
      <c r="D204" s="388">
        <f t="shared" si="1"/>
        <v>0</v>
      </c>
      <c r="E204" s="388">
        <f t="shared" si="2"/>
        <v>0</v>
      </c>
      <c r="F204" s="387">
        <f t="shared" si="3"/>
        <v>0</v>
      </c>
      <c r="G204" s="389" t="str">
        <f t="shared" si="4"/>
        <v/>
      </c>
      <c r="H204" s="386" t="str">
        <f t="shared" si="5"/>
        <v/>
      </c>
    </row>
    <row r="205" ht="15.75" customHeight="1">
      <c r="A205" s="391"/>
      <c r="B205" s="386">
        <f t="array" ref="B205">IFERROR(INDEX(SC_OLD!A:A,MATCH($A205,SC_OLD!C:C,0)),"")</f>
        <v>0</v>
      </c>
      <c r="C205" s="387">
        <f>IF($A205="",0,IFERROR(SUMIFS(SC_OLD!D:D,SC_OLD!C:C,$A205,SC_OLD!J:J,"Entregue"),0))</f>
        <v>0</v>
      </c>
      <c r="D205" s="388">
        <f t="shared" si="1"/>
        <v>0</v>
      </c>
      <c r="E205" s="388">
        <f t="shared" si="2"/>
        <v>0</v>
      </c>
      <c r="F205" s="387">
        <f t="shared" si="3"/>
        <v>0</v>
      </c>
      <c r="G205" s="389" t="str">
        <f t="shared" si="4"/>
        <v/>
      </c>
      <c r="H205" s="386" t="str">
        <f t="shared" si="5"/>
        <v/>
      </c>
    </row>
    <row r="206" ht="15.75" customHeight="1">
      <c r="A206" s="391"/>
      <c r="B206" s="386">
        <f t="array" ref="B206">IFERROR(INDEX(SC_OLD!A:A,MATCH($A206,SC_OLD!C:C,0)),"")</f>
        <v>0</v>
      </c>
      <c r="C206" s="387">
        <f>IF($A206="",0,IFERROR(SUMIFS(SC_OLD!D:D,SC_OLD!C:C,$A206,SC_OLD!J:J,"Entregue"),0))</f>
        <v>0</v>
      </c>
      <c r="D206" s="388">
        <f t="shared" si="1"/>
        <v>0</v>
      </c>
      <c r="E206" s="388">
        <f t="shared" si="2"/>
        <v>0</v>
      </c>
      <c r="F206" s="387">
        <f t="shared" si="3"/>
        <v>0</v>
      </c>
      <c r="G206" s="389" t="str">
        <f t="shared" si="4"/>
        <v/>
      </c>
      <c r="H206" s="386" t="str">
        <f t="shared" si="5"/>
        <v/>
      </c>
    </row>
    <row r="207" ht="15.75" customHeight="1">
      <c r="A207" s="391"/>
      <c r="B207" s="386">
        <f t="array" ref="B207">IFERROR(INDEX(SC_OLD!A:A,MATCH($A207,SC_OLD!C:C,0)),"")</f>
        <v>0</v>
      </c>
      <c r="C207" s="387">
        <f>IF($A207="",0,IFERROR(SUMIFS(SC_OLD!D:D,SC_OLD!C:C,$A207,SC_OLD!J:J,"Entregue"),0))</f>
        <v>0</v>
      </c>
      <c r="D207" s="388">
        <f t="shared" si="1"/>
        <v>0</v>
      </c>
      <c r="E207" s="388">
        <f t="shared" si="2"/>
        <v>0</v>
      </c>
      <c r="F207" s="387">
        <f t="shared" si="3"/>
        <v>0</v>
      </c>
      <c r="G207" s="389" t="str">
        <f t="shared" si="4"/>
        <v/>
      </c>
      <c r="H207" s="386" t="str">
        <f t="shared" si="5"/>
        <v/>
      </c>
    </row>
    <row r="208" ht="15.75" customHeight="1">
      <c r="A208" s="391"/>
      <c r="B208" s="386">
        <f t="array" ref="B208">IFERROR(INDEX(SC_OLD!A:A,MATCH($A208,SC_OLD!C:C,0)),"")</f>
        <v>0</v>
      </c>
      <c r="C208" s="387">
        <f>IF($A208="",0,IFERROR(SUMIFS(SC_OLD!D:D,SC_OLD!C:C,$A208,SC_OLD!J:J,"Entregue"),0))</f>
        <v>0</v>
      </c>
      <c r="D208" s="388">
        <f t="shared" si="1"/>
        <v>0</v>
      </c>
      <c r="E208" s="388">
        <f t="shared" si="2"/>
        <v>0</v>
      </c>
      <c r="F208" s="387">
        <f t="shared" si="3"/>
        <v>0</v>
      </c>
      <c r="G208" s="389" t="str">
        <f t="shared" si="4"/>
        <v/>
      </c>
      <c r="H208" s="386" t="str">
        <f t="shared" si="5"/>
        <v/>
      </c>
    </row>
    <row r="209" ht="15.75" customHeight="1">
      <c r="A209" s="391"/>
      <c r="B209" s="386">
        <f t="array" ref="B209">IFERROR(INDEX(SC_OLD!A:A,MATCH($A209,SC_OLD!C:C,0)),"")</f>
        <v>0</v>
      </c>
      <c r="C209" s="387">
        <f>IF($A209="",0,IFERROR(SUMIFS(SC_OLD!D:D,SC_OLD!C:C,$A209,SC_OLD!J:J,"Entregue"),0))</f>
        <v>0</v>
      </c>
      <c r="D209" s="388">
        <f t="shared" si="1"/>
        <v>0</v>
      </c>
      <c r="E209" s="388">
        <f t="shared" si="2"/>
        <v>0</v>
      </c>
      <c r="F209" s="387">
        <f t="shared" si="3"/>
        <v>0</v>
      </c>
      <c r="G209" s="389" t="str">
        <f t="shared" si="4"/>
        <v/>
      </c>
      <c r="H209" s="386" t="str">
        <f t="shared" si="5"/>
        <v/>
      </c>
    </row>
    <row r="210" ht="15.75" customHeight="1">
      <c r="A210" s="391"/>
      <c r="B210" s="386">
        <f t="array" ref="B210">IFERROR(INDEX(SC_OLD!A:A,MATCH($A210,SC_OLD!C:C,0)),"")</f>
        <v>0</v>
      </c>
      <c r="C210" s="387">
        <f>IF($A210="",0,IFERROR(SUMIFS(SC_OLD!D:D,SC_OLD!C:C,$A210,SC_OLD!J:J,"Entregue"),0))</f>
        <v>0</v>
      </c>
      <c r="D210" s="388">
        <f t="shared" si="1"/>
        <v>0</v>
      </c>
      <c r="E210" s="388">
        <f t="shared" si="2"/>
        <v>0</v>
      </c>
      <c r="F210" s="387">
        <f t="shared" si="3"/>
        <v>0</v>
      </c>
      <c r="G210" s="389" t="str">
        <f t="shared" si="4"/>
        <v/>
      </c>
      <c r="H210" s="386" t="str">
        <f t="shared" si="5"/>
        <v/>
      </c>
    </row>
    <row r="211" ht="15.75" customHeight="1">
      <c r="A211" s="391"/>
      <c r="B211" s="386">
        <f t="array" ref="B211">IFERROR(INDEX(SC_OLD!A:A,MATCH($A211,SC_OLD!C:C,0)),"")</f>
        <v>0</v>
      </c>
      <c r="C211" s="387">
        <f>IF($A211="",0,IFERROR(SUMIFS(SC_OLD!D:D,SC_OLD!C:C,$A211,SC_OLD!J:J,"Entregue"),0))</f>
        <v>0</v>
      </c>
      <c r="D211" s="388">
        <f t="shared" si="1"/>
        <v>0</v>
      </c>
      <c r="E211" s="388">
        <f t="shared" si="2"/>
        <v>0</v>
      </c>
      <c r="F211" s="387">
        <f t="shared" si="3"/>
        <v>0</v>
      </c>
      <c r="G211" s="389" t="str">
        <f t="shared" si="4"/>
        <v/>
      </c>
      <c r="H211" s="386" t="str">
        <f t="shared" si="5"/>
        <v/>
      </c>
    </row>
    <row r="212" ht="15.75" customHeight="1">
      <c r="A212" s="391"/>
      <c r="B212" s="386">
        <f t="array" ref="B212">IFERROR(INDEX(SC_OLD!A:A,MATCH($A212,SC_OLD!C:C,0)),"")</f>
        <v>0</v>
      </c>
      <c r="C212" s="387">
        <f>IF($A212="",0,IFERROR(SUMIFS(SC_OLD!D:D,SC_OLD!C:C,$A212,SC_OLD!J:J,"Entregue"),0))</f>
        <v>0</v>
      </c>
      <c r="D212" s="388">
        <f t="shared" si="1"/>
        <v>0</v>
      </c>
      <c r="E212" s="388">
        <f t="shared" si="2"/>
        <v>0</v>
      </c>
      <c r="F212" s="387">
        <f t="shared" si="3"/>
        <v>0</v>
      </c>
      <c r="G212" s="389" t="str">
        <f t="shared" si="4"/>
        <v/>
      </c>
      <c r="H212" s="386" t="str">
        <f t="shared" si="5"/>
        <v/>
      </c>
    </row>
    <row r="213" ht="15.75" customHeight="1">
      <c r="A213" s="391"/>
      <c r="B213" s="386">
        <f t="array" ref="B213">IFERROR(INDEX(SC_OLD!A:A,MATCH($A213,SC_OLD!C:C,0)),"")</f>
        <v>0</v>
      </c>
      <c r="C213" s="387">
        <f>IF($A213="",0,IFERROR(SUMIFS(SC_OLD!D:D,SC_OLD!C:C,$A213,SC_OLD!J:J,"Entregue"),0))</f>
        <v>0</v>
      </c>
      <c r="D213" s="388">
        <f t="shared" si="1"/>
        <v>0</v>
      </c>
      <c r="E213" s="388">
        <f t="shared" si="2"/>
        <v>0</v>
      </c>
      <c r="F213" s="387">
        <f t="shared" si="3"/>
        <v>0</v>
      </c>
      <c r="G213" s="389" t="str">
        <f t="shared" si="4"/>
        <v/>
      </c>
      <c r="H213" s="386" t="str">
        <f t="shared" si="5"/>
        <v/>
      </c>
    </row>
    <row r="214" ht="15.75" customHeight="1">
      <c r="A214" s="391"/>
      <c r="B214" s="386">
        <f t="array" ref="B214">IFERROR(INDEX(SC_OLD!A:A,MATCH($A214,SC_OLD!C:C,0)),"")</f>
        <v>0</v>
      </c>
      <c r="C214" s="387">
        <f>IF($A214="",0,IFERROR(SUMIFS(SC_OLD!D:D,SC_OLD!C:C,$A214,SC_OLD!J:J,"Entregue"),0))</f>
        <v>0</v>
      </c>
      <c r="D214" s="388">
        <f t="shared" si="1"/>
        <v>0</v>
      </c>
      <c r="E214" s="388">
        <f t="shared" si="2"/>
        <v>0</v>
      </c>
      <c r="F214" s="387">
        <f t="shared" si="3"/>
        <v>0</v>
      </c>
      <c r="G214" s="389" t="str">
        <f t="shared" si="4"/>
        <v/>
      </c>
      <c r="H214" s="386" t="str">
        <f t="shared" si="5"/>
        <v/>
      </c>
    </row>
    <row r="215" ht="15.75" customHeight="1">
      <c r="A215" s="391"/>
      <c r="B215" s="386">
        <f t="array" ref="B215">IFERROR(INDEX(SC_OLD!A:A,MATCH($A215,SC_OLD!C:C,0)),"")</f>
        <v>0</v>
      </c>
      <c r="C215" s="387">
        <f>IF($A215="",0,IFERROR(SUMIFS(SC_OLD!D:D,SC_OLD!C:C,$A215,SC_OLD!J:J,"Entregue"),0))</f>
        <v>0</v>
      </c>
      <c r="D215" s="388">
        <f t="shared" si="1"/>
        <v>0</v>
      </c>
      <c r="E215" s="388">
        <f t="shared" si="2"/>
        <v>0</v>
      </c>
      <c r="F215" s="387">
        <f t="shared" si="3"/>
        <v>0</v>
      </c>
      <c r="G215" s="389" t="str">
        <f t="shared" si="4"/>
        <v/>
      </c>
      <c r="H215" s="386" t="str">
        <f t="shared" si="5"/>
        <v/>
      </c>
    </row>
    <row r="216" ht="15.75" customHeight="1">
      <c r="A216" s="391"/>
      <c r="B216" s="386">
        <f t="array" ref="B216">IFERROR(INDEX(SC_OLD!A:A,MATCH($A216,SC_OLD!C:C,0)),"")</f>
        <v>0</v>
      </c>
      <c r="C216" s="387">
        <f>IF($A216="",0,IFERROR(SUMIFS(SC_OLD!D:D,SC_OLD!C:C,$A216,SC_OLD!J:J,"Entregue"),0))</f>
        <v>0</v>
      </c>
      <c r="D216" s="388">
        <f t="shared" si="1"/>
        <v>0</v>
      </c>
      <c r="E216" s="388">
        <f t="shared" si="2"/>
        <v>0</v>
      </c>
      <c r="F216" s="387">
        <f t="shared" si="3"/>
        <v>0</v>
      </c>
      <c r="G216" s="389" t="str">
        <f t="shared" si="4"/>
        <v/>
      </c>
      <c r="H216" s="386" t="str">
        <f t="shared" si="5"/>
        <v/>
      </c>
    </row>
    <row r="217" ht="15.75" customHeight="1">
      <c r="A217" s="391"/>
      <c r="B217" s="386">
        <f t="array" ref="B217">IFERROR(INDEX(SC_OLD!A:A,MATCH($A217,SC_OLD!C:C,0)),"")</f>
        <v>0</v>
      </c>
      <c r="C217" s="387">
        <f>IF($A217="",0,IFERROR(SUMIFS(SC_OLD!D:D,SC_OLD!C:C,$A217,SC_OLD!J:J,"Entregue"),0))</f>
        <v>0</v>
      </c>
      <c r="D217" s="388">
        <f t="shared" si="1"/>
        <v>0</v>
      </c>
      <c r="E217" s="388">
        <f t="shared" si="2"/>
        <v>0</v>
      </c>
      <c r="F217" s="387">
        <f t="shared" si="3"/>
        <v>0</v>
      </c>
      <c r="G217" s="389" t="str">
        <f t="shared" si="4"/>
        <v/>
      </c>
      <c r="H217" s="386" t="str">
        <f t="shared" si="5"/>
        <v/>
      </c>
    </row>
    <row r="218" ht="15.75" customHeight="1">
      <c r="A218" s="391"/>
      <c r="B218" s="386">
        <f t="array" ref="B218">IFERROR(INDEX(SC_OLD!A:A,MATCH($A218,SC_OLD!C:C,0)),"")</f>
        <v>0</v>
      </c>
      <c r="C218" s="387">
        <f>IF($A218="",0,IFERROR(SUMIFS(SC_OLD!D:D,SC_OLD!C:C,$A218,SC_OLD!J:J,"Entregue"),0))</f>
        <v>0</v>
      </c>
      <c r="D218" s="388">
        <f t="shared" si="1"/>
        <v>0</v>
      </c>
      <c r="E218" s="388">
        <f t="shared" si="2"/>
        <v>0</v>
      </c>
      <c r="F218" s="387">
        <f t="shared" si="3"/>
        <v>0</v>
      </c>
      <c r="G218" s="389" t="str">
        <f t="shared" si="4"/>
        <v/>
      </c>
      <c r="H218" s="386" t="str">
        <f t="shared" si="5"/>
        <v/>
      </c>
    </row>
    <row r="219" ht="15.75" customHeight="1">
      <c r="A219" s="391"/>
      <c r="B219" s="386">
        <f t="array" ref="B219">IFERROR(INDEX(SC_OLD!A:A,MATCH($A219,SC_OLD!C:C,0)),"")</f>
        <v>0</v>
      </c>
      <c r="C219" s="387">
        <f>IF($A219="",0,IFERROR(SUMIFS(SC_OLD!D:D,SC_OLD!C:C,$A219,SC_OLD!J:J,"Entregue"),0))</f>
        <v>0</v>
      </c>
      <c r="D219" s="388">
        <f t="shared" si="1"/>
        <v>0</v>
      </c>
      <c r="E219" s="388">
        <f t="shared" si="2"/>
        <v>0</v>
      </c>
      <c r="F219" s="387">
        <f t="shared" si="3"/>
        <v>0</v>
      </c>
      <c r="G219" s="389" t="str">
        <f t="shared" si="4"/>
        <v/>
      </c>
      <c r="H219" s="386" t="str">
        <f t="shared" si="5"/>
        <v/>
      </c>
    </row>
    <row r="220" ht="15.75" customHeight="1">
      <c r="A220" s="391"/>
      <c r="B220" s="386">
        <f t="array" ref="B220">IFERROR(INDEX(SC_OLD!A:A,MATCH($A220,SC_OLD!C:C,0)),"")</f>
        <v>0</v>
      </c>
      <c r="C220" s="387">
        <f>IF($A220="",0,IFERROR(SUMIFS(SC_OLD!D:D,SC_OLD!C:C,$A220,SC_OLD!J:J,"Entregue"),0))</f>
        <v>0</v>
      </c>
      <c r="D220" s="388">
        <f t="shared" si="1"/>
        <v>0</v>
      </c>
      <c r="E220" s="388">
        <f t="shared" si="2"/>
        <v>0</v>
      </c>
      <c r="F220" s="387">
        <f t="shared" si="3"/>
        <v>0</v>
      </c>
      <c r="G220" s="389" t="str">
        <f t="shared" si="4"/>
        <v/>
      </c>
      <c r="H220" s="386" t="str">
        <f t="shared" si="5"/>
        <v/>
      </c>
    </row>
    <row r="221" ht="15.75" customHeight="1">
      <c r="A221" s="391"/>
      <c r="B221" s="386">
        <f t="array" ref="B221">IFERROR(INDEX(SC_OLD!A:A,MATCH($A221,SC_OLD!C:C,0)),"")</f>
        <v>0</v>
      </c>
      <c r="C221" s="387">
        <f>IF($A221="",0,IFERROR(SUMIFS(SC_OLD!D:D,SC_OLD!C:C,$A221,SC_OLD!J:J,"Entregue"),0))</f>
        <v>0</v>
      </c>
      <c r="D221" s="388">
        <f t="shared" si="1"/>
        <v>0</v>
      </c>
      <c r="E221" s="388">
        <f t="shared" si="2"/>
        <v>0</v>
      </c>
      <c r="F221" s="387">
        <f t="shared" si="3"/>
        <v>0</v>
      </c>
      <c r="G221" s="389" t="str">
        <f t="shared" si="4"/>
        <v/>
      </c>
      <c r="H221" s="386" t="str">
        <f t="shared" si="5"/>
        <v/>
      </c>
    </row>
    <row r="222" ht="15.75" customHeight="1">
      <c r="A222" s="391"/>
      <c r="B222" s="386">
        <f t="array" ref="B222">IFERROR(INDEX(SC_OLD!A:A,MATCH($A222,SC_OLD!C:C,0)),"")</f>
        <v>0</v>
      </c>
      <c r="C222" s="387">
        <f>IF($A222="",0,IFERROR(SUMIFS(SC_OLD!D:D,SC_OLD!C:C,$A222,SC_OLD!J:J,"Entregue"),0))</f>
        <v>0</v>
      </c>
      <c r="D222" s="388">
        <f t="shared" si="1"/>
        <v>0</v>
      </c>
      <c r="E222" s="388">
        <f t="shared" si="2"/>
        <v>0</v>
      </c>
      <c r="F222" s="387">
        <f t="shared" si="3"/>
        <v>0</v>
      </c>
      <c r="G222" s="389" t="str">
        <f t="shared" si="4"/>
        <v/>
      </c>
      <c r="H222" s="386" t="str">
        <f t="shared" si="5"/>
        <v/>
      </c>
    </row>
    <row r="223" ht="15.75" customHeight="1">
      <c r="A223" s="391"/>
      <c r="B223" s="386">
        <f t="array" ref="B223">IFERROR(INDEX(SC_OLD!A:A,MATCH($A223,SC_OLD!C:C,0)),"")</f>
        <v>0</v>
      </c>
      <c r="C223" s="387">
        <f>IF($A223="",0,IFERROR(SUMIFS(SC_OLD!D:D,SC_OLD!C:C,$A223,SC_OLD!J:J,"Entregue"),0))</f>
        <v>0</v>
      </c>
      <c r="D223" s="388">
        <f t="shared" si="1"/>
        <v>0</v>
      </c>
      <c r="E223" s="388">
        <f t="shared" si="2"/>
        <v>0</v>
      </c>
      <c r="F223" s="387">
        <f t="shared" si="3"/>
        <v>0</v>
      </c>
      <c r="G223" s="389" t="str">
        <f t="shared" si="4"/>
        <v/>
      </c>
      <c r="H223" s="386" t="str">
        <f t="shared" si="5"/>
        <v/>
      </c>
    </row>
    <row r="224" ht="15.75" customHeight="1">
      <c r="A224" s="391"/>
      <c r="B224" s="386">
        <f t="array" ref="B224">IFERROR(INDEX(SC_OLD!A:A,MATCH($A224,SC_OLD!C:C,0)),"")</f>
        <v>0</v>
      </c>
      <c r="C224" s="387">
        <f>IF($A224="",0,IFERROR(SUMIFS(SC_OLD!D:D,SC_OLD!C:C,$A224,SC_OLD!J:J,"Entregue"),0))</f>
        <v>0</v>
      </c>
      <c r="D224" s="388">
        <f t="shared" si="1"/>
        <v>0</v>
      </c>
      <c r="E224" s="388">
        <f t="shared" si="2"/>
        <v>0</v>
      </c>
      <c r="F224" s="387">
        <f t="shared" si="3"/>
        <v>0</v>
      </c>
      <c r="G224" s="389" t="str">
        <f t="shared" si="4"/>
        <v/>
      </c>
      <c r="H224" s="386" t="str">
        <f t="shared" si="5"/>
        <v/>
      </c>
    </row>
    <row r="225" ht="15.75" customHeight="1">
      <c r="A225" s="391"/>
      <c r="B225" s="386">
        <f t="array" ref="B225">IFERROR(INDEX(SC_OLD!A:A,MATCH($A225,SC_OLD!C:C,0)),"")</f>
        <v>0</v>
      </c>
      <c r="C225" s="387">
        <f>IF($A225="",0,IFERROR(SUMIFS(SC_OLD!D:D,SC_OLD!C:C,$A225,SC_OLD!J:J,"Entregue"),0))</f>
        <v>0</v>
      </c>
      <c r="D225" s="388">
        <f t="shared" si="1"/>
        <v>0</v>
      </c>
      <c r="E225" s="388">
        <f t="shared" si="2"/>
        <v>0</v>
      </c>
      <c r="F225" s="387">
        <f t="shared" si="3"/>
        <v>0</v>
      </c>
      <c r="G225" s="389" t="str">
        <f t="shared" si="4"/>
        <v/>
      </c>
      <c r="H225" s="386" t="str">
        <f t="shared" si="5"/>
        <v/>
      </c>
    </row>
    <row r="226" ht="15.75" customHeight="1">
      <c r="A226" s="391"/>
      <c r="B226" s="386">
        <f t="array" ref="B226">IFERROR(INDEX(SC_OLD!A:A,MATCH($A226,SC_OLD!C:C,0)),"")</f>
        <v>0</v>
      </c>
      <c r="C226" s="387">
        <f>IF($A226="",0,IFERROR(SUMIFS(SC_OLD!D:D,SC_OLD!C:C,$A226,SC_OLD!J:J,"Entregue"),0))</f>
        <v>0</v>
      </c>
      <c r="D226" s="388">
        <f t="shared" si="1"/>
        <v>0</v>
      </c>
      <c r="E226" s="388">
        <f t="shared" si="2"/>
        <v>0</v>
      </c>
      <c r="F226" s="387">
        <f t="shared" si="3"/>
        <v>0</v>
      </c>
      <c r="G226" s="389" t="str">
        <f t="shared" si="4"/>
        <v/>
      </c>
      <c r="H226" s="386" t="str">
        <f t="shared" si="5"/>
        <v/>
      </c>
    </row>
    <row r="227" ht="15.75" customHeight="1">
      <c r="A227" s="391"/>
      <c r="B227" s="386">
        <f t="array" ref="B227">IFERROR(INDEX(SC_OLD!A:A,MATCH($A227,SC_OLD!C:C,0)),"")</f>
        <v>0</v>
      </c>
      <c r="C227" s="387">
        <f>IF($A227="",0,IFERROR(SUMIFS(SC_OLD!D:D,SC_OLD!C:C,$A227,SC_OLD!J:J,"Entregue"),0))</f>
        <v>0</v>
      </c>
      <c r="D227" s="388">
        <f t="shared" si="1"/>
        <v>0</v>
      </c>
      <c r="E227" s="388">
        <f t="shared" si="2"/>
        <v>0</v>
      </c>
      <c r="F227" s="387">
        <f t="shared" si="3"/>
        <v>0</v>
      </c>
      <c r="G227" s="389" t="str">
        <f t="shared" si="4"/>
        <v/>
      </c>
      <c r="H227" s="386" t="str">
        <f t="shared" si="5"/>
        <v/>
      </c>
    </row>
    <row r="228" ht="15.75" customHeight="1">
      <c r="A228" s="391"/>
      <c r="B228" s="386">
        <f t="array" ref="B228">IFERROR(INDEX(SC_OLD!A:A,MATCH($A228,SC_OLD!C:C,0)),"")</f>
        <v>0</v>
      </c>
      <c r="C228" s="387">
        <f>IF($A228="",0,IFERROR(SUMIFS(SC_OLD!D:D,SC_OLD!C:C,$A228,SC_OLD!J:J,"Entregue"),0))</f>
        <v>0</v>
      </c>
      <c r="D228" s="388">
        <f t="shared" si="1"/>
        <v>0</v>
      </c>
      <c r="E228" s="388">
        <f t="shared" si="2"/>
        <v>0</v>
      </c>
      <c r="F228" s="387">
        <f t="shared" si="3"/>
        <v>0</v>
      </c>
      <c r="G228" s="389" t="str">
        <f t="shared" si="4"/>
        <v/>
      </c>
      <c r="H228" s="386" t="str">
        <f t="shared" si="5"/>
        <v/>
      </c>
    </row>
    <row r="229" ht="15.75" customHeight="1">
      <c r="A229" s="391"/>
      <c r="B229" s="386">
        <f t="array" ref="B229">IFERROR(INDEX(SC_OLD!A:A,MATCH($A229,SC_OLD!C:C,0)),"")</f>
        <v>0</v>
      </c>
      <c r="C229" s="387">
        <f>IF($A229="",0,IFERROR(SUMIFS(SC_OLD!D:D,SC_OLD!C:C,$A229,SC_OLD!J:J,"Entregue"),0))</f>
        <v>0</v>
      </c>
      <c r="D229" s="388">
        <f t="shared" si="1"/>
        <v>0</v>
      </c>
      <c r="E229" s="388">
        <f t="shared" si="2"/>
        <v>0</v>
      </c>
      <c r="F229" s="387">
        <f t="shared" si="3"/>
        <v>0</v>
      </c>
      <c r="G229" s="389" t="str">
        <f t="shared" si="4"/>
        <v/>
      </c>
      <c r="H229" s="386" t="str">
        <f t="shared" si="5"/>
        <v/>
      </c>
    </row>
    <row r="230" ht="15.75" customHeight="1">
      <c r="A230" s="391"/>
      <c r="B230" s="386">
        <f t="array" ref="B230">IFERROR(INDEX(SC_OLD!A:A,MATCH($A230,SC_OLD!C:C,0)),"")</f>
        <v>0</v>
      </c>
      <c r="C230" s="387">
        <f>IF($A230="",0,IFERROR(SUMIFS(SC_OLD!D:D,SC_OLD!C:C,$A230,SC_OLD!J:J,"Entregue"),0))</f>
        <v>0</v>
      </c>
      <c r="D230" s="388">
        <f t="shared" si="1"/>
        <v>0</v>
      </c>
      <c r="E230" s="388">
        <f t="shared" si="2"/>
        <v>0</v>
      </c>
      <c r="F230" s="387">
        <f t="shared" si="3"/>
        <v>0</v>
      </c>
      <c r="G230" s="389" t="str">
        <f t="shared" si="4"/>
        <v/>
      </c>
      <c r="H230" s="386" t="str">
        <f t="shared" si="5"/>
        <v/>
      </c>
    </row>
    <row r="231" ht="15.75" customHeight="1">
      <c r="A231" s="391"/>
      <c r="B231" s="386">
        <f t="array" ref="B231">IFERROR(INDEX(SC_OLD!A:A,MATCH($A231,SC_OLD!C:C,0)),"")</f>
        <v>0</v>
      </c>
      <c r="C231" s="387">
        <f>IF($A231="",0,IFERROR(SUMIFS(SC_OLD!D:D,SC_OLD!C:C,$A231,SC_OLD!J:J,"Entregue"),0))</f>
        <v>0</v>
      </c>
      <c r="D231" s="388">
        <f t="shared" si="1"/>
        <v>0</v>
      </c>
      <c r="E231" s="388">
        <f t="shared" si="2"/>
        <v>0</v>
      </c>
      <c r="F231" s="387">
        <f t="shared" si="3"/>
        <v>0</v>
      </c>
      <c r="G231" s="389" t="str">
        <f t="shared" si="4"/>
        <v/>
      </c>
      <c r="H231" s="386" t="str">
        <f t="shared" si="5"/>
        <v/>
      </c>
    </row>
    <row r="232" ht="15.75" customHeight="1">
      <c r="A232" s="391"/>
      <c r="B232" s="386">
        <f t="array" ref="B232">IFERROR(INDEX(SC_OLD!A:A,MATCH($A232,SC_OLD!C:C,0)),"")</f>
        <v>0</v>
      </c>
      <c r="C232" s="387">
        <f>IF($A232="",0,IFERROR(SUMIFS(SC_OLD!D:D,SC_OLD!C:C,$A232,SC_OLD!J:J,"Entregue"),0))</f>
        <v>0</v>
      </c>
      <c r="D232" s="388">
        <f t="shared" si="1"/>
        <v>0</v>
      </c>
      <c r="E232" s="388">
        <f t="shared" si="2"/>
        <v>0</v>
      </c>
      <c r="F232" s="387">
        <f t="shared" si="3"/>
        <v>0</v>
      </c>
      <c r="G232" s="389" t="str">
        <f t="shared" si="4"/>
        <v/>
      </c>
      <c r="H232" s="386" t="str">
        <f t="shared" si="5"/>
        <v/>
      </c>
    </row>
    <row r="233" ht="15.75" customHeight="1">
      <c r="A233" s="391"/>
      <c r="B233" s="386">
        <f t="array" ref="B233">IFERROR(INDEX(SC_OLD!A:A,MATCH($A233,SC_OLD!C:C,0)),"")</f>
        <v>0</v>
      </c>
      <c r="C233" s="387">
        <f>IF($A233="",0,IFERROR(SUMIFS(SC_OLD!D:D,SC_OLD!C:C,$A233,SC_OLD!J:J,"Entregue"),0))</f>
        <v>0</v>
      </c>
      <c r="D233" s="388">
        <f t="shared" si="1"/>
        <v>0</v>
      </c>
      <c r="E233" s="388">
        <f t="shared" si="2"/>
        <v>0</v>
      </c>
      <c r="F233" s="387">
        <f t="shared" si="3"/>
        <v>0</v>
      </c>
      <c r="G233" s="389" t="str">
        <f t="shared" si="4"/>
        <v/>
      </c>
      <c r="H233" s="386" t="str">
        <f t="shared" si="5"/>
        <v/>
      </c>
    </row>
    <row r="234" ht="15.75" customHeight="1">
      <c r="A234" s="391"/>
      <c r="B234" s="386">
        <f t="array" ref="B234">IFERROR(INDEX(SC_OLD!A:A,MATCH($A234,SC_OLD!C:C,0)),"")</f>
        <v>0</v>
      </c>
      <c r="C234" s="387">
        <f>IF($A234="",0,IFERROR(SUMIFS(SC_OLD!D:D,SC_OLD!C:C,$A234,SC_OLD!J:J,"Entregue"),0))</f>
        <v>0</v>
      </c>
      <c r="D234" s="388">
        <f t="shared" si="1"/>
        <v>0</v>
      </c>
      <c r="E234" s="388">
        <f t="shared" si="2"/>
        <v>0</v>
      </c>
      <c r="F234" s="387">
        <f t="shared" si="3"/>
        <v>0</v>
      </c>
      <c r="G234" s="389" t="str">
        <f t="shared" si="4"/>
        <v/>
      </c>
      <c r="H234" s="386" t="str">
        <f t="shared" si="5"/>
        <v/>
      </c>
    </row>
    <row r="235" ht="15.75" customHeight="1">
      <c r="A235" s="391"/>
      <c r="B235" s="386">
        <f t="array" ref="B235">IFERROR(INDEX(SC_OLD!A:A,MATCH($A235,SC_OLD!C:C,0)),"")</f>
        <v>0</v>
      </c>
      <c r="C235" s="387">
        <f>IF($A235="",0,IFERROR(SUMIFS(SC_OLD!D:D,SC_OLD!C:C,$A235,SC_OLD!J:J,"Entregue"),0))</f>
        <v>0</v>
      </c>
      <c r="D235" s="388">
        <f t="shared" si="1"/>
        <v>0</v>
      </c>
      <c r="E235" s="388">
        <f t="shared" si="2"/>
        <v>0</v>
      </c>
      <c r="F235" s="387">
        <f t="shared" si="3"/>
        <v>0</v>
      </c>
      <c r="G235" s="389" t="str">
        <f t="shared" si="4"/>
        <v/>
      </c>
      <c r="H235" s="386" t="str">
        <f t="shared" si="5"/>
        <v/>
      </c>
    </row>
    <row r="236" ht="15.75" customHeight="1">
      <c r="A236" s="391"/>
      <c r="B236" s="386">
        <f t="array" ref="B236">IFERROR(INDEX(SC_OLD!A:A,MATCH($A236,SC_OLD!C:C,0)),"")</f>
        <v>0</v>
      </c>
      <c r="C236" s="387">
        <f>IF($A236="",0,IFERROR(SUMIFS(SC_OLD!D:D,SC_OLD!C:C,$A236,SC_OLD!J:J,"Entregue"),0))</f>
        <v>0</v>
      </c>
      <c r="D236" s="388">
        <f t="shared" si="1"/>
        <v>0</v>
      </c>
      <c r="E236" s="388">
        <f t="shared" si="2"/>
        <v>0</v>
      </c>
      <c r="F236" s="387">
        <f t="shared" si="3"/>
        <v>0</v>
      </c>
      <c r="G236" s="389" t="str">
        <f t="shared" si="4"/>
        <v/>
      </c>
      <c r="H236" s="386" t="str">
        <f t="shared" si="5"/>
        <v/>
      </c>
    </row>
    <row r="237" ht="15.75" customHeight="1">
      <c r="A237" s="391"/>
      <c r="B237" s="386">
        <f t="array" ref="B237">IFERROR(INDEX(SC_OLD!A:A,MATCH($A237,SC_OLD!C:C,0)),"")</f>
        <v>0</v>
      </c>
      <c r="C237" s="387">
        <f>IF($A237="",0,IFERROR(SUMIFS(SC_OLD!D:D,SC_OLD!C:C,$A237,SC_OLD!J:J,"Entregue"),0))</f>
        <v>0</v>
      </c>
      <c r="D237" s="388">
        <f t="shared" si="1"/>
        <v>0</v>
      </c>
      <c r="E237" s="388">
        <f t="shared" si="2"/>
        <v>0</v>
      </c>
      <c r="F237" s="387">
        <f t="shared" si="3"/>
        <v>0</v>
      </c>
      <c r="G237" s="389" t="str">
        <f t="shared" si="4"/>
        <v/>
      </c>
      <c r="H237" s="386" t="str">
        <f t="shared" si="5"/>
        <v/>
      </c>
    </row>
    <row r="238" ht="15.75" customHeight="1">
      <c r="A238" s="391"/>
      <c r="B238" s="386">
        <f t="array" ref="B238">IFERROR(INDEX(SC_OLD!A:A,MATCH($A238,SC_OLD!C:C,0)),"")</f>
        <v>0</v>
      </c>
      <c r="C238" s="387">
        <f>IF($A238="",0,IFERROR(SUMIFS(SC_OLD!D:D,SC_OLD!C:C,$A238,SC_OLD!J:J,"Entregue"),0))</f>
        <v>0</v>
      </c>
      <c r="D238" s="388">
        <f t="shared" si="1"/>
        <v>0</v>
      </c>
      <c r="E238" s="388">
        <f t="shared" si="2"/>
        <v>0</v>
      </c>
      <c r="F238" s="387">
        <f t="shared" si="3"/>
        <v>0</v>
      </c>
      <c r="G238" s="389" t="str">
        <f t="shared" si="4"/>
        <v/>
      </c>
      <c r="H238" s="386" t="str">
        <f t="shared" si="5"/>
        <v/>
      </c>
    </row>
    <row r="239" ht="15.75" customHeight="1">
      <c r="A239" s="391"/>
      <c r="B239" s="386">
        <f t="array" ref="B239">IFERROR(INDEX(SC_OLD!A:A,MATCH($A239,SC_OLD!C:C,0)),"")</f>
        <v>0</v>
      </c>
      <c r="C239" s="387">
        <f>IF($A239="",0,IFERROR(SUMIFS(SC_OLD!D:D,SC_OLD!C:C,$A239,SC_OLD!J:J,"Entregue"),0))</f>
        <v>0</v>
      </c>
      <c r="D239" s="388">
        <f t="shared" si="1"/>
        <v>0</v>
      </c>
      <c r="E239" s="388">
        <f t="shared" si="2"/>
        <v>0</v>
      </c>
      <c r="F239" s="387">
        <f t="shared" si="3"/>
        <v>0</v>
      </c>
      <c r="G239" s="389" t="str">
        <f t="shared" si="4"/>
        <v/>
      </c>
      <c r="H239" s="386" t="str">
        <f t="shared" si="5"/>
        <v/>
      </c>
    </row>
    <row r="240" ht="15.75" customHeight="1">
      <c r="A240" s="391"/>
      <c r="B240" s="386">
        <f t="array" ref="B240">IFERROR(INDEX(SC_OLD!A:A,MATCH($A240,SC_OLD!C:C,0)),"")</f>
        <v>0</v>
      </c>
      <c r="C240" s="387">
        <f>IF($A240="",0,IFERROR(SUMIFS(SC_OLD!D:D,SC_OLD!C:C,$A240,SC_OLD!J:J,"Entregue"),0))</f>
        <v>0</v>
      </c>
      <c r="D240" s="388">
        <f t="shared" si="1"/>
        <v>0</v>
      </c>
      <c r="E240" s="388">
        <f t="shared" si="2"/>
        <v>0</v>
      </c>
      <c r="F240" s="387">
        <f t="shared" si="3"/>
        <v>0</v>
      </c>
      <c r="G240" s="389" t="str">
        <f t="shared" si="4"/>
        <v/>
      </c>
      <c r="H240" s="386" t="str">
        <f t="shared" si="5"/>
        <v/>
      </c>
    </row>
    <row r="241" ht="15.75" customHeight="1">
      <c r="A241" s="391"/>
      <c r="B241" s="386">
        <f t="array" ref="B241">IFERROR(INDEX(SC_OLD!A:A,MATCH($A241,SC_OLD!C:C,0)),"")</f>
        <v>0</v>
      </c>
      <c r="C241" s="387">
        <f>IF($A241="",0,IFERROR(SUMIFS(SC_OLD!D:D,SC_OLD!C:C,$A241,SC_OLD!J:J,"Entregue"),0))</f>
        <v>0</v>
      </c>
      <c r="D241" s="388">
        <f t="shared" si="1"/>
        <v>0</v>
      </c>
      <c r="E241" s="388">
        <f t="shared" si="2"/>
        <v>0</v>
      </c>
      <c r="F241" s="387">
        <f t="shared" si="3"/>
        <v>0</v>
      </c>
      <c r="G241" s="389" t="str">
        <f t="shared" si="4"/>
        <v/>
      </c>
      <c r="H241" s="386" t="str">
        <f t="shared" si="5"/>
        <v/>
      </c>
    </row>
    <row r="242" ht="15.75" customHeight="1">
      <c r="A242" s="391"/>
      <c r="B242" s="386">
        <f t="array" ref="B242">IFERROR(INDEX(SC_OLD!A:A,MATCH($A242,SC_OLD!C:C,0)),"")</f>
        <v>0</v>
      </c>
      <c r="C242" s="387">
        <f>IF($A242="",0,IFERROR(SUMIFS(SC_OLD!D:D,SC_OLD!C:C,$A242,SC_OLD!J:J,"Entregue"),0))</f>
        <v>0</v>
      </c>
      <c r="D242" s="388">
        <f t="shared" si="1"/>
        <v>0</v>
      </c>
      <c r="E242" s="388">
        <f t="shared" si="2"/>
        <v>0</v>
      </c>
      <c r="F242" s="387">
        <f t="shared" si="3"/>
        <v>0</v>
      </c>
      <c r="G242" s="389" t="str">
        <f t="shared" si="4"/>
        <v/>
      </c>
      <c r="H242" s="386" t="str">
        <f t="shared" si="5"/>
        <v/>
      </c>
    </row>
    <row r="243" ht="15.75" customHeight="1">
      <c r="A243" s="391"/>
      <c r="B243" s="386">
        <f t="array" ref="B243">IFERROR(INDEX(SC_OLD!A:A,MATCH($A243,SC_OLD!C:C,0)),"")</f>
        <v>0</v>
      </c>
      <c r="C243" s="387">
        <f>IF($A243="",0,IFERROR(SUMIFS(SC_OLD!D:D,SC_OLD!C:C,$A243,SC_OLD!J:J,"Entregue"),0))</f>
        <v>0</v>
      </c>
      <c r="D243" s="388">
        <f t="shared" si="1"/>
        <v>0</v>
      </c>
      <c r="E243" s="388">
        <f t="shared" si="2"/>
        <v>0</v>
      </c>
      <c r="F243" s="387">
        <f t="shared" si="3"/>
        <v>0</v>
      </c>
      <c r="G243" s="389" t="str">
        <f t="shared" si="4"/>
        <v/>
      </c>
      <c r="H243" s="386" t="str">
        <f t="shared" si="5"/>
        <v/>
      </c>
    </row>
    <row r="244" ht="15.75" customHeight="1">
      <c r="A244" s="391"/>
      <c r="B244" s="386">
        <f t="array" ref="B244">IFERROR(INDEX(SC_OLD!A:A,MATCH($A244,SC_OLD!C:C,0)),"")</f>
        <v>0</v>
      </c>
      <c r="C244" s="387">
        <f>IF($A244="",0,IFERROR(SUMIFS(SC_OLD!D:D,SC_OLD!C:C,$A244,SC_OLD!J:J,"Entregue"),0))</f>
        <v>0</v>
      </c>
      <c r="D244" s="388">
        <f t="shared" si="1"/>
        <v>0</v>
      </c>
      <c r="E244" s="388">
        <f t="shared" si="2"/>
        <v>0</v>
      </c>
      <c r="F244" s="387">
        <f t="shared" si="3"/>
        <v>0</v>
      </c>
      <c r="G244" s="389" t="str">
        <f t="shared" si="4"/>
        <v/>
      </c>
      <c r="H244" s="386" t="str">
        <f t="shared" si="5"/>
        <v/>
      </c>
    </row>
    <row r="245" ht="15.75" customHeight="1">
      <c r="A245" s="391"/>
      <c r="B245" s="386">
        <f t="array" ref="B245">IFERROR(INDEX(SC_OLD!A:A,MATCH($A245,SC_OLD!C:C,0)),"")</f>
        <v>0</v>
      </c>
      <c r="C245" s="387">
        <f>IF($A245="",0,IFERROR(SUMIFS(SC_OLD!D:D,SC_OLD!C:C,$A245,SC_OLD!J:J,"Entregue"),0))</f>
        <v>0</v>
      </c>
      <c r="D245" s="388">
        <f t="shared" si="1"/>
        <v>0</v>
      </c>
      <c r="E245" s="388">
        <f t="shared" si="2"/>
        <v>0</v>
      </c>
      <c r="F245" s="387">
        <f t="shared" si="3"/>
        <v>0</v>
      </c>
      <c r="G245" s="389" t="str">
        <f t="shared" si="4"/>
        <v/>
      </c>
      <c r="H245" s="386" t="str">
        <f t="shared" si="5"/>
        <v/>
      </c>
    </row>
    <row r="246" ht="15.75" customHeight="1">
      <c r="A246" s="391"/>
      <c r="B246" s="386">
        <f t="array" ref="B246">IFERROR(INDEX(SC_OLD!A:A,MATCH($A246,SC_OLD!C:C,0)),"")</f>
        <v>0</v>
      </c>
      <c r="C246" s="387">
        <f>IF($A246="",0,IFERROR(SUMIFS(SC_OLD!D:D,SC_OLD!C:C,$A246,SC_OLD!J:J,"Entregue"),0))</f>
        <v>0</v>
      </c>
      <c r="D246" s="388">
        <f t="shared" si="1"/>
        <v>0</v>
      </c>
      <c r="E246" s="388">
        <f t="shared" si="2"/>
        <v>0</v>
      </c>
      <c r="F246" s="387">
        <f t="shared" si="3"/>
        <v>0</v>
      </c>
      <c r="G246" s="389" t="str">
        <f t="shared" si="4"/>
        <v/>
      </c>
      <c r="H246" s="386" t="str">
        <f t="shared" si="5"/>
        <v/>
      </c>
    </row>
    <row r="247" ht="15.75" customHeight="1">
      <c r="A247" s="391"/>
      <c r="B247" s="386">
        <f t="array" ref="B247">IFERROR(INDEX(SC_OLD!A:A,MATCH($A247,SC_OLD!C:C,0)),"")</f>
        <v>0</v>
      </c>
      <c r="C247" s="387">
        <f>IF($A247="",0,IFERROR(SUMIFS(SC_OLD!D:D,SC_OLD!C:C,$A247,SC_OLD!J:J,"Entregue"),0))</f>
        <v>0</v>
      </c>
      <c r="D247" s="388">
        <f t="shared" si="1"/>
        <v>0</v>
      </c>
      <c r="E247" s="388">
        <f t="shared" si="2"/>
        <v>0</v>
      </c>
      <c r="F247" s="387">
        <f t="shared" si="3"/>
        <v>0</v>
      </c>
      <c r="G247" s="389" t="str">
        <f t="shared" si="4"/>
        <v/>
      </c>
      <c r="H247" s="386" t="str">
        <f t="shared" si="5"/>
        <v/>
      </c>
    </row>
    <row r="248" ht="15.75" customHeight="1">
      <c r="A248" s="391"/>
      <c r="B248" s="386">
        <f t="array" ref="B248">IFERROR(INDEX(SC_OLD!A:A,MATCH($A248,SC_OLD!C:C,0)),"")</f>
        <v>0</v>
      </c>
      <c r="C248" s="387">
        <f>IF($A248="",0,IFERROR(SUMIFS(SC_OLD!D:D,SC_OLD!C:C,$A248,SC_OLD!J:J,"Entregue"),0))</f>
        <v>0</v>
      </c>
      <c r="D248" s="388">
        <f t="shared" si="1"/>
        <v>0</v>
      </c>
      <c r="E248" s="388">
        <f t="shared" si="2"/>
        <v>0</v>
      </c>
      <c r="F248" s="387">
        <f t="shared" si="3"/>
        <v>0</v>
      </c>
      <c r="G248" s="389" t="str">
        <f t="shared" si="4"/>
        <v/>
      </c>
      <c r="H248" s="386" t="str">
        <f t="shared" si="5"/>
        <v/>
      </c>
    </row>
    <row r="249" ht="15.75" customHeight="1">
      <c r="A249" s="391"/>
      <c r="B249" s="386">
        <f t="array" ref="B249">IFERROR(INDEX(SC_OLD!A:A,MATCH($A249,SC_OLD!C:C,0)),"")</f>
        <v>0</v>
      </c>
      <c r="C249" s="387">
        <f>IF($A249="",0,IFERROR(SUMIFS(SC_OLD!D:D,SC_OLD!C:C,$A249,SC_OLD!J:J,"Entregue"),0))</f>
        <v>0</v>
      </c>
      <c r="D249" s="388">
        <f t="shared" si="1"/>
        <v>0</v>
      </c>
      <c r="E249" s="388">
        <f t="shared" si="2"/>
        <v>0</v>
      </c>
      <c r="F249" s="387">
        <f t="shared" si="3"/>
        <v>0</v>
      </c>
      <c r="G249" s="389" t="str">
        <f t="shared" si="4"/>
        <v/>
      </c>
      <c r="H249" s="386" t="str">
        <f t="shared" si="5"/>
        <v/>
      </c>
    </row>
    <row r="250" ht="15.75" customHeight="1">
      <c r="A250" s="391"/>
      <c r="B250" s="386">
        <f t="array" ref="B250">IFERROR(INDEX(SC_OLD!A:A,MATCH($A250,SC_OLD!C:C,0)),"")</f>
        <v>0</v>
      </c>
      <c r="C250" s="387">
        <f>IF($A250="",0,IFERROR(SUMIFS(SC_OLD!D:D,SC_OLD!C:C,$A250,SC_OLD!J:J,"Entregue"),0))</f>
        <v>0</v>
      </c>
      <c r="D250" s="388">
        <f t="shared" si="1"/>
        <v>0</v>
      </c>
      <c r="E250" s="388">
        <f t="shared" si="2"/>
        <v>0</v>
      </c>
      <c r="F250" s="387">
        <f t="shared" si="3"/>
        <v>0</v>
      </c>
      <c r="G250" s="389" t="str">
        <f t="shared" si="4"/>
        <v/>
      </c>
      <c r="H250" s="386" t="str">
        <f t="shared" si="5"/>
        <v/>
      </c>
    </row>
    <row r="251" ht="15.75" customHeight="1">
      <c r="A251" s="391"/>
      <c r="B251" s="386">
        <f t="array" ref="B251">IFERROR(INDEX(SC_OLD!A:A,MATCH($A251,SC_OLD!C:C,0)),"")</f>
        <v>0</v>
      </c>
      <c r="C251" s="387">
        <f>IF($A251="",0,IFERROR(SUMIFS(SC_OLD!D:D,SC_OLD!C:C,$A251,SC_OLD!J:J,"Entregue"),0))</f>
        <v>0</v>
      </c>
      <c r="D251" s="388">
        <f t="shared" si="1"/>
        <v>0</v>
      </c>
      <c r="E251" s="388">
        <f t="shared" si="2"/>
        <v>0</v>
      </c>
      <c r="F251" s="387">
        <f t="shared" si="3"/>
        <v>0</v>
      </c>
      <c r="G251" s="389" t="str">
        <f t="shared" si="4"/>
        <v/>
      </c>
      <c r="H251" s="386" t="str">
        <f t="shared" si="5"/>
        <v/>
      </c>
    </row>
    <row r="252" ht="15.75" customHeight="1">
      <c r="A252" s="391"/>
      <c r="B252" s="386">
        <f t="array" ref="B252">IFERROR(INDEX(SC_OLD!A:A,MATCH($A252,SC_OLD!C:C,0)),"")</f>
        <v>0</v>
      </c>
      <c r="C252" s="387">
        <f>IF($A252="",0,IFERROR(SUMIFS(SC_OLD!D:D,SC_OLD!C:C,$A252,SC_OLD!J:J,"Entregue"),0))</f>
        <v>0</v>
      </c>
      <c r="D252" s="388">
        <f t="shared" si="1"/>
        <v>0</v>
      </c>
      <c r="E252" s="388">
        <f t="shared" si="2"/>
        <v>0</v>
      </c>
      <c r="F252" s="387">
        <f t="shared" si="3"/>
        <v>0</v>
      </c>
      <c r="G252" s="389" t="str">
        <f t="shared" si="4"/>
        <v/>
      </c>
      <c r="H252" s="386" t="str">
        <f t="shared" si="5"/>
        <v/>
      </c>
    </row>
    <row r="253" ht="15.75" customHeight="1">
      <c r="A253" s="391"/>
      <c r="B253" s="386">
        <f t="array" ref="B253">IFERROR(INDEX(SC_OLD!A:A,MATCH($A253,SC_OLD!C:C,0)),"")</f>
        <v>0</v>
      </c>
      <c r="C253" s="387">
        <f>IF($A253="",0,IFERROR(SUMIFS(SC_OLD!D:D,SC_OLD!C:C,$A253,SC_OLD!J:J,"Entregue"),0))</f>
        <v>0</v>
      </c>
      <c r="D253" s="388">
        <f t="shared" si="1"/>
        <v>0</v>
      </c>
      <c r="E253" s="388">
        <f t="shared" si="2"/>
        <v>0</v>
      </c>
      <c r="F253" s="387">
        <f t="shared" si="3"/>
        <v>0</v>
      </c>
      <c r="G253" s="389" t="str">
        <f t="shared" si="4"/>
        <v/>
      </c>
      <c r="H253" s="386" t="str">
        <f t="shared" si="5"/>
        <v/>
      </c>
    </row>
    <row r="254" ht="15.75" customHeight="1">
      <c r="A254" s="391"/>
      <c r="B254" s="386">
        <f t="array" ref="B254">IFERROR(INDEX(SC_OLD!A:A,MATCH($A254,SC_OLD!C:C,0)),"")</f>
        <v>0</v>
      </c>
      <c r="C254" s="387">
        <f>IF($A254="",0,IFERROR(SUMIFS(SC_OLD!D:D,SC_OLD!C:C,$A254,SC_OLD!J:J,"Entregue"),0))</f>
        <v>0</v>
      </c>
      <c r="D254" s="388">
        <f t="shared" si="1"/>
        <v>0</v>
      </c>
      <c r="E254" s="388">
        <f t="shared" si="2"/>
        <v>0</v>
      </c>
      <c r="F254" s="387">
        <f t="shared" si="3"/>
        <v>0</v>
      </c>
      <c r="G254" s="389" t="str">
        <f t="shared" si="4"/>
        <v/>
      </c>
      <c r="H254" s="386" t="str">
        <f t="shared" si="5"/>
        <v/>
      </c>
    </row>
    <row r="255" ht="15.75" customHeight="1">
      <c r="A255" s="391"/>
      <c r="B255" s="386">
        <f t="array" ref="B255">IFERROR(INDEX(SC_OLD!A:A,MATCH($A255,SC_OLD!C:C,0)),"")</f>
        <v>0</v>
      </c>
      <c r="C255" s="387">
        <f>IF($A255="",0,IFERROR(SUMIFS(SC_OLD!D:D,SC_OLD!C:C,$A255,SC_OLD!J:J,"Entregue"),0))</f>
        <v>0</v>
      </c>
      <c r="D255" s="388">
        <f t="shared" si="1"/>
        <v>0</v>
      </c>
      <c r="E255" s="388">
        <f t="shared" si="2"/>
        <v>0</v>
      </c>
      <c r="F255" s="387">
        <f t="shared" si="3"/>
        <v>0</v>
      </c>
      <c r="G255" s="389" t="str">
        <f t="shared" si="4"/>
        <v/>
      </c>
      <c r="H255" s="386" t="str">
        <f t="shared" si="5"/>
        <v/>
      </c>
    </row>
    <row r="256" ht="15.75" customHeight="1">
      <c r="A256" s="391"/>
      <c r="B256" s="386">
        <f t="array" ref="B256">IFERROR(INDEX(SC_OLD!A:A,MATCH($A256,SC_OLD!C:C,0)),"")</f>
        <v>0</v>
      </c>
      <c r="C256" s="387">
        <f>IF($A256="",0,IFERROR(SUMIFS(SC_OLD!D:D,SC_OLD!C:C,$A256,SC_OLD!J:J,"Entregue"),0))</f>
        <v>0</v>
      </c>
      <c r="D256" s="388">
        <f t="shared" si="1"/>
        <v>0</v>
      </c>
      <c r="E256" s="388">
        <f t="shared" si="2"/>
        <v>0</v>
      </c>
      <c r="F256" s="387">
        <f t="shared" si="3"/>
        <v>0</v>
      </c>
      <c r="G256" s="389" t="str">
        <f t="shared" si="4"/>
        <v/>
      </c>
      <c r="H256" s="386" t="str">
        <f t="shared" si="5"/>
        <v/>
      </c>
    </row>
    <row r="257" ht="15.75" customHeight="1">
      <c r="A257" s="391"/>
      <c r="B257" s="386">
        <f t="array" ref="B257">IFERROR(INDEX(SC_OLD!A:A,MATCH($A257,SC_OLD!C:C,0)),"")</f>
        <v>0</v>
      </c>
      <c r="C257" s="387">
        <f>IF($A257="",0,IFERROR(SUMIFS(SC_OLD!D:D,SC_OLD!C:C,$A257,SC_OLD!J:J,"Entregue"),0))</f>
        <v>0</v>
      </c>
      <c r="D257" s="388">
        <f t="shared" si="1"/>
        <v>0</v>
      </c>
      <c r="E257" s="388">
        <f t="shared" si="2"/>
        <v>0</v>
      </c>
      <c r="F257" s="387">
        <f t="shared" si="3"/>
        <v>0</v>
      </c>
      <c r="G257" s="389" t="str">
        <f t="shared" si="4"/>
        <v/>
      </c>
      <c r="H257" s="386" t="str">
        <f t="shared" si="5"/>
        <v/>
      </c>
    </row>
    <row r="258" ht="15.75" customHeight="1">
      <c r="A258" s="391"/>
      <c r="B258" s="386">
        <f t="array" ref="B258">IFERROR(INDEX(SC_OLD!A:A,MATCH($A258,SC_OLD!C:C,0)),"")</f>
        <v>0</v>
      </c>
      <c r="C258" s="387">
        <f>IF($A258="",0,IFERROR(SUMIFS(SC_OLD!D:D,SC_OLD!C:C,$A258,SC_OLD!J:J,"Entregue"),0))</f>
        <v>0</v>
      </c>
      <c r="D258" s="388">
        <f t="shared" si="1"/>
        <v>0</v>
      </c>
      <c r="E258" s="388">
        <f t="shared" si="2"/>
        <v>0</v>
      </c>
      <c r="F258" s="387">
        <f t="shared" si="3"/>
        <v>0</v>
      </c>
      <c r="G258" s="389" t="str">
        <f t="shared" si="4"/>
        <v/>
      </c>
      <c r="H258" s="386" t="str">
        <f t="shared" si="5"/>
        <v/>
      </c>
    </row>
    <row r="259" ht="15.75" customHeight="1">
      <c r="A259" s="391"/>
      <c r="B259" s="386">
        <f t="array" ref="B259">IFERROR(INDEX(SC_OLD!A:A,MATCH($A259,SC_OLD!C:C,0)),"")</f>
        <v>0</v>
      </c>
      <c r="C259" s="387">
        <f>IF($A259="",0,IFERROR(SUMIFS(SC_OLD!D:D,SC_OLD!C:C,$A259,SC_OLD!J:J,"Entregue"),0))</f>
        <v>0</v>
      </c>
      <c r="D259" s="388">
        <f t="shared" si="1"/>
        <v>0</v>
      </c>
      <c r="E259" s="388">
        <f t="shared" si="2"/>
        <v>0</v>
      </c>
      <c r="F259" s="387">
        <f t="shared" si="3"/>
        <v>0</v>
      </c>
      <c r="G259" s="389" t="str">
        <f t="shared" si="4"/>
        <v/>
      </c>
      <c r="H259" s="386" t="str">
        <f t="shared" si="5"/>
        <v/>
      </c>
    </row>
    <row r="260" ht="15.75" customHeight="1">
      <c r="A260" s="391"/>
      <c r="B260" s="386">
        <f t="array" ref="B260">IFERROR(INDEX(SC_OLD!A:A,MATCH($A260,SC_OLD!C:C,0)),"")</f>
        <v>0</v>
      </c>
      <c r="C260" s="387">
        <f>IF($A260="",0,IFERROR(SUMIFS(SC_OLD!D:D,SC_OLD!C:C,$A260,SC_OLD!J:J,"Entregue"),0))</f>
        <v>0</v>
      </c>
      <c r="D260" s="388">
        <f t="shared" si="1"/>
        <v>0</v>
      </c>
      <c r="E260" s="388">
        <f t="shared" si="2"/>
        <v>0</v>
      </c>
      <c r="F260" s="387">
        <f t="shared" si="3"/>
        <v>0</v>
      </c>
      <c r="G260" s="389" t="str">
        <f t="shared" si="4"/>
        <v/>
      </c>
      <c r="H260" s="386" t="str">
        <f t="shared" si="5"/>
        <v/>
      </c>
    </row>
    <row r="261" ht="15.75" customHeight="1">
      <c r="A261" s="391"/>
      <c r="B261" s="386">
        <f t="array" ref="B261">IFERROR(INDEX(SC_OLD!A:A,MATCH($A261,SC_OLD!C:C,0)),"")</f>
        <v>0</v>
      </c>
      <c r="C261" s="387">
        <f>IF($A261="",0,IFERROR(SUMIFS(SC_OLD!D:D,SC_OLD!C:C,$A261,SC_OLD!J:J,"Entregue"),0))</f>
        <v>0</v>
      </c>
      <c r="D261" s="388">
        <f t="shared" si="1"/>
        <v>0</v>
      </c>
      <c r="E261" s="388">
        <f t="shared" si="2"/>
        <v>0</v>
      </c>
      <c r="F261" s="387">
        <f t="shared" si="3"/>
        <v>0</v>
      </c>
      <c r="G261" s="389" t="str">
        <f t="shared" si="4"/>
        <v/>
      </c>
      <c r="H261" s="386" t="str">
        <f t="shared" si="5"/>
        <v/>
      </c>
    </row>
    <row r="262" ht="15.75" customHeight="1">
      <c r="A262" s="391"/>
      <c r="B262" s="386">
        <f t="array" ref="B262">IFERROR(INDEX(SC_OLD!A:A,MATCH($A262,SC_OLD!C:C,0)),"")</f>
        <v>0</v>
      </c>
      <c r="C262" s="387">
        <f>IF($A262="",0,IFERROR(SUMIFS(SC_OLD!D:D,SC_OLD!C:C,$A262,SC_OLD!J:J,"Entregue"),0))</f>
        <v>0</v>
      </c>
      <c r="D262" s="388">
        <f t="shared" si="1"/>
        <v>0</v>
      </c>
      <c r="E262" s="388">
        <f t="shared" si="2"/>
        <v>0</v>
      </c>
      <c r="F262" s="387">
        <f t="shared" si="3"/>
        <v>0</v>
      </c>
      <c r="G262" s="389" t="str">
        <f t="shared" si="4"/>
        <v/>
      </c>
      <c r="H262" s="386" t="str">
        <f t="shared" si="5"/>
        <v/>
      </c>
    </row>
    <row r="263" ht="15.75" customHeight="1">
      <c r="A263" s="391"/>
      <c r="B263" s="386">
        <f t="array" ref="B263">IFERROR(INDEX(SC_OLD!A:A,MATCH($A263,SC_OLD!C:C,0)),"")</f>
        <v>0</v>
      </c>
      <c r="C263" s="387">
        <f>IF($A263="",0,IFERROR(SUMIFS(SC_OLD!D:D,SC_OLD!C:C,$A263,SC_OLD!J:J,"Entregue"),0))</f>
        <v>0</v>
      </c>
      <c r="D263" s="388">
        <f t="shared" si="1"/>
        <v>0</v>
      </c>
      <c r="E263" s="388">
        <f t="shared" si="2"/>
        <v>0</v>
      </c>
      <c r="F263" s="387">
        <f t="shared" si="3"/>
        <v>0</v>
      </c>
      <c r="G263" s="389" t="str">
        <f t="shared" si="4"/>
        <v/>
      </c>
      <c r="H263" s="386" t="str">
        <f t="shared" si="5"/>
        <v/>
      </c>
    </row>
    <row r="264" ht="15.75" customHeight="1">
      <c r="A264" s="391"/>
      <c r="B264" s="386">
        <f t="array" ref="B264">IFERROR(INDEX(SC_OLD!A:A,MATCH($A264,SC_OLD!C:C,0)),"")</f>
        <v>0</v>
      </c>
      <c r="C264" s="387">
        <f>IF($A264="",0,IFERROR(SUMIFS(SC_OLD!D:D,SC_OLD!C:C,$A264,SC_OLD!J:J,"Entregue"),0))</f>
        <v>0</v>
      </c>
      <c r="D264" s="388">
        <f t="shared" si="1"/>
        <v>0</v>
      </c>
      <c r="E264" s="388">
        <f t="shared" si="2"/>
        <v>0</v>
      </c>
      <c r="F264" s="387">
        <f t="shared" si="3"/>
        <v>0</v>
      </c>
      <c r="G264" s="389" t="str">
        <f t="shared" si="4"/>
        <v/>
      </c>
      <c r="H264" s="386" t="str">
        <f t="shared" si="5"/>
        <v/>
      </c>
    </row>
    <row r="265" ht="15.75" customHeight="1">
      <c r="A265" s="391"/>
      <c r="B265" s="386">
        <f t="array" ref="B265">IFERROR(INDEX(SC_OLD!A:A,MATCH($A265,SC_OLD!C:C,0)),"")</f>
        <v>0</v>
      </c>
      <c r="C265" s="387">
        <f>IF($A265="",0,IFERROR(SUMIFS(SC_OLD!D:D,SC_OLD!C:C,$A265,SC_OLD!J:J,"Entregue"),0))</f>
        <v>0</v>
      </c>
      <c r="D265" s="388">
        <f t="shared" si="1"/>
        <v>0</v>
      </c>
      <c r="E265" s="388">
        <f t="shared" si="2"/>
        <v>0</v>
      </c>
      <c r="F265" s="387">
        <f t="shared" si="3"/>
        <v>0</v>
      </c>
      <c r="G265" s="389" t="str">
        <f t="shared" si="4"/>
        <v/>
      </c>
      <c r="H265" s="386" t="str">
        <f t="shared" si="5"/>
        <v/>
      </c>
    </row>
    <row r="266" ht="15.75" customHeight="1">
      <c r="A266" s="391"/>
      <c r="B266" s="386">
        <f t="array" ref="B266">IFERROR(INDEX(SC_OLD!A:A,MATCH($A266,SC_OLD!C:C,0)),"")</f>
        <v>0</v>
      </c>
      <c r="C266" s="387">
        <f>IF($A266="",0,IFERROR(SUMIFS(SC_OLD!D:D,SC_OLD!C:C,$A266,SC_OLD!J:J,"Entregue"),0))</f>
        <v>0</v>
      </c>
      <c r="D266" s="388">
        <f t="shared" si="1"/>
        <v>0</v>
      </c>
      <c r="E266" s="388">
        <f t="shared" si="2"/>
        <v>0</v>
      </c>
      <c r="F266" s="387">
        <f t="shared" si="3"/>
        <v>0</v>
      </c>
      <c r="G266" s="389" t="str">
        <f t="shared" si="4"/>
        <v/>
      </c>
      <c r="H266" s="386" t="str">
        <f t="shared" si="5"/>
        <v/>
      </c>
    </row>
    <row r="267" ht="15.75" customHeight="1">
      <c r="A267" s="391"/>
      <c r="B267" s="386">
        <f t="array" ref="B267">IFERROR(INDEX(SC_OLD!A:A,MATCH($A267,SC_OLD!C:C,0)),"")</f>
        <v>0</v>
      </c>
      <c r="C267" s="387">
        <f>IF($A267="",0,IFERROR(SUMIFS(SC_OLD!D:D,SC_OLD!C:C,$A267,SC_OLD!J:J,"Entregue"),0))</f>
        <v>0</v>
      </c>
      <c r="D267" s="388">
        <f t="shared" si="1"/>
        <v>0</v>
      </c>
      <c r="E267" s="388">
        <f t="shared" si="2"/>
        <v>0</v>
      </c>
      <c r="F267" s="387">
        <f t="shared" si="3"/>
        <v>0</v>
      </c>
      <c r="G267" s="389" t="str">
        <f t="shared" si="4"/>
        <v/>
      </c>
      <c r="H267" s="386" t="str">
        <f t="shared" si="5"/>
        <v/>
      </c>
    </row>
    <row r="268" ht="15.75" customHeight="1">
      <c r="A268" s="391"/>
      <c r="B268" s="386">
        <f t="array" ref="B268">IFERROR(INDEX(SC_OLD!A:A,MATCH($A268,SC_OLD!C:C,0)),"")</f>
        <v>0</v>
      </c>
      <c r="C268" s="387">
        <f>IF($A268="",0,IFERROR(SUMIFS(SC_OLD!D:D,SC_OLD!C:C,$A268,SC_OLD!J:J,"Entregue"),0))</f>
        <v>0</v>
      </c>
      <c r="D268" s="388">
        <f t="shared" si="1"/>
        <v>0</v>
      </c>
      <c r="E268" s="388">
        <f t="shared" si="2"/>
        <v>0</v>
      </c>
      <c r="F268" s="387">
        <f t="shared" si="3"/>
        <v>0</v>
      </c>
      <c r="G268" s="389" t="str">
        <f t="shared" si="4"/>
        <v/>
      </c>
      <c r="H268" s="386" t="str">
        <f t="shared" si="5"/>
        <v/>
      </c>
    </row>
    <row r="269" ht="15.75" customHeight="1">
      <c r="A269" s="391"/>
      <c r="B269" s="386">
        <f t="array" ref="B269">IFERROR(INDEX(SC_OLD!A:A,MATCH($A269,SC_OLD!C:C,0)),"")</f>
        <v>0</v>
      </c>
      <c r="C269" s="387">
        <f>IF($A269="",0,IFERROR(SUMIFS(SC_OLD!D:D,SC_OLD!C:C,$A269,SC_OLD!J:J,"Entregue"),0))</f>
        <v>0</v>
      </c>
      <c r="D269" s="388">
        <f t="shared" si="1"/>
        <v>0</v>
      </c>
      <c r="E269" s="388">
        <f t="shared" si="2"/>
        <v>0</v>
      </c>
      <c r="F269" s="387">
        <f t="shared" si="3"/>
        <v>0</v>
      </c>
      <c r="G269" s="389" t="str">
        <f t="shared" si="4"/>
        <v/>
      </c>
      <c r="H269" s="386" t="str">
        <f t="shared" si="5"/>
        <v/>
      </c>
    </row>
    <row r="270" ht="15.75" customHeight="1">
      <c r="A270" s="391"/>
      <c r="B270" s="386">
        <f t="array" ref="B270">IFERROR(INDEX(SC_OLD!A:A,MATCH($A270,SC_OLD!C:C,0)),"")</f>
        <v>0</v>
      </c>
      <c r="C270" s="387">
        <f>IF($A270="",0,IFERROR(SUMIFS(SC_OLD!D:D,SC_OLD!C:C,$A270,SC_OLD!J:J,"Entregue"),0))</f>
        <v>0</v>
      </c>
      <c r="D270" s="388">
        <f t="shared" si="1"/>
        <v>0</v>
      </c>
      <c r="E270" s="388">
        <f t="shared" si="2"/>
        <v>0</v>
      </c>
      <c r="F270" s="387">
        <f t="shared" si="3"/>
        <v>0</v>
      </c>
      <c r="G270" s="389" t="str">
        <f t="shared" si="4"/>
        <v/>
      </c>
      <c r="H270" s="386" t="str">
        <f t="shared" si="5"/>
        <v/>
      </c>
    </row>
    <row r="271" ht="15.75" customHeight="1">
      <c r="A271" s="391"/>
      <c r="B271" s="386">
        <f t="array" ref="B271">IFERROR(INDEX(SC_OLD!A:A,MATCH($A271,SC_OLD!C:C,0)),"")</f>
        <v>0</v>
      </c>
      <c r="C271" s="387">
        <f>IF($A271="",0,IFERROR(SUMIFS(SC_OLD!D:D,SC_OLD!C:C,$A271,SC_OLD!J:J,"Entregue"),0))</f>
        <v>0</v>
      </c>
      <c r="D271" s="388">
        <f t="shared" si="1"/>
        <v>0</v>
      </c>
      <c r="E271" s="388">
        <f t="shared" si="2"/>
        <v>0</v>
      </c>
      <c r="F271" s="387">
        <f t="shared" si="3"/>
        <v>0</v>
      </c>
      <c r="G271" s="389" t="str">
        <f t="shared" si="4"/>
        <v/>
      </c>
      <c r="H271" s="386" t="str">
        <f t="shared" si="5"/>
        <v/>
      </c>
    </row>
    <row r="272" ht="15.75" customHeight="1">
      <c r="A272" s="391"/>
      <c r="B272" s="386">
        <f t="array" ref="B272">IFERROR(INDEX(SC_OLD!A:A,MATCH($A272,SC_OLD!C:C,0)),"")</f>
        <v>0</v>
      </c>
      <c r="C272" s="387">
        <f>IF($A272="",0,IFERROR(SUMIFS(SC_OLD!D:D,SC_OLD!C:C,$A272,SC_OLD!J:J,"Entregue"),0))</f>
        <v>0</v>
      </c>
      <c r="D272" s="388">
        <f t="shared" si="1"/>
        <v>0</v>
      </c>
      <c r="E272" s="388">
        <f t="shared" si="2"/>
        <v>0</v>
      </c>
      <c r="F272" s="387">
        <f t="shared" si="3"/>
        <v>0</v>
      </c>
      <c r="G272" s="389" t="str">
        <f t="shared" si="4"/>
        <v/>
      </c>
      <c r="H272" s="386" t="str">
        <f t="shared" si="5"/>
        <v/>
      </c>
    </row>
    <row r="273" ht="15.75" customHeight="1">
      <c r="A273" s="391"/>
      <c r="B273" s="386">
        <f t="array" ref="B273">IFERROR(INDEX(SC_OLD!A:A,MATCH($A273,SC_OLD!C:C,0)),"")</f>
        <v>0</v>
      </c>
      <c r="C273" s="387">
        <f>IF($A273="",0,IFERROR(SUMIFS(SC_OLD!D:D,SC_OLD!C:C,$A273,SC_OLD!J:J,"Entregue"),0))</f>
        <v>0</v>
      </c>
      <c r="D273" s="388">
        <f t="shared" si="1"/>
        <v>0</v>
      </c>
      <c r="E273" s="388">
        <f t="shared" si="2"/>
        <v>0</v>
      </c>
      <c r="F273" s="387">
        <f t="shared" si="3"/>
        <v>0</v>
      </c>
      <c r="G273" s="389" t="str">
        <f t="shared" si="4"/>
        <v/>
      </c>
      <c r="H273" s="386" t="str">
        <f t="shared" si="5"/>
        <v/>
      </c>
    </row>
    <row r="274" ht="15.75" customHeight="1">
      <c r="A274" s="391"/>
      <c r="B274" s="386">
        <f t="array" ref="B274">IFERROR(INDEX(SC_OLD!A:A,MATCH($A274,SC_OLD!C:C,0)),"")</f>
        <v>0</v>
      </c>
      <c r="C274" s="387">
        <f>IF($A274="",0,IFERROR(SUMIFS(SC_OLD!D:D,SC_OLD!C:C,$A274,SC_OLD!J:J,"Entregue"),0))</f>
        <v>0</v>
      </c>
      <c r="D274" s="388">
        <f t="shared" si="1"/>
        <v>0</v>
      </c>
      <c r="E274" s="388">
        <f t="shared" si="2"/>
        <v>0</v>
      </c>
      <c r="F274" s="387">
        <f t="shared" si="3"/>
        <v>0</v>
      </c>
      <c r="G274" s="389" t="str">
        <f t="shared" si="4"/>
        <v/>
      </c>
      <c r="H274" s="386" t="str">
        <f t="shared" si="5"/>
        <v/>
      </c>
    </row>
    <row r="275" ht="15.75" customHeight="1">
      <c r="A275" s="391"/>
      <c r="B275" s="386">
        <f t="array" ref="B275">IFERROR(INDEX(SC_OLD!A:A,MATCH($A275,SC_OLD!C:C,0)),"")</f>
        <v>0</v>
      </c>
      <c r="C275" s="387">
        <f>IF($A275="",0,IFERROR(SUMIFS(SC_OLD!D:D,SC_OLD!C:C,$A275,SC_OLD!J:J,"Entregue"),0))</f>
        <v>0</v>
      </c>
      <c r="D275" s="388">
        <f t="shared" si="1"/>
        <v>0</v>
      </c>
      <c r="E275" s="388">
        <f t="shared" si="2"/>
        <v>0</v>
      </c>
      <c r="F275" s="387">
        <f t="shared" si="3"/>
        <v>0</v>
      </c>
      <c r="G275" s="389" t="str">
        <f t="shared" si="4"/>
        <v/>
      </c>
      <c r="H275" s="386" t="str">
        <f t="shared" si="5"/>
        <v/>
      </c>
    </row>
    <row r="276" ht="15.75" customHeight="1">
      <c r="A276" s="391"/>
      <c r="B276" s="386">
        <f t="array" ref="B276">IFERROR(INDEX(SC_OLD!A:A,MATCH($A276,SC_OLD!C:C,0)),"")</f>
        <v>0</v>
      </c>
      <c r="C276" s="387">
        <f>IF($A276="",0,IFERROR(SUMIFS(SC_OLD!D:D,SC_OLD!C:C,$A276,SC_OLD!J:J,"Entregue"),0))</f>
        <v>0</v>
      </c>
      <c r="D276" s="388">
        <f t="shared" si="1"/>
        <v>0</v>
      </c>
      <c r="E276" s="388">
        <f t="shared" si="2"/>
        <v>0</v>
      </c>
      <c r="F276" s="387">
        <f t="shared" si="3"/>
        <v>0</v>
      </c>
      <c r="G276" s="389" t="str">
        <f t="shared" si="4"/>
        <v/>
      </c>
      <c r="H276" s="386" t="str">
        <f t="shared" si="5"/>
        <v/>
      </c>
    </row>
    <row r="277" ht="15.75" customHeight="1">
      <c r="A277" s="391"/>
      <c r="B277" s="386">
        <f t="array" ref="B277">IFERROR(INDEX(SC_OLD!A:A,MATCH($A277,SC_OLD!C:C,0)),"")</f>
        <v>0</v>
      </c>
      <c r="C277" s="387">
        <f>IF($A277="",0,IFERROR(SUMIFS(SC_OLD!D:D,SC_OLD!C:C,$A277,SC_OLD!J:J,"Entregue"),0))</f>
        <v>0</v>
      </c>
      <c r="D277" s="388">
        <f t="shared" si="1"/>
        <v>0</v>
      </c>
      <c r="E277" s="388">
        <f t="shared" si="2"/>
        <v>0</v>
      </c>
      <c r="F277" s="387">
        <f t="shared" si="3"/>
        <v>0</v>
      </c>
      <c r="G277" s="389" t="str">
        <f t="shared" si="4"/>
        <v/>
      </c>
      <c r="H277" s="386" t="str">
        <f t="shared" si="5"/>
        <v/>
      </c>
    </row>
    <row r="278" ht="15.75" customHeight="1">
      <c r="A278" s="391"/>
      <c r="B278" s="386">
        <f t="array" ref="B278">IFERROR(INDEX(SC_OLD!A:A,MATCH($A278,SC_OLD!C:C,0)),"")</f>
        <v>0</v>
      </c>
      <c r="C278" s="387">
        <f>IF($A278="",0,IFERROR(SUMIFS(SC_OLD!D:D,SC_OLD!C:C,$A278,SC_OLD!J:J,"Entregue"),0))</f>
        <v>0</v>
      </c>
      <c r="D278" s="388">
        <f t="shared" si="1"/>
        <v>0</v>
      </c>
      <c r="E278" s="388">
        <f t="shared" si="2"/>
        <v>0</v>
      </c>
      <c r="F278" s="387">
        <f t="shared" si="3"/>
        <v>0</v>
      </c>
      <c r="G278" s="389" t="str">
        <f t="shared" si="4"/>
        <v/>
      </c>
      <c r="H278" s="386" t="str">
        <f t="shared" si="5"/>
        <v/>
      </c>
    </row>
    <row r="279" ht="15.75" customHeight="1">
      <c r="A279" s="391"/>
      <c r="B279" s="386">
        <f t="array" ref="B279">IFERROR(INDEX(SC_OLD!A:A,MATCH($A279,SC_OLD!C:C,0)),"")</f>
        <v>0</v>
      </c>
      <c r="C279" s="387">
        <f>IF($A279="",0,IFERROR(SUMIFS(SC_OLD!D:D,SC_OLD!C:C,$A279,SC_OLD!J:J,"Entregue"),0))</f>
        <v>0</v>
      </c>
      <c r="D279" s="388">
        <f t="shared" si="1"/>
        <v>0</v>
      </c>
      <c r="E279" s="388">
        <f t="shared" si="2"/>
        <v>0</v>
      </c>
      <c r="F279" s="387">
        <f t="shared" si="3"/>
        <v>0</v>
      </c>
      <c r="G279" s="389" t="str">
        <f t="shared" si="4"/>
        <v/>
      </c>
      <c r="H279" s="386" t="str">
        <f t="shared" si="5"/>
        <v/>
      </c>
    </row>
    <row r="280" ht="15.75" customHeight="1">
      <c r="A280" s="391"/>
      <c r="B280" s="386">
        <f t="array" ref="B280">IFERROR(INDEX(SC_OLD!A:A,MATCH($A280,SC_OLD!C:C,0)),"")</f>
        <v>0</v>
      </c>
      <c r="C280" s="387">
        <f>IF($A280="",0,IFERROR(SUMIFS(SC_OLD!D:D,SC_OLD!C:C,$A280,SC_OLD!J:J,"Entregue"),0))</f>
        <v>0</v>
      </c>
      <c r="D280" s="388">
        <f t="shared" si="1"/>
        <v>0</v>
      </c>
      <c r="E280" s="388">
        <f t="shared" si="2"/>
        <v>0</v>
      </c>
      <c r="F280" s="387">
        <f t="shared" si="3"/>
        <v>0</v>
      </c>
      <c r="G280" s="389" t="str">
        <f t="shared" si="4"/>
        <v/>
      </c>
      <c r="H280" s="386" t="str">
        <f t="shared" si="5"/>
        <v/>
      </c>
    </row>
    <row r="281" ht="15.75" customHeight="1">
      <c r="A281" s="391"/>
      <c r="B281" s="386">
        <f t="array" ref="B281">IFERROR(INDEX(SC_OLD!A:A,MATCH($A281,SC_OLD!C:C,0)),"")</f>
        <v>0</v>
      </c>
      <c r="C281" s="387">
        <f>IF($A281="",0,IFERROR(SUMIFS(SC_OLD!D:D,SC_OLD!C:C,$A281,SC_OLD!J:J,"Entregue"),0))</f>
        <v>0</v>
      </c>
      <c r="D281" s="388">
        <f t="shared" si="1"/>
        <v>0</v>
      </c>
      <c r="E281" s="388">
        <f t="shared" si="2"/>
        <v>0</v>
      </c>
      <c r="F281" s="387">
        <f t="shared" si="3"/>
        <v>0</v>
      </c>
      <c r="G281" s="389" t="str">
        <f t="shared" si="4"/>
        <v/>
      </c>
      <c r="H281" s="386" t="str">
        <f t="shared" si="5"/>
        <v/>
      </c>
    </row>
    <row r="282" ht="15.75" customHeight="1">
      <c r="A282" s="391"/>
      <c r="B282" s="386">
        <f t="array" ref="B282">IFERROR(INDEX(SC_OLD!A:A,MATCH($A282,SC_OLD!C:C,0)),"")</f>
        <v>0</v>
      </c>
      <c r="C282" s="387">
        <f>IF($A282="",0,IFERROR(SUMIFS(SC_OLD!D:D,SC_OLD!C:C,$A282,SC_OLD!J:J,"Entregue"),0))</f>
        <v>0</v>
      </c>
      <c r="D282" s="388">
        <f t="shared" si="1"/>
        <v>0</v>
      </c>
      <c r="E282" s="388">
        <f t="shared" si="2"/>
        <v>0</v>
      </c>
      <c r="F282" s="387">
        <f t="shared" si="3"/>
        <v>0</v>
      </c>
      <c r="G282" s="389" t="str">
        <f t="shared" si="4"/>
        <v/>
      </c>
      <c r="H282" s="386" t="str">
        <f t="shared" si="5"/>
        <v/>
      </c>
    </row>
    <row r="283" ht="15.75" customHeight="1">
      <c r="A283" s="391"/>
      <c r="B283" s="386">
        <f t="array" ref="B283">IFERROR(INDEX(SC_OLD!A:A,MATCH($A283,SC_OLD!C:C,0)),"")</f>
        <v>0</v>
      </c>
      <c r="C283" s="387">
        <f>IF($A283="",0,IFERROR(SUMIFS(SC_OLD!D:D,SC_OLD!C:C,$A283,SC_OLD!J:J,"Entregue"),0))</f>
        <v>0</v>
      </c>
      <c r="D283" s="388">
        <f t="shared" si="1"/>
        <v>0</v>
      </c>
      <c r="E283" s="388">
        <f t="shared" si="2"/>
        <v>0</v>
      </c>
      <c r="F283" s="387">
        <f t="shared" si="3"/>
        <v>0</v>
      </c>
      <c r="G283" s="389" t="str">
        <f t="shared" si="4"/>
        <v/>
      </c>
      <c r="H283" s="386" t="str">
        <f t="shared" si="5"/>
        <v/>
      </c>
    </row>
    <row r="284" ht="15.75" customHeight="1">
      <c r="A284" s="391"/>
      <c r="B284" s="386">
        <f t="array" ref="B284">IFERROR(INDEX(SC_OLD!A:A,MATCH($A284,SC_OLD!C:C,0)),"")</f>
        <v>0</v>
      </c>
      <c r="C284" s="387">
        <f>IF($A284="",0,IFERROR(SUMIFS(SC_OLD!D:D,SC_OLD!C:C,$A284,SC_OLD!J:J,"Entregue"),0))</f>
        <v>0</v>
      </c>
      <c r="D284" s="388">
        <f t="shared" si="1"/>
        <v>0</v>
      </c>
      <c r="E284" s="388">
        <f t="shared" si="2"/>
        <v>0</v>
      </c>
      <c r="F284" s="387">
        <f t="shared" si="3"/>
        <v>0</v>
      </c>
      <c r="G284" s="389" t="str">
        <f t="shared" si="4"/>
        <v/>
      </c>
      <c r="H284" s="386" t="str">
        <f t="shared" si="5"/>
        <v/>
      </c>
    </row>
    <row r="285" ht="15.75" customHeight="1">
      <c r="A285" s="391"/>
      <c r="B285" s="386">
        <f t="array" ref="B285">IFERROR(INDEX(SC_OLD!A:A,MATCH($A285,SC_OLD!C:C,0)),"")</f>
        <v>0</v>
      </c>
      <c r="C285" s="387">
        <f>IF($A285="",0,IFERROR(SUMIFS(SC_OLD!D:D,SC_OLD!C:C,$A285,SC_OLD!J:J,"Entregue"),0))</f>
        <v>0</v>
      </c>
      <c r="D285" s="388">
        <f t="shared" si="1"/>
        <v>0</v>
      </c>
      <c r="E285" s="388">
        <f t="shared" si="2"/>
        <v>0</v>
      </c>
      <c r="F285" s="387">
        <f t="shared" si="3"/>
        <v>0</v>
      </c>
      <c r="G285" s="389" t="str">
        <f t="shared" si="4"/>
        <v/>
      </c>
      <c r="H285" s="386" t="str">
        <f t="shared" si="5"/>
        <v/>
      </c>
    </row>
    <row r="286" ht="15.75" customHeight="1">
      <c r="A286" s="391"/>
      <c r="B286" s="386">
        <f t="array" ref="B286">IFERROR(INDEX(SC_OLD!A:A,MATCH($A286,SC_OLD!C:C,0)),"")</f>
        <v>0</v>
      </c>
      <c r="C286" s="387">
        <f>IF($A286="",0,IFERROR(SUMIFS(SC_OLD!D:D,SC_OLD!C:C,$A286,SC_OLD!J:J,"Entregue"),0))</f>
        <v>0</v>
      </c>
      <c r="D286" s="388">
        <f t="shared" si="1"/>
        <v>0</v>
      </c>
      <c r="E286" s="388">
        <f t="shared" si="2"/>
        <v>0</v>
      </c>
      <c r="F286" s="387">
        <f t="shared" si="3"/>
        <v>0</v>
      </c>
      <c r="G286" s="389" t="str">
        <f t="shared" si="4"/>
        <v/>
      </c>
      <c r="H286" s="386" t="str">
        <f t="shared" si="5"/>
        <v/>
      </c>
    </row>
    <row r="287" ht="15.75" customHeight="1">
      <c r="A287" s="391"/>
      <c r="B287" s="386">
        <f t="array" ref="B287">IFERROR(INDEX(SC_OLD!A:A,MATCH($A287,SC_OLD!C:C,0)),"")</f>
        <v>0</v>
      </c>
      <c r="C287" s="387">
        <f>IF($A287="",0,IFERROR(SUMIFS(SC_OLD!D:D,SC_OLD!C:C,$A287,SC_OLD!J:J,"Entregue"),0))</f>
        <v>0</v>
      </c>
      <c r="D287" s="388">
        <f t="shared" si="1"/>
        <v>0</v>
      </c>
      <c r="E287" s="388">
        <f t="shared" si="2"/>
        <v>0</v>
      </c>
      <c r="F287" s="387">
        <f t="shared" si="3"/>
        <v>0</v>
      </c>
      <c r="G287" s="389" t="str">
        <f t="shared" si="4"/>
        <v/>
      </c>
      <c r="H287" s="386" t="str">
        <f t="shared" si="5"/>
        <v/>
      </c>
    </row>
    <row r="288" ht="15.75" customHeight="1">
      <c r="A288" s="391"/>
      <c r="B288" s="386">
        <f t="array" ref="B288">IFERROR(INDEX(SC_OLD!A:A,MATCH($A288,SC_OLD!C:C,0)),"")</f>
        <v>0</v>
      </c>
      <c r="C288" s="387">
        <f>IF($A288="",0,IFERROR(SUMIFS(SC_OLD!D:D,SC_OLD!C:C,$A288,SC_OLD!J:J,"Entregue"),0))</f>
        <v>0</v>
      </c>
      <c r="D288" s="388">
        <f t="shared" si="1"/>
        <v>0</v>
      </c>
      <c r="E288" s="388">
        <f t="shared" si="2"/>
        <v>0</v>
      </c>
      <c r="F288" s="387">
        <f t="shared" si="3"/>
        <v>0</v>
      </c>
      <c r="G288" s="389" t="str">
        <f t="shared" si="4"/>
        <v/>
      </c>
      <c r="H288" s="386" t="str">
        <f t="shared" si="5"/>
        <v/>
      </c>
    </row>
    <row r="289" ht="15.75" customHeight="1">
      <c r="A289" s="391"/>
      <c r="B289" s="386">
        <f t="array" ref="B289">IFERROR(INDEX(SC_OLD!A:A,MATCH($A289,SC_OLD!C:C,0)),"")</f>
        <v>0</v>
      </c>
      <c r="C289" s="387">
        <f>IF($A289="",0,IFERROR(SUMIFS(SC_OLD!D:D,SC_OLD!C:C,$A289,SC_OLD!J:J,"Entregue"),0))</f>
        <v>0</v>
      </c>
      <c r="D289" s="388">
        <f t="shared" si="1"/>
        <v>0</v>
      </c>
      <c r="E289" s="388">
        <f t="shared" si="2"/>
        <v>0</v>
      </c>
      <c r="F289" s="387">
        <f t="shared" si="3"/>
        <v>0</v>
      </c>
      <c r="G289" s="389" t="str">
        <f t="shared" si="4"/>
        <v/>
      </c>
      <c r="H289" s="386" t="str">
        <f t="shared" si="5"/>
        <v/>
      </c>
    </row>
    <row r="290" ht="15.75" customHeight="1">
      <c r="A290" s="391"/>
      <c r="B290" s="386">
        <f t="array" ref="B290">IFERROR(INDEX(SC_OLD!A:A,MATCH($A290,SC_OLD!C:C,0)),"")</f>
        <v>0</v>
      </c>
      <c r="C290" s="387">
        <f>IF($A290="",0,IFERROR(SUMIFS(SC_OLD!D:D,SC_OLD!C:C,$A290,SC_OLD!J:J,"Entregue"),0))</f>
        <v>0</v>
      </c>
      <c r="D290" s="388">
        <f t="shared" si="1"/>
        <v>0</v>
      </c>
      <c r="E290" s="388">
        <f t="shared" si="2"/>
        <v>0</v>
      </c>
      <c r="F290" s="387">
        <f t="shared" si="3"/>
        <v>0</v>
      </c>
      <c r="G290" s="389" t="str">
        <f t="shared" si="4"/>
        <v/>
      </c>
      <c r="H290" s="386" t="str">
        <f t="shared" si="5"/>
        <v/>
      </c>
    </row>
    <row r="291" ht="15.75" customHeight="1">
      <c r="A291" s="391"/>
      <c r="B291" s="386">
        <f t="array" ref="B291">IFERROR(INDEX(SC_OLD!A:A,MATCH($A291,SC_OLD!C:C,0)),"")</f>
        <v>0</v>
      </c>
      <c r="C291" s="387">
        <f>IF($A291="",0,IFERROR(SUMIFS(SC_OLD!D:D,SC_OLD!C:C,$A291,SC_OLD!J:J,"Entregue"),0))</f>
        <v>0</v>
      </c>
      <c r="D291" s="388">
        <f t="shared" si="1"/>
        <v>0</v>
      </c>
      <c r="E291" s="388">
        <f t="shared" si="2"/>
        <v>0</v>
      </c>
      <c r="F291" s="387">
        <f t="shared" si="3"/>
        <v>0</v>
      </c>
      <c r="G291" s="389" t="str">
        <f t="shared" si="4"/>
        <v/>
      </c>
      <c r="H291" s="386" t="str">
        <f t="shared" si="5"/>
        <v/>
      </c>
    </row>
    <row r="292" ht="15.75" customHeight="1">
      <c r="A292" s="391"/>
      <c r="B292" s="386">
        <f t="array" ref="B292">IFERROR(INDEX(SC_OLD!A:A,MATCH($A292,SC_OLD!C:C,0)),"")</f>
        <v>0</v>
      </c>
      <c r="C292" s="387">
        <f>IF($A292="",0,IFERROR(SUMIFS(SC_OLD!D:D,SC_OLD!C:C,$A292,SC_OLD!J:J,"Entregue"),0))</f>
        <v>0</v>
      </c>
      <c r="D292" s="388">
        <f t="shared" si="1"/>
        <v>0</v>
      </c>
      <c r="E292" s="388">
        <f t="shared" si="2"/>
        <v>0</v>
      </c>
      <c r="F292" s="387">
        <f t="shared" si="3"/>
        <v>0</v>
      </c>
      <c r="G292" s="389" t="str">
        <f t="shared" si="4"/>
        <v/>
      </c>
      <c r="H292" s="386" t="str">
        <f t="shared" si="5"/>
        <v/>
      </c>
    </row>
    <row r="293" ht="15.75" customHeight="1">
      <c r="A293" s="391"/>
      <c r="B293" s="386">
        <f t="array" ref="B293">IFERROR(INDEX(SC_OLD!A:A,MATCH($A293,SC_OLD!C:C,0)),"")</f>
        <v>0</v>
      </c>
      <c r="C293" s="387">
        <f>IF($A293="",0,IFERROR(SUMIFS(SC_OLD!D:D,SC_OLD!C:C,$A293,SC_OLD!J:J,"Entregue"),0))</f>
        <v>0</v>
      </c>
      <c r="D293" s="388">
        <f t="shared" si="1"/>
        <v>0</v>
      </c>
      <c r="E293" s="388">
        <f t="shared" si="2"/>
        <v>0</v>
      </c>
      <c r="F293" s="387">
        <f t="shared" si="3"/>
        <v>0</v>
      </c>
      <c r="G293" s="389" t="str">
        <f t="shared" si="4"/>
        <v/>
      </c>
      <c r="H293" s="386" t="str">
        <f t="shared" si="5"/>
        <v/>
      </c>
    </row>
    <row r="294" ht="15.75" customHeight="1">
      <c r="A294" s="391"/>
      <c r="B294" s="386">
        <f t="array" ref="B294">IFERROR(INDEX(SC_OLD!A:A,MATCH($A294,SC_OLD!C:C,0)),"")</f>
        <v>0</v>
      </c>
      <c r="C294" s="387">
        <f>IF($A294="",0,IFERROR(SUMIFS(SC_OLD!D:D,SC_OLD!C:C,$A294,SC_OLD!J:J,"Entregue"),0))</f>
        <v>0</v>
      </c>
      <c r="D294" s="388">
        <f t="shared" si="1"/>
        <v>0</v>
      </c>
      <c r="E294" s="388">
        <f t="shared" si="2"/>
        <v>0</v>
      </c>
      <c r="F294" s="387">
        <f t="shared" si="3"/>
        <v>0</v>
      </c>
      <c r="G294" s="389" t="str">
        <f t="shared" si="4"/>
        <v/>
      </c>
      <c r="H294" s="386" t="str">
        <f t="shared" si="5"/>
        <v/>
      </c>
    </row>
    <row r="295" ht="15.75" customHeight="1">
      <c r="A295" s="391"/>
      <c r="B295" s="386">
        <f t="array" ref="B295">IFERROR(INDEX(SC_OLD!A:A,MATCH($A295,SC_OLD!C:C,0)),"")</f>
        <v>0</v>
      </c>
      <c r="C295" s="387">
        <f>IF($A295="",0,IFERROR(SUMIFS(SC_OLD!D:D,SC_OLD!C:C,$A295,SC_OLD!J:J,"Entregue"),0))</f>
        <v>0</v>
      </c>
      <c r="D295" s="388">
        <f t="shared" si="1"/>
        <v>0</v>
      </c>
      <c r="E295" s="388">
        <f t="shared" si="2"/>
        <v>0</v>
      </c>
      <c r="F295" s="387">
        <f t="shared" si="3"/>
        <v>0</v>
      </c>
      <c r="G295" s="389" t="str">
        <f t="shared" si="4"/>
        <v/>
      </c>
      <c r="H295" s="386" t="str">
        <f t="shared" si="5"/>
        <v/>
      </c>
    </row>
    <row r="296" ht="15.75" customHeight="1">
      <c r="A296" s="391"/>
      <c r="B296" s="386">
        <f t="array" ref="B296">IFERROR(INDEX(SC_OLD!A:A,MATCH($A296,SC_OLD!C:C,0)),"")</f>
        <v>0</v>
      </c>
      <c r="C296" s="387">
        <f>IF($A296="",0,IFERROR(SUMIFS(SC_OLD!D:D,SC_OLD!C:C,$A296,SC_OLD!J:J,"Entregue"),0))</f>
        <v>0</v>
      </c>
      <c r="D296" s="388">
        <f t="shared" si="1"/>
        <v>0</v>
      </c>
      <c r="E296" s="388">
        <f t="shared" si="2"/>
        <v>0</v>
      </c>
      <c r="F296" s="387">
        <f t="shared" si="3"/>
        <v>0</v>
      </c>
      <c r="G296" s="389" t="str">
        <f t="shared" si="4"/>
        <v/>
      </c>
      <c r="H296" s="386" t="str">
        <f t="shared" si="5"/>
        <v/>
      </c>
    </row>
    <row r="297" ht="15.75" customHeight="1">
      <c r="A297" s="391"/>
      <c r="B297" s="386">
        <f t="array" ref="B297">IFERROR(INDEX(SC_OLD!A:A,MATCH($A297,SC_OLD!C:C,0)),"")</f>
        <v>0</v>
      </c>
      <c r="C297" s="387">
        <f>IF($A297="",0,IFERROR(SUMIFS(SC_OLD!D:D,SC_OLD!C:C,$A297,SC_OLD!J:J,"Entregue"),0))</f>
        <v>0</v>
      </c>
      <c r="D297" s="388">
        <f t="shared" si="1"/>
        <v>0</v>
      </c>
      <c r="E297" s="388">
        <f t="shared" si="2"/>
        <v>0</v>
      </c>
      <c r="F297" s="387">
        <f t="shared" si="3"/>
        <v>0</v>
      </c>
      <c r="G297" s="389" t="str">
        <f t="shared" si="4"/>
        <v/>
      </c>
      <c r="H297" s="386" t="str">
        <f t="shared" si="5"/>
        <v/>
      </c>
    </row>
    <row r="298" ht="15.75" customHeight="1">
      <c r="A298" s="391"/>
      <c r="B298" s="386">
        <f t="array" ref="B298">IFERROR(INDEX(SC_OLD!A:A,MATCH($A298,SC_OLD!C:C,0)),"")</f>
        <v>0</v>
      </c>
      <c r="C298" s="387">
        <f>IF($A298="",0,IFERROR(SUMIFS(SC_OLD!D:D,SC_OLD!C:C,$A298,SC_OLD!J:J,"Entregue"),0))</f>
        <v>0</v>
      </c>
      <c r="D298" s="388">
        <f t="shared" si="1"/>
        <v>0</v>
      </c>
      <c r="E298" s="388">
        <f t="shared" si="2"/>
        <v>0</v>
      </c>
      <c r="F298" s="387">
        <f t="shared" si="3"/>
        <v>0</v>
      </c>
      <c r="G298" s="389" t="str">
        <f t="shared" si="4"/>
        <v/>
      </c>
      <c r="H298" s="386" t="str">
        <f t="shared" si="5"/>
        <v/>
      </c>
    </row>
    <row r="299" ht="15.75" customHeight="1">
      <c r="A299" s="391"/>
      <c r="B299" s="386">
        <f t="array" ref="B299">IFERROR(INDEX(SC_OLD!A:A,MATCH($A299,SC_OLD!C:C,0)),"")</f>
        <v>0</v>
      </c>
      <c r="C299" s="387">
        <f>IF($A299="",0,IFERROR(SUMIFS(SC_OLD!D:D,SC_OLD!C:C,$A299,SC_OLD!J:J,"Entregue"),0))</f>
        <v>0</v>
      </c>
      <c r="D299" s="388">
        <f t="shared" si="1"/>
        <v>0</v>
      </c>
      <c r="E299" s="388">
        <f t="shared" si="2"/>
        <v>0</v>
      </c>
      <c r="F299" s="387">
        <f t="shared" si="3"/>
        <v>0</v>
      </c>
      <c r="G299" s="389" t="str">
        <f t="shared" si="4"/>
        <v/>
      </c>
      <c r="H299" s="386" t="str">
        <f t="shared" si="5"/>
        <v/>
      </c>
    </row>
    <row r="300" ht="15.75" customHeight="1">
      <c r="A300" s="391"/>
      <c r="B300" s="386">
        <f t="array" ref="B300">IFERROR(INDEX(SC_OLD!A:A,MATCH($A300,SC_OLD!C:C,0)),"")</f>
        <v>0</v>
      </c>
      <c r="C300" s="387">
        <f>IF($A300="",0,IFERROR(SUMIFS(SC_OLD!D:D,SC_OLD!C:C,$A300,SC_OLD!J:J,"Entregue"),0))</f>
        <v>0</v>
      </c>
      <c r="D300" s="388">
        <f t="shared" si="1"/>
        <v>0</v>
      </c>
      <c r="E300" s="388">
        <f t="shared" si="2"/>
        <v>0</v>
      </c>
      <c r="F300" s="387">
        <f t="shared" si="3"/>
        <v>0</v>
      </c>
      <c r="G300" s="389" t="str">
        <f t="shared" si="4"/>
        <v/>
      </c>
      <c r="H300" s="386" t="str">
        <f t="shared" si="5"/>
        <v/>
      </c>
    </row>
    <row r="301" ht="15.75" customHeight="1">
      <c r="A301" s="391"/>
      <c r="B301" s="386">
        <f t="array" ref="B301">IFERROR(INDEX(SC_OLD!A:A,MATCH($A301,SC_OLD!C:C,0)),"")</f>
        <v>0</v>
      </c>
      <c r="C301" s="387">
        <f>IF($A301="",0,IFERROR(SUMIFS(SC_OLD!D:D,SC_OLD!C:C,$A301,SC_OLD!J:J,"Entregue"),0))</f>
        <v>0</v>
      </c>
      <c r="D301" s="388">
        <f t="shared" si="1"/>
        <v>0</v>
      </c>
      <c r="E301" s="388">
        <f t="shared" si="2"/>
        <v>0</v>
      </c>
      <c r="F301" s="387">
        <f t="shared" si="3"/>
        <v>0</v>
      </c>
      <c r="G301" s="389" t="str">
        <f t="shared" si="4"/>
        <v/>
      </c>
      <c r="H301" s="386" t="str">
        <f t="shared" si="5"/>
        <v/>
      </c>
    </row>
    <row r="302" ht="15.75" customHeight="1">
      <c r="A302" s="391"/>
      <c r="B302" s="386">
        <f t="array" ref="B302">IFERROR(INDEX(SC_OLD!A:A,MATCH($A302,SC_OLD!C:C,0)),"")</f>
        <v>0</v>
      </c>
      <c r="C302" s="387">
        <f>IF($A302="",0,IFERROR(SUMIFS(SC_OLD!D:D,SC_OLD!C:C,$A302,SC_OLD!J:J,"Entregue"),0))</f>
        <v>0</v>
      </c>
      <c r="D302" s="388">
        <f t="shared" si="1"/>
        <v>0</v>
      </c>
      <c r="E302" s="388">
        <f t="shared" si="2"/>
        <v>0</v>
      </c>
      <c r="F302" s="387">
        <f t="shared" si="3"/>
        <v>0</v>
      </c>
      <c r="G302" s="389" t="str">
        <f t="shared" si="4"/>
        <v/>
      </c>
      <c r="H302" s="386" t="str">
        <f t="shared" si="5"/>
        <v/>
      </c>
    </row>
    <row r="303" ht="15.75" customHeight="1">
      <c r="A303" s="391"/>
      <c r="B303" s="386">
        <f t="array" ref="B303">IFERROR(INDEX(SC_OLD!A:A,MATCH($A303,SC_OLD!C:C,0)),"")</f>
        <v>0</v>
      </c>
      <c r="C303" s="387">
        <f>IF($A303="",0,IFERROR(SUMIFS(SC_OLD!D:D,SC_OLD!C:C,$A303,SC_OLD!J:J,"Entregue"),0))</f>
        <v>0</v>
      </c>
      <c r="D303" s="388">
        <f t="shared" si="1"/>
        <v>0</v>
      </c>
      <c r="E303" s="388">
        <f t="shared" si="2"/>
        <v>0</v>
      </c>
      <c r="F303" s="387">
        <f t="shared" si="3"/>
        <v>0</v>
      </c>
      <c r="G303" s="389" t="str">
        <f t="shared" si="4"/>
        <v/>
      </c>
      <c r="H303" s="386" t="str">
        <f t="shared" si="5"/>
        <v/>
      </c>
    </row>
    <row r="304" ht="15.75" customHeight="1">
      <c r="A304" s="391"/>
      <c r="B304" s="386">
        <f t="array" ref="B304">IFERROR(INDEX(SC_OLD!A:A,MATCH($A304,SC_OLD!C:C,0)),"")</f>
        <v>0</v>
      </c>
      <c r="C304" s="387">
        <f>IF($A304="",0,IFERROR(SUMIFS(SC_OLD!D:D,SC_OLD!C:C,$A304,SC_OLD!J:J,"Entregue"),0))</f>
        <v>0</v>
      </c>
      <c r="D304" s="388">
        <f t="shared" si="1"/>
        <v>0</v>
      </c>
      <c r="E304" s="388">
        <f t="shared" si="2"/>
        <v>0</v>
      </c>
      <c r="F304" s="387">
        <f t="shared" si="3"/>
        <v>0</v>
      </c>
      <c r="G304" s="389" t="str">
        <f t="shared" si="4"/>
        <v/>
      </c>
      <c r="H304" s="386" t="str">
        <f t="shared" si="5"/>
        <v/>
      </c>
    </row>
    <row r="305" ht="15.75" customHeight="1">
      <c r="A305" s="391"/>
      <c r="B305" s="386">
        <f t="array" ref="B305">IFERROR(INDEX(SC_OLD!A:A,MATCH($A305,SC_OLD!C:C,0)),"")</f>
        <v>0</v>
      </c>
      <c r="C305" s="387">
        <f>IF($A305="",0,IFERROR(SUMIFS(SC_OLD!D:D,SC_OLD!C:C,$A305,SC_OLD!J:J,"Entregue"),0))</f>
        <v>0</v>
      </c>
      <c r="D305" s="388">
        <f t="shared" si="1"/>
        <v>0</v>
      </c>
      <c r="E305" s="388">
        <f t="shared" si="2"/>
        <v>0</v>
      </c>
      <c r="F305" s="387">
        <f t="shared" si="3"/>
        <v>0</v>
      </c>
      <c r="G305" s="389" t="str">
        <f t="shared" si="4"/>
        <v/>
      </c>
      <c r="H305" s="386" t="str">
        <f t="shared" si="5"/>
        <v/>
      </c>
    </row>
    <row r="306" ht="15.75" customHeight="1">
      <c r="A306" s="391"/>
      <c r="B306" s="386">
        <f t="array" ref="B306">IFERROR(INDEX(SC_OLD!A:A,MATCH($A306,SC_OLD!C:C,0)),"")</f>
        <v>0</v>
      </c>
      <c r="C306" s="387">
        <f>IF($A306="",0,IFERROR(SUMIFS(SC_OLD!D:D,SC_OLD!C:C,$A306,SC_OLD!J:J,"Entregue"),0))</f>
        <v>0</v>
      </c>
      <c r="D306" s="388">
        <f t="shared" si="1"/>
        <v>0</v>
      </c>
      <c r="E306" s="388">
        <f t="shared" si="2"/>
        <v>0</v>
      </c>
      <c r="F306" s="387">
        <f t="shared" si="3"/>
        <v>0</v>
      </c>
      <c r="G306" s="389" t="str">
        <f t="shared" si="4"/>
        <v/>
      </c>
      <c r="H306" s="386" t="str">
        <f t="shared" si="5"/>
        <v/>
      </c>
    </row>
    <row r="307" ht="15.75" customHeight="1">
      <c r="A307" s="391"/>
      <c r="B307" s="386">
        <f t="array" ref="B307">IFERROR(INDEX(SC_OLD!A:A,MATCH($A307,SC_OLD!C:C,0)),"")</f>
        <v>0</v>
      </c>
      <c r="C307" s="387">
        <f>IF($A307="",0,IFERROR(SUMIFS(SC_OLD!D:D,SC_OLD!C:C,$A307,SC_OLD!J:J,"Entregue"),0))</f>
        <v>0</v>
      </c>
      <c r="D307" s="388">
        <f t="shared" si="1"/>
        <v>0</v>
      </c>
      <c r="E307" s="388">
        <f t="shared" si="2"/>
        <v>0</v>
      </c>
      <c r="F307" s="387">
        <f t="shared" si="3"/>
        <v>0</v>
      </c>
      <c r="G307" s="389" t="str">
        <f t="shared" si="4"/>
        <v/>
      </c>
      <c r="H307" s="386" t="str">
        <f t="shared" si="5"/>
        <v/>
      </c>
    </row>
    <row r="308" ht="15.75" customHeight="1">
      <c r="A308" s="391"/>
      <c r="B308" s="386">
        <f t="array" ref="B308">IFERROR(INDEX(SC_OLD!A:A,MATCH($A308,SC_OLD!C:C,0)),"")</f>
        <v>0</v>
      </c>
      <c r="C308" s="387">
        <f>IF($A308="",0,IFERROR(SUMIFS(SC_OLD!D:D,SC_OLD!C:C,$A308,SC_OLD!J:J,"Entregue"),0))</f>
        <v>0</v>
      </c>
      <c r="D308" s="388">
        <f t="shared" si="1"/>
        <v>0</v>
      </c>
      <c r="E308" s="388">
        <f t="shared" si="2"/>
        <v>0</v>
      </c>
      <c r="F308" s="387">
        <f t="shared" si="3"/>
        <v>0</v>
      </c>
      <c r="G308" s="389" t="str">
        <f t="shared" si="4"/>
        <v/>
      </c>
      <c r="H308" s="386" t="str">
        <f t="shared" si="5"/>
        <v/>
      </c>
    </row>
    <row r="309" ht="15.75" customHeight="1">
      <c r="A309" s="391"/>
      <c r="B309" s="386">
        <f t="array" ref="B309">IFERROR(INDEX(SC_OLD!A:A,MATCH($A309,SC_OLD!C:C,0)),"")</f>
        <v>0</v>
      </c>
      <c r="C309" s="387">
        <f>IF($A309="",0,IFERROR(SUMIFS(SC_OLD!D:D,SC_OLD!C:C,$A309,SC_OLD!J:J,"Entregue"),0))</f>
        <v>0</v>
      </c>
      <c r="D309" s="388">
        <f t="shared" si="1"/>
        <v>0</v>
      </c>
      <c r="E309" s="388">
        <f t="shared" si="2"/>
        <v>0</v>
      </c>
      <c r="F309" s="387">
        <f t="shared" si="3"/>
        <v>0</v>
      </c>
      <c r="G309" s="389" t="str">
        <f t="shared" si="4"/>
        <v/>
      </c>
      <c r="H309" s="386" t="str">
        <f t="shared" si="5"/>
        <v/>
      </c>
    </row>
    <row r="310" ht="15.75" customHeight="1">
      <c r="A310" s="391"/>
      <c r="B310" s="386">
        <f t="array" ref="B310">IFERROR(INDEX(SC_OLD!A:A,MATCH($A310,SC_OLD!C:C,0)),"")</f>
        <v>0</v>
      </c>
      <c r="C310" s="387">
        <f>IF($A310="",0,IFERROR(SUMIFS(SC_OLD!D:D,SC_OLD!C:C,$A310,SC_OLD!J:J,"Entregue"),0))</f>
        <v>0</v>
      </c>
      <c r="D310" s="388">
        <f t="shared" si="1"/>
        <v>0</v>
      </c>
      <c r="E310" s="388">
        <f t="shared" si="2"/>
        <v>0</v>
      </c>
      <c r="F310" s="387">
        <f t="shared" si="3"/>
        <v>0</v>
      </c>
      <c r="G310" s="389" t="str">
        <f t="shared" si="4"/>
        <v/>
      </c>
      <c r="H310" s="386" t="str">
        <f t="shared" si="5"/>
        <v/>
      </c>
    </row>
    <row r="311" ht="15.75" customHeight="1">
      <c r="A311" s="391"/>
      <c r="B311" s="386">
        <f t="array" ref="B311">IFERROR(INDEX(SC_OLD!A:A,MATCH($A311,SC_OLD!C:C,0)),"")</f>
        <v>0</v>
      </c>
      <c r="C311" s="387">
        <f>IF($A311="",0,IFERROR(SUMIFS(SC_OLD!D:D,SC_OLD!C:C,$A311,SC_OLD!J:J,"Entregue"),0))</f>
        <v>0</v>
      </c>
      <c r="D311" s="388">
        <f t="shared" si="1"/>
        <v>0</v>
      </c>
      <c r="E311" s="388">
        <f t="shared" si="2"/>
        <v>0</v>
      </c>
      <c r="F311" s="387">
        <f t="shared" si="3"/>
        <v>0</v>
      </c>
      <c r="G311" s="389" t="str">
        <f t="shared" si="4"/>
        <v/>
      </c>
      <c r="H311" s="386" t="str">
        <f t="shared" si="5"/>
        <v/>
      </c>
    </row>
    <row r="312" ht="15.75" customHeight="1">
      <c r="A312" s="391"/>
      <c r="B312" s="386">
        <f t="array" ref="B312">IFERROR(INDEX(SC_OLD!A:A,MATCH($A312,SC_OLD!C:C,0)),"")</f>
        <v>0</v>
      </c>
      <c r="C312" s="387">
        <f>IF($A312="",0,IFERROR(SUMIFS(SC_OLD!D:D,SC_OLD!C:C,$A312,SC_OLD!J:J,"Entregue"),0))</f>
        <v>0</v>
      </c>
      <c r="D312" s="388">
        <f t="shared" si="1"/>
        <v>0</v>
      </c>
      <c r="E312" s="388">
        <f t="shared" si="2"/>
        <v>0</v>
      </c>
      <c r="F312" s="387">
        <f t="shared" si="3"/>
        <v>0</v>
      </c>
      <c r="G312" s="389" t="str">
        <f t="shared" si="4"/>
        <v/>
      </c>
      <c r="H312" s="386" t="str">
        <f t="shared" si="5"/>
        <v/>
      </c>
    </row>
    <row r="313" ht="15.75" customHeight="1">
      <c r="A313" s="391"/>
      <c r="B313" s="386">
        <f t="array" ref="B313">IFERROR(INDEX(SC_OLD!A:A,MATCH($A313,SC_OLD!C:C,0)),"")</f>
        <v>0</v>
      </c>
      <c r="C313" s="387">
        <f>IF($A313="",0,IFERROR(SUMIFS(SC_OLD!D:D,SC_OLD!C:C,$A313,SC_OLD!J:J,"Entregue"),0))</f>
        <v>0</v>
      </c>
      <c r="D313" s="388">
        <f t="shared" si="1"/>
        <v>0</v>
      </c>
      <c r="E313" s="388">
        <f t="shared" si="2"/>
        <v>0</v>
      </c>
      <c r="F313" s="387">
        <f t="shared" si="3"/>
        <v>0</v>
      </c>
      <c r="G313" s="389" t="str">
        <f t="shared" si="4"/>
        <v/>
      </c>
      <c r="H313" s="386" t="str">
        <f t="shared" si="5"/>
        <v/>
      </c>
    </row>
    <row r="314" ht="15.75" customHeight="1">
      <c r="A314" s="391"/>
      <c r="B314" s="386">
        <f t="array" ref="B314">IFERROR(INDEX(SC_OLD!A:A,MATCH($A314,SC_OLD!C:C,0)),"")</f>
        <v>0</v>
      </c>
      <c r="C314" s="387">
        <f>IF($A314="",0,IFERROR(SUMIFS(SC_OLD!D:D,SC_OLD!C:C,$A314,SC_OLD!J:J,"Entregue"),0))</f>
        <v>0</v>
      </c>
      <c r="D314" s="388">
        <f t="shared" si="1"/>
        <v>0</v>
      </c>
      <c r="E314" s="388">
        <f t="shared" si="2"/>
        <v>0</v>
      </c>
      <c r="F314" s="387">
        <f t="shared" si="3"/>
        <v>0</v>
      </c>
      <c r="G314" s="389" t="str">
        <f t="shared" si="4"/>
        <v/>
      </c>
      <c r="H314" s="386" t="str">
        <f t="shared" si="5"/>
        <v/>
      </c>
    </row>
    <row r="315" ht="15.75" customHeight="1">
      <c r="A315" s="391"/>
      <c r="B315" s="386">
        <f t="array" ref="B315">IFERROR(INDEX(SC_OLD!A:A,MATCH($A315,SC_OLD!C:C,0)),"")</f>
        <v>0</v>
      </c>
      <c r="C315" s="387">
        <f>IF($A315="",0,IFERROR(SUMIFS(SC_OLD!D:D,SC_OLD!C:C,$A315,SC_OLD!J:J,"Entregue"),0))</f>
        <v>0</v>
      </c>
      <c r="D315" s="388">
        <f t="shared" si="1"/>
        <v>0</v>
      </c>
      <c r="E315" s="388">
        <f t="shared" si="2"/>
        <v>0</v>
      </c>
      <c r="F315" s="387">
        <f t="shared" si="3"/>
        <v>0</v>
      </c>
      <c r="G315" s="389" t="str">
        <f t="shared" si="4"/>
        <v/>
      </c>
      <c r="H315" s="386" t="str">
        <f t="shared" si="5"/>
        <v/>
      </c>
    </row>
    <row r="316" ht="15.75" customHeight="1">
      <c r="A316" s="391"/>
      <c r="B316" s="386">
        <f t="array" ref="B316">IFERROR(INDEX(SC_OLD!A:A,MATCH($A316,SC_OLD!C:C,0)),"")</f>
        <v>0</v>
      </c>
      <c r="C316" s="387">
        <f>IF($A316="",0,IFERROR(SUMIFS(SC_OLD!D:D,SC_OLD!C:C,$A316,SC_OLD!J:J,"Entregue"),0))</f>
        <v>0</v>
      </c>
      <c r="D316" s="388">
        <f t="shared" si="1"/>
        <v>0</v>
      </c>
      <c r="E316" s="388">
        <f t="shared" si="2"/>
        <v>0</v>
      </c>
      <c r="F316" s="387">
        <f t="shared" si="3"/>
        <v>0</v>
      </c>
      <c r="G316" s="389" t="str">
        <f t="shared" si="4"/>
        <v/>
      </c>
      <c r="H316" s="386" t="str">
        <f t="shared" si="5"/>
        <v/>
      </c>
    </row>
    <row r="317" ht="15.75" customHeight="1">
      <c r="A317" s="391"/>
      <c r="B317" s="386">
        <f t="array" ref="B317">IFERROR(INDEX(SC_OLD!A:A,MATCH($A317,SC_OLD!C:C,0)),"")</f>
        <v>0</v>
      </c>
      <c r="C317" s="387">
        <f>IF($A317="",0,IFERROR(SUMIFS(SC_OLD!D:D,SC_OLD!C:C,$A317,SC_OLD!J:J,"Entregue"),0))</f>
        <v>0</v>
      </c>
      <c r="D317" s="388">
        <f t="shared" si="1"/>
        <v>0</v>
      </c>
      <c r="E317" s="388">
        <f t="shared" si="2"/>
        <v>0</v>
      </c>
      <c r="F317" s="387">
        <f t="shared" si="3"/>
        <v>0</v>
      </c>
      <c r="G317" s="389" t="str">
        <f t="shared" si="4"/>
        <v/>
      </c>
      <c r="H317" s="386" t="str">
        <f t="shared" si="5"/>
        <v/>
      </c>
    </row>
    <row r="318" ht="15.75" customHeight="1">
      <c r="A318" s="391"/>
      <c r="B318" s="386">
        <f t="array" ref="B318">IFERROR(INDEX(SC_OLD!A:A,MATCH($A318,SC_OLD!C:C,0)),"")</f>
        <v>0</v>
      </c>
      <c r="C318" s="387">
        <f>IF($A318="",0,IFERROR(SUMIFS(SC_OLD!D:D,SC_OLD!C:C,$A318,SC_OLD!J:J,"Entregue"),0))</f>
        <v>0</v>
      </c>
      <c r="D318" s="388">
        <f t="shared" si="1"/>
        <v>0</v>
      </c>
      <c r="E318" s="388">
        <f t="shared" si="2"/>
        <v>0</v>
      </c>
      <c r="F318" s="387">
        <f t="shared" si="3"/>
        <v>0</v>
      </c>
      <c r="G318" s="389" t="str">
        <f t="shared" si="4"/>
        <v/>
      </c>
      <c r="H318" s="386" t="str">
        <f t="shared" si="5"/>
        <v/>
      </c>
    </row>
    <row r="319" ht="15.75" customHeight="1">
      <c r="A319" s="391"/>
      <c r="B319" s="386">
        <f t="array" ref="B319">IFERROR(INDEX(SC_OLD!A:A,MATCH($A319,SC_OLD!C:C,0)),"")</f>
        <v>0</v>
      </c>
      <c r="C319" s="387">
        <f>IF($A319="",0,IFERROR(SUMIFS(SC_OLD!D:D,SC_OLD!C:C,$A319,SC_OLD!J:J,"Entregue"),0))</f>
        <v>0</v>
      </c>
      <c r="D319" s="388">
        <f t="shared" si="1"/>
        <v>0</v>
      </c>
      <c r="E319" s="388">
        <f t="shared" si="2"/>
        <v>0</v>
      </c>
      <c r="F319" s="387">
        <f t="shared" si="3"/>
        <v>0</v>
      </c>
      <c r="G319" s="389" t="str">
        <f t="shared" si="4"/>
        <v/>
      </c>
      <c r="H319" s="386" t="str">
        <f t="shared" si="5"/>
        <v/>
      </c>
    </row>
    <row r="320" ht="15.75" customHeight="1">
      <c r="A320" s="391"/>
      <c r="B320" s="386">
        <f t="array" ref="B320">IFERROR(INDEX(SC_OLD!A:A,MATCH($A320,SC_OLD!C:C,0)),"")</f>
        <v>0</v>
      </c>
      <c r="C320" s="387">
        <f>IF($A320="",0,IFERROR(SUMIFS(SC_OLD!D:D,SC_OLD!C:C,$A320,SC_OLD!J:J,"Entregue"),0))</f>
        <v>0</v>
      </c>
      <c r="D320" s="388">
        <f t="shared" si="1"/>
        <v>0</v>
      </c>
      <c r="E320" s="388">
        <f t="shared" si="2"/>
        <v>0</v>
      </c>
      <c r="F320" s="387">
        <f t="shared" si="3"/>
        <v>0</v>
      </c>
      <c r="G320" s="389" t="str">
        <f t="shared" si="4"/>
        <v/>
      </c>
      <c r="H320" s="386" t="str">
        <f t="shared" si="5"/>
        <v/>
      </c>
    </row>
    <row r="321" ht="15.75" customHeight="1">
      <c r="A321" s="391"/>
      <c r="B321" s="386">
        <f t="array" ref="B321">IFERROR(INDEX(SC_OLD!A:A,MATCH($A321,SC_OLD!C:C,0)),"")</f>
        <v>0</v>
      </c>
      <c r="C321" s="387">
        <f>IF($A321="",0,IFERROR(SUMIFS(SC_OLD!D:D,SC_OLD!C:C,$A321,SC_OLD!J:J,"Entregue"),0))</f>
        <v>0</v>
      </c>
      <c r="D321" s="388">
        <f t="shared" si="1"/>
        <v>0</v>
      </c>
      <c r="E321" s="388">
        <f t="shared" si="2"/>
        <v>0</v>
      </c>
      <c r="F321" s="387">
        <f t="shared" si="3"/>
        <v>0</v>
      </c>
      <c r="G321" s="389" t="str">
        <f t="shared" si="4"/>
        <v/>
      </c>
      <c r="H321" s="386" t="str">
        <f t="shared" si="5"/>
        <v/>
      </c>
    </row>
    <row r="322" ht="15.75" customHeight="1">
      <c r="A322" s="391"/>
      <c r="B322" s="386">
        <f t="array" ref="B322">IFERROR(INDEX(SC_OLD!A:A,MATCH($A322,SC_OLD!C:C,0)),"")</f>
        <v>0</v>
      </c>
      <c r="C322" s="387">
        <f>IF($A322="",0,IFERROR(SUMIFS(SC_OLD!D:D,SC_OLD!C:C,$A322,SC_OLD!J:J,"Entregue"),0))</f>
        <v>0</v>
      </c>
      <c r="D322" s="388">
        <f t="shared" si="1"/>
        <v>0</v>
      </c>
      <c r="E322" s="388">
        <f t="shared" si="2"/>
        <v>0</v>
      </c>
      <c r="F322" s="387">
        <f t="shared" si="3"/>
        <v>0</v>
      </c>
      <c r="G322" s="389" t="str">
        <f t="shared" si="4"/>
        <v/>
      </c>
      <c r="H322" s="386" t="str">
        <f t="shared" si="5"/>
        <v/>
      </c>
    </row>
    <row r="323" ht="15.75" customHeight="1">
      <c r="A323" s="391"/>
      <c r="B323" s="386">
        <f t="array" ref="B323">IFERROR(INDEX(SC_OLD!A:A,MATCH($A323,SC_OLD!C:C,0)),"")</f>
        <v>0</v>
      </c>
      <c r="C323" s="387">
        <f>IF($A323="",0,IFERROR(SUMIFS(SC_OLD!D:D,SC_OLD!C:C,$A323,SC_OLD!J:J,"Entregue"),0))</f>
        <v>0</v>
      </c>
      <c r="D323" s="388">
        <f t="shared" si="1"/>
        <v>0</v>
      </c>
      <c r="E323" s="388">
        <f t="shared" si="2"/>
        <v>0</v>
      </c>
      <c r="F323" s="387">
        <f t="shared" si="3"/>
        <v>0</v>
      </c>
      <c r="G323" s="389" t="str">
        <f t="shared" si="4"/>
        <v/>
      </c>
      <c r="H323" s="386" t="str">
        <f t="shared" si="5"/>
        <v/>
      </c>
    </row>
    <row r="324" ht="15.75" customHeight="1">
      <c r="A324" s="391"/>
      <c r="B324" s="386">
        <f t="array" ref="B324">IFERROR(INDEX(SC_OLD!A:A,MATCH($A324,SC_OLD!C:C,0)),"")</f>
        <v>0</v>
      </c>
      <c r="C324" s="387">
        <f>IF($A324="",0,IFERROR(SUMIFS(SC_OLD!D:D,SC_OLD!C:C,$A324,SC_OLD!J:J,"Entregue"),0))</f>
        <v>0</v>
      </c>
      <c r="D324" s="388">
        <f t="shared" si="1"/>
        <v>0</v>
      </c>
      <c r="E324" s="388">
        <f t="shared" si="2"/>
        <v>0</v>
      </c>
      <c r="F324" s="387">
        <f t="shared" si="3"/>
        <v>0</v>
      </c>
      <c r="G324" s="389" t="str">
        <f t="shared" si="4"/>
        <v/>
      </c>
      <c r="H324" s="386" t="str">
        <f t="shared" si="5"/>
        <v/>
      </c>
    </row>
    <row r="325" ht="15.75" customHeight="1">
      <c r="A325" s="391"/>
      <c r="B325" s="386">
        <f t="array" ref="B325">IFERROR(INDEX(SC_OLD!A:A,MATCH($A325,SC_OLD!C:C,0)),"")</f>
        <v>0</v>
      </c>
      <c r="C325" s="387">
        <f>IF($A325="",0,IFERROR(SUMIFS(SC_OLD!D:D,SC_OLD!C:C,$A325,SC_OLD!J:J,"Entregue"),0))</f>
        <v>0</v>
      </c>
      <c r="D325" s="388">
        <f t="shared" si="1"/>
        <v>0</v>
      </c>
      <c r="E325" s="388">
        <f t="shared" si="2"/>
        <v>0</v>
      </c>
      <c r="F325" s="387">
        <f t="shared" si="3"/>
        <v>0</v>
      </c>
      <c r="G325" s="389" t="str">
        <f t="shared" si="4"/>
        <v/>
      </c>
      <c r="H325" s="386" t="str">
        <f t="shared" si="5"/>
        <v/>
      </c>
    </row>
    <row r="326" ht="15.75" customHeight="1">
      <c r="A326" s="391"/>
      <c r="B326" s="386">
        <f t="array" ref="B326">IFERROR(INDEX(SC_OLD!A:A,MATCH($A326,SC_OLD!C:C,0)),"")</f>
        <v>0</v>
      </c>
      <c r="C326" s="387">
        <f>IF($A326="",0,IFERROR(SUMIFS(SC_OLD!D:D,SC_OLD!C:C,$A326,SC_OLD!J:J,"Entregue"),0))</f>
        <v>0</v>
      </c>
      <c r="D326" s="388">
        <f t="shared" si="1"/>
        <v>0</v>
      </c>
      <c r="E326" s="388">
        <f t="shared" si="2"/>
        <v>0</v>
      </c>
      <c r="F326" s="387">
        <f t="shared" si="3"/>
        <v>0</v>
      </c>
      <c r="G326" s="389" t="str">
        <f t="shared" si="4"/>
        <v/>
      </c>
      <c r="H326" s="386" t="str">
        <f t="shared" si="5"/>
        <v/>
      </c>
    </row>
    <row r="327" ht="15.75" customHeight="1">
      <c r="A327" s="391"/>
      <c r="B327" s="386">
        <f t="array" ref="B327">IFERROR(INDEX(SC_OLD!A:A,MATCH($A327,SC_OLD!C:C,0)),"")</f>
        <v>0</v>
      </c>
      <c r="C327" s="387">
        <f>IF($A327="",0,IFERROR(SUMIFS(SC_OLD!D:D,SC_OLD!C:C,$A327,SC_OLD!J:J,"Entregue"),0))</f>
        <v>0</v>
      </c>
      <c r="D327" s="388">
        <f t="shared" si="1"/>
        <v>0</v>
      </c>
      <c r="E327" s="388">
        <f t="shared" si="2"/>
        <v>0</v>
      </c>
      <c r="F327" s="387">
        <f t="shared" si="3"/>
        <v>0</v>
      </c>
      <c r="G327" s="389" t="str">
        <f t="shared" si="4"/>
        <v/>
      </c>
      <c r="H327" s="386" t="str">
        <f t="shared" si="5"/>
        <v/>
      </c>
    </row>
    <row r="328" ht="15.75" customHeight="1">
      <c r="A328" s="391"/>
      <c r="B328" s="386">
        <f t="array" ref="B328">IFERROR(INDEX(SC_OLD!A:A,MATCH($A328,SC_OLD!C:C,0)),"")</f>
        <v>0</v>
      </c>
      <c r="C328" s="387">
        <f>IF($A328="",0,IFERROR(SUMIFS(SC_OLD!D:D,SC_OLD!C:C,$A328,SC_OLD!J:J,"Entregue"),0))</f>
        <v>0</v>
      </c>
      <c r="D328" s="388">
        <f t="shared" si="1"/>
        <v>0</v>
      </c>
      <c r="E328" s="388">
        <f t="shared" si="2"/>
        <v>0</v>
      </c>
      <c r="F328" s="387">
        <f t="shared" si="3"/>
        <v>0</v>
      </c>
      <c r="G328" s="389" t="str">
        <f t="shared" si="4"/>
        <v/>
      </c>
      <c r="H328" s="386" t="str">
        <f t="shared" si="5"/>
        <v/>
      </c>
    </row>
    <row r="329" ht="15.75" customHeight="1">
      <c r="A329" s="391"/>
      <c r="B329" s="386">
        <f t="array" ref="B329">IFERROR(INDEX(SC_OLD!A:A,MATCH($A329,SC_OLD!C:C,0)),"")</f>
        <v>0</v>
      </c>
      <c r="C329" s="387">
        <f>IF($A329="",0,IFERROR(SUMIFS(SC_OLD!D:D,SC_OLD!C:C,$A329,SC_OLD!J:J,"Entregue"),0))</f>
        <v>0</v>
      </c>
      <c r="D329" s="388">
        <f t="shared" si="1"/>
        <v>0</v>
      </c>
      <c r="E329" s="388">
        <f t="shared" si="2"/>
        <v>0</v>
      </c>
      <c r="F329" s="387">
        <f t="shared" si="3"/>
        <v>0</v>
      </c>
      <c r="G329" s="389" t="str">
        <f t="shared" si="4"/>
        <v/>
      </c>
      <c r="H329" s="386" t="str">
        <f t="shared" si="5"/>
        <v/>
      </c>
    </row>
    <row r="330" ht="15.75" customHeight="1">
      <c r="A330" s="391"/>
      <c r="B330" s="386">
        <f t="array" ref="B330">IFERROR(INDEX(SC_OLD!A:A,MATCH($A330,SC_OLD!C:C,0)),"")</f>
        <v>0</v>
      </c>
      <c r="C330" s="387">
        <f>IF($A330="",0,IFERROR(SUMIFS(SC_OLD!D:D,SC_OLD!C:C,$A330,SC_OLD!J:J,"Entregue"),0))</f>
        <v>0</v>
      </c>
      <c r="D330" s="388">
        <f t="shared" si="1"/>
        <v>0</v>
      </c>
      <c r="E330" s="388">
        <f t="shared" si="2"/>
        <v>0</v>
      </c>
      <c r="F330" s="387">
        <f t="shared" si="3"/>
        <v>0</v>
      </c>
      <c r="G330" s="389" t="str">
        <f t="shared" si="4"/>
        <v/>
      </c>
      <c r="H330" s="386" t="str">
        <f t="shared" si="5"/>
        <v/>
      </c>
    </row>
    <row r="331" ht="15.75" customHeight="1">
      <c r="A331" s="391"/>
      <c r="B331" s="386">
        <f t="array" ref="B331">IFERROR(INDEX(SC_OLD!A:A,MATCH($A331,SC_OLD!C:C,0)),"")</f>
        <v>0</v>
      </c>
      <c r="C331" s="387">
        <f>IF($A331="",0,IFERROR(SUMIFS(SC_OLD!D:D,SC_OLD!C:C,$A331,SC_OLD!J:J,"Entregue"),0))</f>
        <v>0</v>
      </c>
      <c r="D331" s="388">
        <f t="shared" si="1"/>
        <v>0</v>
      </c>
      <c r="E331" s="388">
        <f t="shared" si="2"/>
        <v>0</v>
      </c>
      <c r="F331" s="387">
        <f t="shared" si="3"/>
        <v>0</v>
      </c>
      <c r="G331" s="389" t="str">
        <f t="shared" si="4"/>
        <v/>
      </c>
      <c r="H331" s="386" t="str">
        <f t="shared" si="5"/>
        <v/>
      </c>
    </row>
    <row r="332" ht="15.75" customHeight="1">
      <c r="A332" s="391"/>
      <c r="B332" s="386">
        <f t="array" ref="B332">IFERROR(INDEX(SC_OLD!A:A,MATCH($A332,SC_OLD!C:C,0)),"")</f>
        <v>0</v>
      </c>
      <c r="C332" s="387">
        <f>IF($A332="",0,IFERROR(SUMIFS(SC_OLD!D:D,SC_OLD!C:C,$A332,SC_OLD!J:J,"Entregue"),0))</f>
        <v>0</v>
      </c>
      <c r="D332" s="388">
        <f t="shared" si="1"/>
        <v>0</v>
      </c>
      <c r="E332" s="388">
        <f t="shared" si="2"/>
        <v>0</v>
      </c>
      <c r="F332" s="387">
        <f t="shared" si="3"/>
        <v>0</v>
      </c>
      <c r="G332" s="389" t="str">
        <f t="shared" si="4"/>
        <v/>
      </c>
      <c r="H332" s="386" t="str">
        <f t="shared" si="5"/>
        <v/>
      </c>
    </row>
    <row r="333" ht="15.75" customHeight="1">
      <c r="A333" s="391"/>
      <c r="B333" s="386">
        <f t="array" ref="B333">IFERROR(INDEX(SC_OLD!A:A,MATCH($A333,SC_OLD!C:C,0)),"")</f>
        <v>0</v>
      </c>
      <c r="C333" s="387">
        <f>IF($A333="",0,IFERROR(SUMIFS(SC_OLD!D:D,SC_OLD!C:C,$A333,SC_OLD!J:J,"Entregue"),0))</f>
        <v>0</v>
      </c>
      <c r="D333" s="388">
        <f t="shared" si="1"/>
        <v>0</v>
      </c>
      <c r="E333" s="388">
        <f t="shared" si="2"/>
        <v>0</v>
      </c>
      <c r="F333" s="387">
        <f t="shared" si="3"/>
        <v>0</v>
      </c>
      <c r="G333" s="389" t="str">
        <f t="shared" si="4"/>
        <v/>
      </c>
      <c r="H333" s="386" t="str">
        <f t="shared" si="5"/>
        <v/>
      </c>
    </row>
    <row r="334" ht="15.75" customHeight="1">
      <c r="A334" s="391"/>
      <c r="B334" s="386">
        <f t="array" ref="B334">IFERROR(INDEX(SC_OLD!A:A,MATCH($A334,SC_OLD!C:C,0)),"")</f>
        <v>0</v>
      </c>
      <c r="C334" s="387">
        <f>IF($A334="",0,IFERROR(SUMIFS(SC_OLD!D:D,SC_OLD!C:C,$A334,SC_OLD!J:J,"Entregue"),0))</f>
        <v>0</v>
      </c>
      <c r="D334" s="388">
        <f t="shared" si="1"/>
        <v>0</v>
      </c>
      <c r="E334" s="388">
        <f t="shared" si="2"/>
        <v>0</v>
      </c>
      <c r="F334" s="387">
        <f t="shared" si="3"/>
        <v>0</v>
      </c>
      <c r="G334" s="389" t="str">
        <f t="shared" si="4"/>
        <v/>
      </c>
      <c r="H334" s="386" t="str">
        <f t="shared" si="5"/>
        <v/>
      </c>
    </row>
    <row r="335" ht="15.75" customHeight="1">
      <c r="A335" s="391"/>
      <c r="B335" s="386">
        <f t="array" ref="B335">IFERROR(INDEX(SC_OLD!A:A,MATCH($A335,SC_OLD!C:C,0)),"")</f>
        <v>0</v>
      </c>
      <c r="C335" s="387">
        <f>IF($A335="",0,IFERROR(SUMIFS(SC_OLD!D:D,SC_OLD!C:C,$A335,SC_OLD!J:J,"Entregue"),0))</f>
        <v>0</v>
      </c>
      <c r="D335" s="388">
        <f t="shared" si="1"/>
        <v>0</v>
      </c>
      <c r="E335" s="388">
        <f t="shared" si="2"/>
        <v>0</v>
      </c>
      <c r="F335" s="387">
        <f t="shared" si="3"/>
        <v>0</v>
      </c>
      <c r="G335" s="389" t="str">
        <f t="shared" si="4"/>
        <v/>
      </c>
      <c r="H335" s="386" t="str">
        <f t="shared" si="5"/>
        <v/>
      </c>
    </row>
    <row r="336" ht="15.75" customHeight="1">
      <c r="A336" s="391"/>
      <c r="B336" s="386">
        <f t="array" ref="B336">IFERROR(INDEX(SC_OLD!A:A,MATCH($A336,SC_OLD!C:C,0)),"")</f>
        <v>0</v>
      </c>
      <c r="C336" s="387">
        <f>IF($A336="",0,IFERROR(SUMIFS(SC_OLD!D:D,SC_OLD!C:C,$A336,SC_OLD!J:J,"Entregue"),0))</f>
        <v>0</v>
      </c>
      <c r="D336" s="388">
        <f t="shared" si="1"/>
        <v>0</v>
      </c>
      <c r="E336" s="388">
        <f t="shared" si="2"/>
        <v>0</v>
      </c>
      <c r="F336" s="387">
        <f t="shared" si="3"/>
        <v>0</v>
      </c>
      <c r="G336" s="389" t="str">
        <f t="shared" si="4"/>
        <v/>
      </c>
      <c r="H336" s="386" t="str">
        <f t="shared" si="5"/>
        <v/>
      </c>
    </row>
    <row r="337" ht="15.75" customHeight="1">
      <c r="A337" s="391"/>
      <c r="B337" s="386">
        <f t="array" ref="B337">IFERROR(INDEX(SC_OLD!A:A,MATCH($A337,SC_OLD!C:C,0)),"")</f>
        <v>0</v>
      </c>
      <c r="C337" s="387">
        <f>IF($A337="",0,IFERROR(SUMIFS(SC_OLD!D:D,SC_OLD!C:C,$A337,SC_OLD!J:J,"Entregue"),0))</f>
        <v>0</v>
      </c>
      <c r="D337" s="388">
        <f t="shared" si="1"/>
        <v>0</v>
      </c>
      <c r="E337" s="388">
        <f t="shared" si="2"/>
        <v>0</v>
      </c>
      <c r="F337" s="387">
        <f t="shared" si="3"/>
        <v>0</v>
      </c>
      <c r="G337" s="389" t="str">
        <f t="shared" si="4"/>
        <v/>
      </c>
      <c r="H337" s="386" t="str">
        <f t="shared" si="5"/>
        <v/>
      </c>
    </row>
    <row r="338" ht="15.75" customHeight="1">
      <c r="A338" s="391"/>
      <c r="B338" s="386">
        <f t="array" ref="B338">IFERROR(INDEX(SC_OLD!A:A,MATCH($A338,SC_OLD!C:C,0)),"")</f>
        <v>0</v>
      </c>
      <c r="C338" s="387">
        <f>IF($A338="",0,IFERROR(SUMIFS(SC_OLD!D:D,SC_OLD!C:C,$A338,SC_OLD!J:J,"Entregue"),0))</f>
        <v>0</v>
      </c>
      <c r="D338" s="388">
        <f t="shared" si="1"/>
        <v>0</v>
      </c>
      <c r="E338" s="388">
        <f t="shared" si="2"/>
        <v>0</v>
      </c>
      <c r="F338" s="387">
        <f t="shared" si="3"/>
        <v>0</v>
      </c>
      <c r="G338" s="389" t="str">
        <f t="shared" si="4"/>
        <v/>
      </c>
      <c r="H338" s="386" t="str">
        <f t="shared" si="5"/>
        <v/>
      </c>
    </row>
    <row r="339" ht="15.75" customHeight="1">
      <c r="A339" s="391"/>
      <c r="B339" s="386">
        <f t="array" ref="B339">IFERROR(INDEX(SC_OLD!A:A,MATCH($A339,SC_OLD!C:C,0)),"")</f>
        <v>0</v>
      </c>
      <c r="C339" s="387">
        <f>IF($A339="",0,IFERROR(SUMIFS(SC_OLD!D:D,SC_OLD!C:C,$A339,SC_OLD!J:J,"Entregue"),0))</f>
        <v>0</v>
      </c>
      <c r="D339" s="388">
        <f t="shared" si="1"/>
        <v>0</v>
      </c>
      <c r="E339" s="388">
        <f t="shared" si="2"/>
        <v>0</v>
      </c>
      <c r="F339" s="387">
        <f t="shared" si="3"/>
        <v>0</v>
      </c>
      <c r="G339" s="389" t="str">
        <f t="shared" si="4"/>
        <v/>
      </c>
      <c r="H339" s="386" t="str">
        <f t="shared" si="5"/>
        <v/>
      </c>
    </row>
    <row r="340" ht="15.75" customHeight="1">
      <c r="A340" s="391"/>
      <c r="B340" s="386">
        <f t="array" ref="B340">IFERROR(INDEX(SC_OLD!A:A,MATCH($A340,SC_OLD!C:C,0)),"")</f>
        <v>0</v>
      </c>
      <c r="C340" s="387">
        <f>IF($A340="",0,IFERROR(SUMIFS(SC_OLD!D:D,SC_OLD!C:C,$A340,SC_OLD!J:J,"Entregue"),0))</f>
        <v>0</v>
      </c>
      <c r="D340" s="388">
        <f t="shared" si="1"/>
        <v>0</v>
      </c>
      <c r="E340" s="388">
        <f t="shared" si="2"/>
        <v>0</v>
      </c>
      <c r="F340" s="387">
        <f t="shared" si="3"/>
        <v>0</v>
      </c>
      <c r="G340" s="389" t="str">
        <f t="shared" si="4"/>
        <v/>
      </c>
      <c r="H340" s="386" t="str">
        <f t="shared" si="5"/>
        <v/>
      </c>
    </row>
    <row r="341" ht="15.75" customHeight="1">
      <c r="A341" s="391"/>
      <c r="B341" s="386">
        <f t="array" ref="B341">IFERROR(INDEX(SC_OLD!A:A,MATCH($A341,SC_OLD!C:C,0)),"")</f>
        <v>0</v>
      </c>
      <c r="C341" s="387">
        <f>IF($A341="",0,IFERROR(SUMIFS(SC_OLD!D:D,SC_OLD!C:C,$A341,SC_OLD!J:J,"Entregue"),0))</f>
        <v>0</v>
      </c>
      <c r="D341" s="388">
        <f t="shared" si="1"/>
        <v>0</v>
      </c>
      <c r="E341" s="388">
        <f t="shared" si="2"/>
        <v>0</v>
      </c>
      <c r="F341" s="387">
        <f t="shared" si="3"/>
        <v>0</v>
      </c>
      <c r="G341" s="389" t="str">
        <f t="shared" si="4"/>
        <v/>
      </c>
      <c r="H341" s="386" t="str">
        <f t="shared" si="5"/>
        <v/>
      </c>
    </row>
    <row r="342" ht="15.75" customHeight="1">
      <c r="A342" s="391"/>
      <c r="B342" s="386">
        <f t="array" ref="B342">IFERROR(INDEX(SC_OLD!A:A,MATCH($A342,SC_OLD!C:C,0)),"")</f>
        <v>0</v>
      </c>
      <c r="C342" s="387">
        <f>IF($A342="",0,IFERROR(SUMIFS(SC_OLD!D:D,SC_OLD!C:C,$A342,SC_OLD!J:J,"Entregue"),0))</f>
        <v>0</v>
      </c>
      <c r="D342" s="388">
        <f t="shared" si="1"/>
        <v>0</v>
      </c>
      <c r="E342" s="388">
        <f t="shared" si="2"/>
        <v>0</v>
      </c>
      <c r="F342" s="387">
        <f t="shared" si="3"/>
        <v>0</v>
      </c>
      <c r="G342" s="389" t="str">
        <f t="shared" si="4"/>
        <v/>
      </c>
      <c r="H342" s="386" t="str">
        <f t="shared" si="5"/>
        <v/>
      </c>
    </row>
    <row r="343" ht="15.75" customHeight="1">
      <c r="A343" s="391"/>
      <c r="B343" s="386">
        <f t="array" ref="B343">IFERROR(INDEX(SC_OLD!A:A,MATCH($A343,SC_OLD!C:C,0)),"")</f>
        <v>0</v>
      </c>
      <c r="C343" s="387">
        <f>IF($A343="",0,IFERROR(SUMIFS(SC_OLD!D:D,SC_OLD!C:C,$A343,SC_OLD!J:J,"Entregue"),0))</f>
        <v>0</v>
      </c>
      <c r="D343" s="388">
        <f t="shared" si="1"/>
        <v>0</v>
      </c>
      <c r="E343" s="388">
        <f t="shared" si="2"/>
        <v>0</v>
      </c>
      <c r="F343" s="387">
        <f t="shared" si="3"/>
        <v>0</v>
      </c>
      <c r="G343" s="389" t="str">
        <f t="shared" si="4"/>
        <v/>
      </c>
      <c r="H343" s="386" t="str">
        <f t="shared" si="5"/>
        <v/>
      </c>
    </row>
    <row r="344" ht="15.75" customHeight="1">
      <c r="A344" s="391"/>
      <c r="B344" s="386">
        <f t="array" ref="B344">IFERROR(INDEX(SC_OLD!A:A,MATCH($A344,SC_OLD!C:C,0)),"")</f>
        <v>0</v>
      </c>
      <c r="C344" s="387">
        <f>IF($A344="",0,IFERROR(SUMIFS(SC_OLD!D:D,SC_OLD!C:C,$A344,SC_OLD!J:J,"Entregue"),0))</f>
        <v>0</v>
      </c>
      <c r="D344" s="388">
        <f t="shared" si="1"/>
        <v>0</v>
      </c>
      <c r="E344" s="388">
        <f t="shared" si="2"/>
        <v>0</v>
      </c>
      <c r="F344" s="387">
        <f t="shared" si="3"/>
        <v>0</v>
      </c>
      <c r="G344" s="389" t="str">
        <f t="shared" si="4"/>
        <v/>
      </c>
      <c r="H344" s="386" t="str">
        <f t="shared" si="5"/>
        <v/>
      </c>
    </row>
    <row r="345" ht="15.75" customHeight="1">
      <c r="A345" s="391"/>
      <c r="B345" s="386">
        <f t="array" ref="B345">IFERROR(INDEX(SC_OLD!A:A,MATCH($A345,SC_OLD!C:C,0)),"")</f>
        <v>0</v>
      </c>
      <c r="C345" s="387">
        <f>IF($A345="",0,IFERROR(SUMIFS(SC_OLD!D:D,SC_OLD!C:C,$A345,SC_OLD!J:J,"Entregue"),0))</f>
        <v>0</v>
      </c>
      <c r="D345" s="388">
        <f t="shared" si="1"/>
        <v>0</v>
      </c>
      <c r="E345" s="388">
        <f t="shared" si="2"/>
        <v>0</v>
      </c>
      <c r="F345" s="387">
        <f t="shared" si="3"/>
        <v>0</v>
      </c>
      <c r="G345" s="389" t="str">
        <f t="shared" si="4"/>
        <v/>
      </c>
      <c r="H345" s="386" t="str">
        <f t="shared" si="5"/>
        <v/>
      </c>
    </row>
    <row r="346" ht="15.75" customHeight="1">
      <c r="A346" s="391"/>
      <c r="B346" s="386">
        <f t="array" ref="B346">IFERROR(INDEX(SC_OLD!A:A,MATCH($A346,SC_OLD!C:C,0)),"")</f>
        <v>0</v>
      </c>
      <c r="C346" s="387">
        <f>IF($A346="",0,IFERROR(SUMIFS(SC_OLD!D:D,SC_OLD!C:C,$A346,SC_OLD!J:J,"Entregue"),0))</f>
        <v>0</v>
      </c>
      <c r="D346" s="388">
        <f t="shared" si="1"/>
        <v>0</v>
      </c>
      <c r="E346" s="388">
        <f t="shared" si="2"/>
        <v>0</v>
      </c>
      <c r="F346" s="387">
        <f t="shared" si="3"/>
        <v>0</v>
      </c>
      <c r="G346" s="389" t="str">
        <f t="shared" si="4"/>
        <v/>
      </c>
      <c r="H346" s="386" t="str">
        <f t="shared" si="5"/>
        <v/>
      </c>
    </row>
    <row r="347" ht="15.75" customHeight="1">
      <c r="A347" s="391"/>
      <c r="B347" s="386">
        <f t="array" ref="B347">IFERROR(INDEX(SC_OLD!A:A,MATCH($A347,SC_OLD!C:C,0)),"")</f>
        <v>0</v>
      </c>
      <c r="C347" s="387">
        <f>IF($A347="",0,IFERROR(SUMIFS(SC_OLD!D:D,SC_OLD!C:C,$A347,SC_OLD!J:J,"Entregue"),0))</f>
        <v>0</v>
      </c>
      <c r="D347" s="388">
        <f t="shared" si="1"/>
        <v>0</v>
      </c>
      <c r="E347" s="388">
        <f t="shared" si="2"/>
        <v>0</v>
      </c>
      <c r="F347" s="387">
        <f t="shared" si="3"/>
        <v>0</v>
      </c>
      <c r="G347" s="389" t="str">
        <f t="shared" si="4"/>
        <v/>
      </c>
      <c r="H347" s="386" t="str">
        <f t="shared" si="5"/>
        <v/>
      </c>
    </row>
    <row r="348" ht="15.75" customHeight="1">
      <c r="A348" s="391"/>
      <c r="B348" s="386">
        <f t="array" ref="B348">IFERROR(INDEX(SC_OLD!A:A,MATCH($A348,SC_OLD!C:C,0)),"")</f>
        <v>0</v>
      </c>
      <c r="C348" s="387">
        <f>IF($A348="",0,IFERROR(SUMIFS(SC_OLD!D:D,SC_OLD!C:C,$A348,SC_OLD!J:J,"Entregue"),0))</f>
        <v>0</v>
      </c>
      <c r="D348" s="388">
        <f t="shared" si="1"/>
        <v>0</v>
      </c>
      <c r="E348" s="388">
        <f t="shared" si="2"/>
        <v>0</v>
      </c>
      <c r="F348" s="387">
        <f t="shared" si="3"/>
        <v>0</v>
      </c>
      <c r="G348" s="389" t="str">
        <f t="shared" si="4"/>
        <v/>
      </c>
      <c r="H348" s="386" t="str">
        <f t="shared" si="5"/>
        <v/>
      </c>
    </row>
    <row r="349" ht="15.75" customHeight="1">
      <c r="A349" s="391"/>
      <c r="B349" s="386">
        <f t="array" ref="B349">IFERROR(INDEX(SC_OLD!A:A,MATCH($A349,SC_OLD!C:C,0)),"")</f>
        <v>0</v>
      </c>
      <c r="C349" s="387">
        <f>IF($A349="",0,IFERROR(SUMIFS(SC_OLD!D:D,SC_OLD!C:C,$A349,SC_OLD!J:J,"Entregue"),0))</f>
        <v>0</v>
      </c>
      <c r="D349" s="388">
        <f t="shared" si="1"/>
        <v>0</v>
      </c>
      <c r="E349" s="388">
        <f t="shared" si="2"/>
        <v>0</v>
      </c>
      <c r="F349" s="387">
        <f t="shared" si="3"/>
        <v>0</v>
      </c>
      <c r="G349" s="389" t="str">
        <f t="shared" si="4"/>
        <v/>
      </c>
      <c r="H349" s="386" t="str">
        <f t="shared" si="5"/>
        <v/>
      </c>
    </row>
    <row r="350" ht="15.75" customHeight="1">
      <c r="A350" s="391"/>
      <c r="B350" s="386">
        <f t="array" ref="B350">IFERROR(INDEX(SC_OLD!A:A,MATCH($A350,SC_OLD!C:C,0)),"")</f>
        <v>0</v>
      </c>
      <c r="C350" s="387">
        <f>IF($A350="",0,IFERROR(SUMIFS(SC_OLD!D:D,SC_OLD!C:C,$A350,SC_OLD!J:J,"Entregue"),0))</f>
        <v>0</v>
      </c>
      <c r="D350" s="388">
        <f t="shared" si="1"/>
        <v>0</v>
      </c>
      <c r="E350" s="388">
        <f t="shared" si="2"/>
        <v>0</v>
      </c>
      <c r="F350" s="387">
        <f t="shared" si="3"/>
        <v>0</v>
      </c>
      <c r="G350" s="389" t="str">
        <f t="shared" si="4"/>
        <v/>
      </c>
      <c r="H350" s="386" t="str">
        <f t="shared" si="5"/>
        <v/>
      </c>
    </row>
    <row r="351" ht="15.75" customHeight="1">
      <c r="A351" s="391"/>
      <c r="B351" s="386">
        <f t="array" ref="B351">IFERROR(INDEX(SC_OLD!A:A,MATCH($A351,SC_OLD!C:C,0)),"")</f>
        <v>0</v>
      </c>
      <c r="C351" s="387">
        <f>IF($A351="",0,IFERROR(SUMIFS(SC_OLD!D:D,SC_OLD!C:C,$A351,SC_OLD!J:J,"Entregue"),0))</f>
        <v>0</v>
      </c>
      <c r="D351" s="388">
        <f t="shared" si="1"/>
        <v>0</v>
      </c>
      <c r="E351" s="388">
        <f t="shared" si="2"/>
        <v>0</v>
      </c>
      <c r="F351" s="387">
        <f t="shared" si="3"/>
        <v>0</v>
      </c>
      <c r="G351" s="389" t="str">
        <f t="shared" si="4"/>
        <v/>
      </c>
      <c r="H351" s="386" t="str">
        <f t="shared" si="5"/>
        <v/>
      </c>
    </row>
    <row r="352" ht="15.75" customHeight="1">
      <c r="A352" s="391"/>
      <c r="B352" s="386">
        <f t="array" ref="B352">IFERROR(INDEX(SC_OLD!A:A,MATCH($A352,SC_OLD!C:C,0)),"")</f>
        <v>0</v>
      </c>
      <c r="C352" s="387">
        <f>IF($A352="",0,IFERROR(SUMIFS(SC_OLD!D:D,SC_OLD!C:C,$A352,SC_OLD!J:J,"Entregue"),0))</f>
        <v>0</v>
      </c>
      <c r="D352" s="388">
        <f t="shared" si="1"/>
        <v>0</v>
      </c>
      <c r="E352" s="388">
        <f t="shared" si="2"/>
        <v>0</v>
      </c>
      <c r="F352" s="387">
        <f t="shared" si="3"/>
        <v>0</v>
      </c>
      <c r="G352" s="389" t="str">
        <f t="shared" si="4"/>
        <v/>
      </c>
      <c r="H352" s="386" t="str">
        <f t="shared" si="5"/>
        <v/>
      </c>
    </row>
    <row r="353" ht="15.75" customHeight="1">
      <c r="A353" s="391"/>
      <c r="B353" s="386">
        <f t="array" ref="B353">IFERROR(INDEX(SC_OLD!A:A,MATCH($A353,SC_OLD!C:C,0)),"")</f>
        <v>0</v>
      </c>
      <c r="C353" s="387">
        <f>IF($A353="",0,IFERROR(SUMIFS(SC_OLD!D:D,SC_OLD!C:C,$A353,SC_OLD!J:J,"Entregue"),0))</f>
        <v>0</v>
      </c>
      <c r="D353" s="388">
        <f t="shared" si="1"/>
        <v>0</v>
      </c>
      <c r="E353" s="388">
        <f t="shared" si="2"/>
        <v>0</v>
      </c>
      <c r="F353" s="387">
        <f t="shared" si="3"/>
        <v>0</v>
      </c>
      <c r="G353" s="389" t="str">
        <f t="shared" si="4"/>
        <v/>
      </c>
      <c r="H353" s="386" t="str">
        <f t="shared" si="5"/>
        <v/>
      </c>
    </row>
    <row r="354" ht="15.75" customHeight="1">
      <c r="A354" s="391"/>
      <c r="B354" s="386">
        <f t="array" ref="B354">IFERROR(INDEX(SC_OLD!A:A,MATCH($A354,SC_OLD!C:C,0)),"")</f>
        <v>0</v>
      </c>
      <c r="C354" s="387">
        <f>IF($A354="",0,IFERROR(SUMIFS(SC_OLD!D:D,SC_OLD!C:C,$A354,SC_OLD!J:J,"Entregue"),0))</f>
        <v>0</v>
      </c>
      <c r="D354" s="388">
        <f t="shared" si="1"/>
        <v>0</v>
      </c>
      <c r="E354" s="388">
        <f t="shared" si="2"/>
        <v>0</v>
      </c>
      <c r="F354" s="387">
        <f t="shared" si="3"/>
        <v>0</v>
      </c>
      <c r="G354" s="389" t="str">
        <f t="shared" si="4"/>
        <v/>
      </c>
      <c r="H354" s="386" t="str">
        <f t="shared" si="5"/>
        <v/>
      </c>
    </row>
    <row r="355" ht="15.75" customHeight="1">
      <c r="A355" s="391"/>
      <c r="B355" s="386">
        <f t="array" ref="B355">IFERROR(INDEX(SC_OLD!A:A,MATCH($A355,SC_OLD!C:C,0)),"")</f>
        <v>0</v>
      </c>
      <c r="C355" s="387">
        <f>IF($A355="",0,IFERROR(SUMIFS(SC_OLD!D:D,SC_OLD!C:C,$A355,SC_OLD!J:J,"Entregue"),0))</f>
        <v>0</v>
      </c>
      <c r="D355" s="388">
        <f t="shared" si="1"/>
        <v>0</v>
      </c>
      <c r="E355" s="388">
        <f t="shared" si="2"/>
        <v>0</v>
      </c>
      <c r="F355" s="387">
        <f t="shared" si="3"/>
        <v>0</v>
      </c>
      <c r="G355" s="389" t="str">
        <f t="shared" si="4"/>
        <v/>
      </c>
      <c r="H355" s="386" t="str">
        <f t="shared" si="5"/>
        <v/>
      </c>
    </row>
    <row r="356" ht="15.75" customHeight="1">
      <c r="A356" s="391"/>
      <c r="B356" s="386">
        <f t="array" ref="B356">IFERROR(INDEX(SC_OLD!A:A,MATCH($A356,SC_OLD!C:C,0)),"")</f>
        <v>0</v>
      </c>
      <c r="C356" s="387">
        <f>IF($A356="",0,IFERROR(SUMIFS(SC_OLD!D:D,SC_OLD!C:C,$A356,SC_OLD!J:J,"Entregue"),0))</f>
        <v>0</v>
      </c>
      <c r="D356" s="388">
        <f t="shared" si="1"/>
        <v>0</v>
      </c>
      <c r="E356" s="388">
        <f t="shared" si="2"/>
        <v>0</v>
      </c>
      <c r="F356" s="387">
        <f t="shared" si="3"/>
        <v>0</v>
      </c>
      <c r="G356" s="389" t="str">
        <f t="shared" si="4"/>
        <v/>
      </c>
      <c r="H356" s="386" t="str">
        <f t="shared" si="5"/>
        <v/>
      </c>
    </row>
    <row r="357" ht="15.75" customHeight="1">
      <c r="A357" s="391"/>
      <c r="B357" s="386">
        <f t="array" ref="B357">IFERROR(INDEX(SC_OLD!A:A,MATCH($A357,SC_OLD!C:C,0)),"")</f>
        <v>0</v>
      </c>
      <c r="C357" s="387">
        <f>IF($A357="",0,IFERROR(SUMIFS(SC_OLD!D:D,SC_OLD!C:C,$A357,SC_OLD!J:J,"Entregue"),0))</f>
        <v>0</v>
      </c>
      <c r="D357" s="388">
        <f t="shared" si="1"/>
        <v>0</v>
      </c>
      <c r="E357" s="388">
        <f t="shared" si="2"/>
        <v>0</v>
      </c>
      <c r="F357" s="387">
        <f t="shared" si="3"/>
        <v>0</v>
      </c>
      <c r="G357" s="389" t="str">
        <f t="shared" si="4"/>
        <v/>
      </c>
      <c r="H357" s="386" t="str">
        <f t="shared" si="5"/>
        <v/>
      </c>
    </row>
    <row r="358" ht="15.75" customHeight="1">
      <c r="A358" s="391"/>
      <c r="B358" s="386">
        <f t="array" ref="B358">IFERROR(INDEX(SC_OLD!A:A,MATCH($A358,SC_OLD!C:C,0)),"")</f>
        <v>0</v>
      </c>
      <c r="C358" s="387">
        <f>IF($A358="",0,IFERROR(SUMIFS(SC_OLD!D:D,SC_OLD!C:C,$A358,SC_OLD!J:J,"Entregue"),0))</f>
        <v>0</v>
      </c>
      <c r="D358" s="388">
        <f t="shared" si="1"/>
        <v>0</v>
      </c>
      <c r="E358" s="388">
        <f t="shared" si="2"/>
        <v>0</v>
      </c>
      <c r="F358" s="387">
        <f t="shared" si="3"/>
        <v>0</v>
      </c>
      <c r="G358" s="389" t="str">
        <f t="shared" si="4"/>
        <v/>
      </c>
      <c r="H358" s="386" t="str">
        <f t="shared" si="5"/>
        <v/>
      </c>
    </row>
    <row r="359" ht="15.75" customHeight="1">
      <c r="A359" s="391"/>
      <c r="B359" s="386">
        <f t="array" ref="B359">IFERROR(INDEX(SC_OLD!A:A,MATCH($A359,SC_OLD!C:C,0)),"")</f>
        <v>0</v>
      </c>
      <c r="C359" s="387">
        <f>IF($A359="",0,IFERROR(SUMIFS(SC_OLD!D:D,SC_OLD!C:C,$A359,SC_OLD!J:J,"Entregue"),0))</f>
        <v>0</v>
      </c>
      <c r="D359" s="388">
        <f t="shared" si="1"/>
        <v>0</v>
      </c>
      <c r="E359" s="388">
        <f t="shared" si="2"/>
        <v>0</v>
      </c>
      <c r="F359" s="387">
        <f t="shared" si="3"/>
        <v>0</v>
      </c>
      <c r="G359" s="389" t="str">
        <f t="shared" si="4"/>
        <v/>
      </c>
      <c r="H359" s="386" t="str">
        <f t="shared" si="5"/>
        <v/>
      </c>
    </row>
    <row r="360" ht="15.75" customHeight="1">
      <c r="A360" s="391"/>
      <c r="B360" s="386">
        <f t="array" ref="B360">IFERROR(INDEX(SC_OLD!A:A,MATCH($A360,SC_OLD!C:C,0)),"")</f>
        <v>0</v>
      </c>
      <c r="C360" s="387">
        <f>IF($A360="",0,IFERROR(SUMIFS(SC_OLD!D:D,SC_OLD!C:C,$A360,SC_OLD!J:J,"Entregue"),0))</f>
        <v>0</v>
      </c>
      <c r="D360" s="388">
        <f t="shared" si="1"/>
        <v>0</v>
      </c>
      <c r="E360" s="388">
        <f t="shared" si="2"/>
        <v>0</v>
      </c>
      <c r="F360" s="387">
        <f t="shared" si="3"/>
        <v>0</v>
      </c>
      <c r="G360" s="389" t="str">
        <f t="shared" si="4"/>
        <v/>
      </c>
      <c r="H360" s="386" t="str">
        <f t="shared" si="5"/>
        <v/>
      </c>
    </row>
    <row r="361" ht="15.75" customHeight="1">
      <c r="A361" s="391"/>
      <c r="B361" s="386">
        <f t="array" ref="B361">IFERROR(INDEX(SC_OLD!A:A,MATCH($A361,SC_OLD!C:C,0)),"")</f>
        <v>0</v>
      </c>
      <c r="C361" s="387">
        <f>IF($A361="",0,IFERROR(SUMIFS(SC_OLD!D:D,SC_OLD!C:C,$A361,SC_OLD!J:J,"Entregue"),0))</f>
        <v>0</v>
      </c>
      <c r="D361" s="388">
        <f t="shared" si="1"/>
        <v>0</v>
      </c>
      <c r="E361" s="388">
        <f t="shared" si="2"/>
        <v>0</v>
      </c>
      <c r="F361" s="387">
        <f t="shared" si="3"/>
        <v>0</v>
      </c>
      <c r="G361" s="389" t="str">
        <f t="shared" si="4"/>
        <v/>
      </c>
      <c r="H361" s="386" t="str">
        <f t="shared" si="5"/>
        <v/>
      </c>
    </row>
    <row r="362" ht="15.75" customHeight="1">
      <c r="A362" s="391"/>
      <c r="B362" s="386">
        <f t="array" ref="B362">IFERROR(INDEX(SC_OLD!A:A,MATCH($A362,SC_OLD!C:C,0)),"")</f>
        <v>0</v>
      </c>
      <c r="C362" s="387">
        <f>IF($A362="",0,IFERROR(SUMIFS(SC_OLD!D:D,SC_OLD!C:C,$A362,SC_OLD!J:J,"Entregue"),0))</f>
        <v>0</v>
      </c>
      <c r="D362" s="388">
        <f t="shared" si="1"/>
        <v>0</v>
      </c>
      <c r="E362" s="388">
        <f t="shared" si="2"/>
        <v>0</v>
      </c>
      <c r="F362" s="387">
        <f t="shared" si="3"/>
        <v>0</v>
      </c>
      <c r="G362" s="389" t="str">
        <f t="shared" si="4"/>
        <v/>
      </c>
      <c r="H362" s="386" t="str">
        <f t="shared" si="5"/>
        <v/>
      </c>
    </row>
    <row r="363" ht="15.75" customHeight="1">
      <c r="A363" s="391"/>
      <c r="B363" s="386">
        <f t="array" ref="B363">IFERROR(INDEX(SC_OLD!A:A,MATCH($A363,SC_OLD!C:C,0)),"")</f>
        <v>0</v>
      </c>
      <c r="C363" s="387">
        <f>IF($A363="",0,IFERROR(SUMIFS(SC_OLD!D:D,SC_OLD!C:C,$A363,SC_OLD!J:J,"Entregue"),0))</f>
        <v>0</v>
      </c>
      <c r="D363" s="388">
        <f t="shared" si="1"/>
        <v>0</v>
      </c>
      <c r="E363" s="388">
        <f t="shared" si="2"/>
        <v>0</v>
      </c>
      <c r="F363" s="387">
        <f t="shared" si="3"/>
        <v>0</v>
      </c>
      <c r="G363" s="389" t="str">
        <f t="shared" si="4"/>
        <v/>
      </c>
      <c r="H363" s="386" t="str">
        <f t="shared" si="5"/>
        <v/>
      </c>
    </row>
    <row r="364" ht="15.75" customHeight="1">
      <c r="A364" s="391"/>
      <c r="B364" s="386">
        <f t="array" ref="B364">IFERROR(INDEX(SC_OLD!A:A,MATCH($A364,SC_OLD!C:C,0)),"")</f>
        <v>0</v>
      </c>
      <c r="C364" s="387">
        <f>IF($A364="",0,IFERROR(SUMIFS(SC_OLD!D:D,SC_OLD!C:C,$A364,SC_OLD!J:J,"Entregue"),0))</f>
        <v>0</v>
      </c>
      <c r="D364" s="388">
        <f t="shared" si="1"/>
        <v>0</v>
      </c>
      <c r="E364" s="388">
        <f t="shared" si="2"/>
        <v>0</v>
      </c>
      <c r="F364" s="387">
        <f t="shared" si="3"/>
        <v>0</v>
      </c>
      <c r="G364" s="389" t="str">
        <f t="shared" si="4"/>
        <v/>
      </c>
      <c r="H364" s="386" t="str">
        <f t="shared" si="5"/>
        <v/>
      </c>
    </row>
    <row r="365" ht="15.75" customHeight="1">
      <c r="A365" s="391"/>
      <c r="B365" s="386">
        <f t="array" ref="B365">IFERROR(INDEX(SC_OLD!A:A,MATCH($A365,SC_OLD!C:C,0)),"")</f>
        <v>0</v>
      </c>
      <c r="C365" s="387">
        <f>IF($A365="",0,IFERROR(SUMIFS(SC_OLD!D:D,SC_OLD!C:C,$A365,SC_OLD!J:J,"Entregue"),0))</f>
        <v>0</v>
      </c>
      <c r="D365" s="388">
        <f t="shared" si="1"/>
        <v>0</v>
      </c>
      <c r="E365" s="388">
        <f t="shared" si="2"/>
        <v>0</v>
      </c>
      <c r="F365" s="387">
        <f t="shared" si="3"/>
        <v>0</v>
      </c>
      <c r="G365" s="389" t="str">
        <f t="shared" si="4"/>
        <v/>
      </c>
      <c r="H365" s="386" t="str">
        <f t="shared" si="5"/>
        <v/>
      </c>
    </row>
    <row r="366" ht="15.75" customHeight="1">
      <c r="A366" s="391"/>
      <c r="B366" s="386">
        <f t="array" ref="B366">IFERROR(INDEX(SC_OLD!A:A,MATCH($A366,SC_OLD!C:C,0)),"")</f>
        <v>0</v>
      </c>
      <c r="C366" s="387">
        <f>IF($A366="",0,IFERROR(SUMIFS(SC_OLD!D:D,SC_OLD!C:C,$A366,SC_OLD!J:J,"Entregue"),0))</f>
        <v>0</v>
      </c>
      <c r="D366" s="388">
        <f t="shared" si="1"/>
        <v>0</v>
      </c>
      <c r="E366" s="388">
        <f t="shared" si="2"/>
        <v>0</v>
      </c>
      <c r="F366" s="387">
        <f t="shared" si="3"/>
        <v>0</v>
      </c>
      <c r="G366" s="389" t="str">
        <f t="shared" si="4"/>
        <v/>
      </c>
      <c r="H366" s="386" t="str">
        <f t="shared" si="5"/>
        <v/>
      </c>
    </row>
    <row r="367" ht="15.75" customHeight="1">
      <c r="A367" s="391"/>
      <c r="B367" s="386">
        <f t="array" ref="B367">IFERROR(INDEX(SC_OLD!A:A,MATCH($A367,SC_OLD!C:C,0)),"")</f>
        <v>0</v>
      </c>
      <c r="C367" s="387">
        <f>IF($A367="",0,IFERROR(SUMIFS(SC_OLD!D:D,SC_OLD!C:C,$A367,SC_OLD!J:J,"Entregue"),0))</f>
        <v>0</v>
      </c>
      <c r="D367" s="388">
        <f t="shared" si="1"/>
        <v>0</v>
      </c>
      <c r="E367" s="388">
        <f t="shared" si="2"/>
        <v>0</v>
      </c>
      <c r="F367" s="387">
        <f t="shared" si="3"/>
        <v>0</v>
      </c>
      <c r="G367" s="389" t="str">
        <f t="shared" si="4"/>
        <v/>
      </c>
      <c r="H367" s="386" t="str">
        <f t="shared" si="5"/>
        <v/>
      </c>
    </row>
    <row r="368" ht="15.75" customHeight="1">
      <c r="A368" s="391"/>
      <c r="B368" s="386">
        <f t="array" ref="B368">IFERROR(INDEX(SC_OLD!A:A,MATCH($A368,SC_OLD!C:C,0)),"")</f>
        <v>0</v>
      </c>
      <c r="C368" s="387">
        <f>IF($A368="",0,IFERROR(SUMIFS(SC_OLD!D:D,SC_OLD!C:C,$A368,SC_OLD!J:J,"Entregue"),0))</f>
        <v>0</v>
      </c>
      <c r="D368" s="388">
        <f t="shared" si="1"/>
        <v>0</v>
      </c>
      <c r="E368" s="388">
        <f t="shared" si="2"/>
        <v>0</v>
      </c>
      <c r="F368" s="387">
        <f t="shared" si="3"/>
        <v>0</v>
      </c>
      <c r="G368" s="389" t="str">
        <f t="shared" si="4"/>
        <v/>
      </c>
      <c r="H368" s="386" t="str">
        <f t="shared" si="5"/>
        <v/>
      </c>
    </row>
    <row r="369" ht="15.75" customHeight="1">
      <c r="A369" s="391"/>
      <c r="B369" s="386">
        <f t="array" ref="B369">IFERROR(INDEX(SC_OLD!A:A,MATCH($A369,SC_OLD!C:C,0)),"")</f>
        <v>0</v>
      </c>
      <c r="C369" s="387">
        <f>IF($A369="",0,IFERROR(SUMIFS(SC_OLD!D:D,SC_OLD!C:C,$A369,SC_OLD!J:J,"Entregue"),0))</f>
        <v>0</v>
      </c>
      <c r="D369" s="388">
        <f t="shared" si="1"/>
        <v>0</v>
      </c>
      <c r="E369" s="388">
        <f t="shared" si="2"/>
        <v>0</v>
      </c>
      <c r="F369" s="387">
        <f t="shared" si="3"/>
        <v>0</v>
      </c>
      <c r="G369" s="389" t="str">
        <f t="shared" si="4"/>
        <v/>
      </c>
      <c r="H369" s="386" t="str">
        <f t="shared" si="5"/>
        <v/>
      </c>
    </row>
    <row r="370" ht="15.75" customHeight="1">
      <c r="A370" s="391"/>
      <c r="B370" s="386">
        <f t="array" ref="B370">IFERROR(INDEX(SC_OLD!A:A,MATCH($A370,SC_OLD!C:C,0)),"")</f>
        <v>0</v>
      </c>
      <c r="C370" s="387">
        <f>IF($A370="",0,IFERROR(SUMIFS(SC_OLD!D:D,SC_OLD!C:C,$A370,SC_OLD!J:J,"Entregue"),0))</f>
        <v>0</v>
      </c>
      <c r="D370" s="388">
        <f t="shared" si="1"/>
        <v>0</v>
      </c>
      <c r="E370" s="388">
        <f t="shared" si="2"/>
        <v>0</v>
      </c>
      <c r="F370" s="387">
        <f t="shared" si="3"/>
        <v>0</v>
      </c>
      <c r="G370" s="389" t="str">
        <f t="shared" si="4"/>
        <v/>
      </c>
      <c r="H370" s="386" t="str">
        <f t="shared" si="5"/>
        <v/>
      </c>
    </row>
    <row r="371" ht="15.75" customHeight="1">
      <c r="A371" s="391"/>
      <c r="B371" s="386">
        <f t="array" ref="B371">IFERROR(INDEX(SC_OLD!A:A,MATCH($A371,SC_OLD!C:C,0)),"")</f>
        <v>0</v>
      </c>
      <c r="C371" s="387">
        <f>IF($A371="",0,IFERROR(SUMIFS(SC_OLD!D:D,SC_OLD!C:C,$A371,SC_OLD!J:J,"Entregue"),0))</f>
        <v>0</v>
      </c>
      <c r="D371" s="388">
        <f t="shared" si="1"/>
        <v>0</v>
      </c>
      <c r="E371" s="388">
        <f t="shared" si="2"/>
        <v>0</v>
      </c>
      <c r="F371" s="387">
        <f t="shared" si="3"/>
        <v>0</v>
      </c>
      <c r="G371" s="389" t="str">
        <f t="shared" si="4"/>
        <v/>
      </c>
      <c r="H371" s="386" t="str">
        <f t="shared" si="5"/>
        <v/>
      </c>
    </row>
    <row r="372" ht="15.75" customHeight="1">
      <c r="A372" s="391"/>
      <c r="B372" s="386">
        <f t="array" ref="B372">IFERROR(INDEX(SC_OLD!A:A,MATCH($A372,SC_OLD!C:C,0)),"")</f>
        <v>0</v>
      </c>
      <c r="C372" s="387">
        <f>IF($A372="",0,IFERROR(SUMIFS(SC_OLD!D:D,SC_OLD!C:C,$A372,SC_OLD!J:J,"Entregue"),0))</f>
        <v>0</v>
      </c>
      <c r="D372" s="388">
        <f t="shared" si="1"/>
        <v>0</v>
      </c>
      <c r="E372" s="388">
        <f t="shared" si="2"/>
        <v>0</v>
      </c>
      <c r="F372" s="387">
        <f t="shared" si="3"/>
        <v>0</v>
      </c>
      <c r="G372" s="389" t="str">
        <f t="shared" si="4"/>
        <v/>
      </c>
      <c r="H372" s="386" t="str">
        <f t="shared" si="5"/>
        <v/>
      </c>
    </row>
    <row r="373" ht="15.75" customHeight="1">
      <c r="A373" s="391"/>
      <c r="B373" s="386">
        <f t="array" ref="B373">IFERROR(INDEX(SC_OLD!A:A,MATCH($A373,SC_OLD!C:C,0)),"")</f>
        <v>0</v>
      </c>
      <c r="C373" s="387">
        <f>IF($A373="",0,IFERROR(SUMIFS(SC_OLD!D:D,SC_OLD!C:C,$A373,SC_OLD!J:J,"Entregue"),0))</f>
        <v>0</v>
      </c>
      <c r="D373" s="388">
        <f t="shared" si="1"/>
        <v>0</v>
      </c>
      <c r="E373" s="388">
        <f t="shared" si="2"/>
        <v>0</v>
      </c>
      <c r="F373" s="387">
        <f t="shared" si="3"/>
        <v>0</v>
      </c>
      <c r="G373" s="389" t="str">
        <f t="shared" si="4"/>
        <v/>
      </c>
      <c r="H373" s="386" t="str">
        <f t="shared" si="5"/>
        <v/>
      </c>
    </row>
    <row r="374" ht="15.75" customHeight="1">
      <c r="A374" s="391"/>
      <c r="B374" s="386">
        <f t="array" ref="B374">IFERROR(INDEX(SC_OLD!A:A,MATCH($A374,SC_OLD!C:C,0)),"")</f>
        <v>0</v>
      </c>
      <c r="C374" s="387">
        <f>IF($A374="",0,IFERROR(SUMIFS(SC_OLD!D:D,SC_OLD!C:C,$A374,SC_OLD!J:J,"Entregue"),0))</f>
        <v>0</v>
      </c>
      <c r="D374" s="388">
        <f t="shared" si="1"/>
        <v>0</v>
      </c>
      <c r="E374" s="388">
        <f t="shared" si="2"/>
        <v>0</v>
      </c>
      <c r="F374" s="387">
        <f t="shared" si="3"/>
        <v>0</v>
      </c>
      <c r="G374" s="389" t="str">
        <f t="shared" si="4"/>
        <v/>
      </c>
      <c r="H374" s="386" t="str">
        <f t="shared" si="5"/>
        <v/>
      </c>
    </row>
    <row r="375" ht="15.75" customHeight="1">
      <c r="A375" s="391"/>
      <c r="B375" s="386">
        <f t="array" ref="B375">IFERROR(INDEX(SC_OLD!A:A,MATCH($A375,SC_OLD!C:C,0)),"")</f>
        <v>0</v>
      </c>
      <c r="C375" s="387">
        <f>IF($A375="",0,IFERROR(SUMIFS(SC_OLD!D:D,SC_OLD!C:C,$A375,SC_OLD!J:J,"Entregue"),0))</f>
        <v>0</v>
      </c>
      <c r="D375" s="388">
        <f t="shared" si="1"/>
        <v>0</v>
      </c>
      <c r="E375" s="388">
        <f t="shared" si="2"/>
        <v>0</v>
      </c>
      <c r="F375" s="387">
        <f t="shared" si="3"/>
        <v>0</v>
      </c>
      <c r="G375" s="389" t="str">
        <f t="shared" si="4"/>
        <v/>
      </c>
      <c r="H375" s="386" t="str">
        <f t="shared" si="5"/>
        <v/>
      </c>
    </row>
    <row r="376" ht="15.75" customHeight="1">
      <c r="A376" s="391"/>
      <c r="B376" s="386">
        <f t="array" ref="B376">IFERROR(INDEX(SC_OLD!A:A,MATCH($A376,SC_OLD!C:C,0)),"")</f>
        <v>0</v>
      </c>
      <c r="C376" s="387">
        <f>IF($A376="",0,IFERROR(SUMIFS(SC_OLD!D:D,SC_OLD!C:C,$A376,SC_OLD!J:J,"Entregue"),0))</f>
        <v>0</v>
      </c>
      <c r="D376" s="388">
        <f t="shared" si="1"/>
        <v>0</v>
      </c>
      <c r="E376" s="388">
        <f t="shared" si="2"/>
        <v>0</v>
      </c>
      <c r="F376" s="387">
        <f t="shared" si="3"/>
        <v>0</v>
      </c>
      <c r="G376" s="389" t="str">
        <f t="shared" si="4"/>
        <v/>
      </c>
      <c r="H376" s="386" t="str">
        <f t="shared" si="5"/>
        <v/>
      </c>
    </row>
    <row r="377" ht="15.75" customHeight="1">
      <c r="A377" s="391"/>
      <c r="B377" s="386">
        <f t="array" ref="B377">IFERROR(INDEX(SC_OLD!A:A,MATCH($A377,SC_OLD!C:C,0)),"")</f>
        <v>0</v>
      </c>
      <c r="C377" s="387">
        <f>IF($A377="",0,IFERROR(SUMIFS(SC_OLD!D:D,SC_OLD!C:C,$A377,SC_OLD!J:J,"Entregue"),0))</f>
        <v>0</v>
      </c>
      <c r="D377" s="388">
        <f t="shared" si="1"/>
        <v>0</v>
      </c>
      <c r="E377" s="388">
        <f t="shared" si="2"/>
        <v>0</v>
      </c>
      <c r="F377" s="387">
        <f t="shared" si="3"/>
        <v>0</v>
      </c>
      <c r="G377" s="389" t="str">
        <f t="shared" si="4"/>
        <v/>
      </c>
      <c r="H377" s="386" t="str">
        <f t="shared" si="5"/>
        <v/>
      </c>
    </row>
    <row r="378" ht="15.75" customHeight="1">
      <c r="A378" s="391"/>
      <c r="B378" s="386">
        <f t="array" ref="B378">IFERROR(INDEX(SC_OLD!A:A,MATCH($A378,SC_OLD!C:C,0)),"")</f>
        <v>0</v>
      </c>
      <c r="C378" s="387">
        <f>IF($A378="",0,IFERROR(SUMIFS(SC_OLD!D:D,SC_OLD!C:C,$A378,SC_OLD!J:J,"Entregue"),0))</f>
        <v>0</v>
      </c>
      <c r="D378" s="388">
        <f t="shared" si="1"/>
        <v>0</v>
      </c>
      <c r="E378" s="388">
        <f t="shared" si="2"/>
        <v>0</v>
      </c>
      <c r="F378" s="387">
        <f t="shared" si="3"/>
        <v>0</v>
      </c>
      <c r="G378" s="389" t="str">
        <f t="shared" si="4"/>
        <v/>
      </c>
      <c r="H378" s="386" t="str">
        <f t="shared" si="5"/>
        <v/>
      </c>
    </row>
    <row r="379" ht="15.75" customHeight="1">
      <c r="A379" s="391"/>
      <c r="B379" s="386">
        <f t="array" ref="B379">IFERROR(INDEX(SC_OLD!A:A,MATCH($A379,SC_OLD!C:C,0)),"")</f>
        <v>0</v>
      </c>
      <c r="C379" s="387">
        <f>IF($A379="",0,IFERROR(SUMIFS(SC_OLD!D:D,SC_OLD!C:C,$A379,SC_OLD!J:J,"Entregue"),0))</f>
        <v>0</v>
      </c>
      <c r="D379" s="388">
        <f t="shared" si="1"/>
        <v>0</v>
      </c>
      <c r="E379" s="388">
        <f t="shared" si="2"/>
        <v>0</v>
      </c>
      <c r="F379" s="387">
        <f t="shared" si="3"/>
        <v>0</v>
      </c>
      <c r="G379" s="389" t="str">
        <f t="shared" si="4"/>
        <v/>
      </c>
      <c r="H379" s="386" t="str">
        <f t="shared" si="5"/>
        <v/>
      </c>
    </row>
    <row r="380" ht="15.75" customHeight="1">
      <c r="A380" s="391"/>
      <c r="B380" s="386">
        <f t="array" ref="B380">IFERROR(INDEX(SC_OLD!A:A,MATCH($A380,SC_OLD!C:C,0)),"")</f>
        <v>0</v>
      </c>
      <c r="C380" s="387">
        <f>IF($A380="",0,IFERROR(SUMIFS(SC_OLD!D:D,SC_OLD!C:C,$A380,SC_OLD!J:J,"Entregue"),0))</f>
        <v>0</v>
      </c>
      <c r="D380" s="388">
        <f t="shared" si="1"/>
        <v>0</v>
      </c>
      <c r="E380" s="388">
        <f t="shared" si="2"/>
        <v>0</v>
      </c>
      <c r="F380" s="387">
        <f t="shared" si="3"/>
        <v>0</v>
      </c>
      <c r="G380" s="389" t="str">
        <f t="shared" si="4"/>
        <v/>
      </c>
      <c r="H380" s="386" t="str">
        <f t="shared" si="5"/>
        <v/>
      </c>
    </row>
    <row r="381" ht="15.75" customHeight="1">
      <c r="A381" s="391"/>
      <c r="B381" s="386">
        <f t="array" ref="B381">IFERROR(INDEX(SC_OLD!A:A,MATCH($A381,SC_OLD!C:C,0)),"")</f>
        <v>0</v>
      </c>
      <c r="C381" s="387">
        <f>IF($A381="",0,IFERROR(SUMIFS(SC_OLD!D:D,SC_OLD!C:C,$A381,SC_OLD!J:J,"Entregue"),0))</f>
        <v>0</v>
      </c>
      <c r="D381" s="388">
        <f t="shared" si="1"/>
        <v>0</v>
      </c>
      <c r="E381" s="388">
        <f t="shared" si="2"/>
        <v>0</v>
      </c>
      <c r="F381" s="387">
        <f t="shared" si="3"/>
        <v>0</v>
      </c>
      <c r="G381" s="389" t="str">
        <f t="shared" si="4"/>
        <v/>
      </c>
      <c r="H381" s="386" t="str">
        <f t="shared" si="5"/>
        <v/>
      </c>
    </row>
    <row r="382" ht="15.75" customHeight="1">
      <c r="A382" s="391"/>
      <c r="B382" s="386">
        <f t="array" ref="B382">IFERROR(INDEX(SC_OLD!A:A,MATCH($A382,SC_OLD!C:C,0)),"")</f>
        <v>0</v>
      </c>
      <c r="C382" s="387">
        <f>IF($A382="",0,IFERROR(SUMIFS(SC_OLD!D:D,SC_OLD!C:C,$A382,SC_OLD!J:J,"Entregue"),0))</f>
        <v>0</v>
      </c>
      <c r="D382" s="388">
        <f t="shared" si="1"/>
        <v>0</v>
      </c>
      <c r="E382" s="388">
        <f t="shared" si="2"/>
        <v>0</v>
      </c>
      <c r="F382" s="387">
        <f t="shared" si="3"/>
        <v>0</v>
      </c>
      <c r="G382" s="389" t="str">
        <f t="shared" si="4"/>
        <v/>
      </c>
      <c r="H382" s="386" t="str">
        <f t="shared" si="5"/>
        <v/>
      </c>
    </row>
    <row r="383" ht="15.75" customHeight="1">
      <c r="A383" s="391"/>
      <c r="B383" s="386">
        <f t="array" ref="B383">IFERROR(INDEX(SC_OLD!A:A,MATCH($A383,SC_OLD!C:C,0)),"")</f>
        <v>0</v>
      </c>
      <c r="C383" s="387">
        <f>IF($A383="",0,IFERROR(SUMIFS(SC_OLD!D:D,SC_OLD!C:C,$A383,SC_OLD!J:J,"Entregue"),0))</f>
        <v>0</v>
      </c>
      <c r="D383" s="388">
        <f t="shared" si="1"/>
        <v>0</v>
      </c>
      <c r="E383" s="388">
        <f t="shared" si="2"/>
        <v>0</v>
      </c>
      <c r="F383" s="387">
        <f t="shared" si="3"/>
        <v>0</v>
      </c>
      <c r="G383" s="389" t="str">
        <f t="shared" si="4"/>
        <v/>
      </c>
      <c r="H383" s="386" t="str">
        <f t="shared" si="5"/>
        <v/>
      </c>
    </row>
    <row r="384" ht="15.75" customHeight="1">
      <c r="A384" s="391"/>
      <c r="B384" s="386">
        <f t="array" ref="B384">IFERROR(INDEX(SC_OLD!A:A,MATCH($A384,SC_OLD!C:C,0)),"")</f>
        <v>0</v>
      </c>
      <c r="C384" s="387">
        <f>IF($A384="",0,IFERROR(SUMIFS(SC_OLD!D:D,SC_OLD!C:C,$A384,SC_OLD!J:J,"Entregue"),0))</f>
        <v>0</v>
      </c>
      <c r="D384" s="388">
        <f t="shared" si="1"/>
        <v>0</v>
      </c>
      <c r="E384" s="388">
        <f t="shared" si="2"/>
        <v>0</v>
      </c>
      <c r="F384" s="387">
        <f t="shared" si="3"/>
        <v>0</v>
      </c>
      <c r="G384" s="389" t="str">
        <f t="shared" si="4"/>
        <v/>
      </c>
      <c r="H384" s="386" t="str">
        <f t="shared" si="5"/>
        <v/>
      </c>
    </row>
    <row r="385" ht="15.75" customHeight="1">
      <c r="A385" s="391"/>
      <c r="B385" s="386">
        <f t="array" ref="B385">IFERROR(INDEX(SC_OLD!A:A,MATCH($A385,SC_OLD!C:C,0)),"")</f>
        <v>0</v>
      </c>
      <c r="C385" s="387">
        <f>IF($A385="",0,IFERROR(SUMIFS(SC_OLD!D:D,SC_OLD!C:C,$A385,SC_OLD!J:J,"Entregue"),0))</f>
        <v>0</v>
      </c>
      <c r="D385" s="388">
        <f t="shared" si="1"/>
        <v>0</v>
      </c>
      <c r="E385" s="388">
        <f t="shared" si="2"/>
        <v>0</v>
      </c>
      <c r="F385" s="387">
        <f t="shared" si="3"/>
        <v>0</v>
      </c>
      <c r="G385" s="389" t="str">
        <f t="shared" si="4"/>
        <v/>
      </c>
      <c r="H385" s="386" t="str">
        <f t="shared" si="5"/>
        <v/>
      </c>
    </row>
    <row r="386" ht="15.75" customHeight="1">
      <c r="A386" s="391"/>
      <c r="B386" s="386">
        <f t="array" ref="B386">IFERROR(INDEX(SC_OLD!A:A,MATCH($A386,SC_OLD!C:C,0)),"")</f>
        <v>0</v>
      </c>
      <c r="C386" s="387">
        <f>IF($A386="",0,IFERROR(SUMIFS(SC_OLD!D:D,SC_OLD!C:C,$A386,SC_OLD!J:J,"Entregue"),0))</f>
        <v>0</v>
      </c>
      <c r="D386" s="388">
        <f t="shared" si="1"/>
        <v>0</v>
      </c>
      <c r="E386" s="388">
        <f t="shared" si="2"/>
        <v>0</v>
      </c>
      <c r="F386" s="387">
        <f t="shared" si="3"/>
        <v>0</v>
      </c>
      <c r="G386" s="389" t="str">
        <f t="shared" si="4"/>
        <v/>
      </c>
      <c r="H386" s="386" t="str">
        <f t="shared" si="5"/>
        <v/>
      </c>
    </row>
    <row r="387" ht="15.75" customHeight="1">
      <c r="A387" s="391"/>
      <c r="B387" s="386">
        <f t="array" ref="B387">IFERROR(INDEX(SC_OLD!A:A,MATCH($A387,SC_OLD!C:C,0)),"")</f>
        <v>0</v>
      </c>
      <c r="C387" s="387">
        <f>IF($A387="",0,IFERROR(SUMIFS(SC_OLD!D:D,SC_OLD!C:C,$A387,SC_OLD!J:J,"Entregue"),0))</f>
        <v>0</v>
      </c>
      <c r="D387" s="388">
        <f t="shared" si="1"/>
        <v>0</v>
      </c>
      <c r="E387" s="388">
        <f t="shared" si="2"/>
        <v>0</v>
      </c>
      <c r="F387" s="387">
        <f t="shared" si="3"/>
        <v>0</v>
      </c>
      <c r="G387" s="389" t="str">
        <f t="shared" si="4"/>
        <v/>
      </c>
      <c r="H387" s="386" t="str">
        <f t="shared" si="5"/>
        <v/>
      </c>
    </row>
    <row r="388" ht="15.75" customHeight="1">
      <c r="A388" s="391"/>
      <c r="B388" s="386">
        <f t="array" ref="B388">IFERROR(INDEX(SC_OLD!A:A,MATCH($A388,SC_OLD!C:C,0)),"")</f>
        <v>0</v>
      </c>
      <c r="C388" s="387">
        <f>IF($A388="",0,IFERROR(SUMIFS(SC_OLD!D:D,SC_OLD!C:C,$A388,SC_OLD!J:J,"Entregue"),0))</f>
        <v>0</v>
      </c>
      <c r="D388" s="388">
        <f t="shared" si="1"/>
        <v>0</v>
      </c>
      <c r="E388" s="388">
        <f t="shared" si="2"/>
        <v>0</v>
      </c>
      <c r="F388" s="387">
        <f t="shared" si="3"/>
        <v>0</v>
      </c>
      <c r="G388" s="389" t="str">
        <f t="shared" si="4"/>
        <v/>
      </c>
      <c r="H388" s="386" t="str">
        <f t="shared" si="5"/>
        <v/>
      </c>
    </row>
    <row r="389" ht="15.75" customHeight="1">
      <c r="A389" s="391"/>
      <c r="B389" s="386">
        <f t="array" ref="B389">IFERROR(INDEX(SC_OLD!A:A,MATCH($A389,SC_OLD!C:C,0)),"")</f>
        <v>0</v>
      </c>
      <c r="C389" s="387">
        <f>IF($A389="",0,IFERROR(SUMIFS(SC_OLD!D:D,SC_OLD!C:C,$A389,SC_OLD!J:J,"Entregue"),0))</f>
        <v>0</v>
      </c>
      <c r="D389" s="388">
        <f t="shared" si="1"/>
        <v>0</v>
      </c>
      <c r="E389" s="388">
        <f t="shared" si="2"/>
        <v>0</v>
      </c>
      <c r="F389" s="387">
        <f t="shared" si="3"/>
        <v>0</v>
      </c>
      <c r="G389" s="389" t="str">
        <f t="shared" si="4"/>
        <v/>
      </c>
      <c r="H389" s="386" t="str">
        <f t="shared" si="5"/>
        <v/>
      </c>
    </row>
    <row r="390" ht="15.75" customHeight="1">
      <c r="A390" s="391"/>
      <c r="B390" s="386">
        <f t="array" ref="B390">IFERROR(INDEX(SC_OLD!A:A,MATCH($A390,SC_OLD!C:C,0)),"")</f>
        <v>0</v>
      </c>
      <c r="C390" s="387">
        <f>IF($A390="",0,IFERROR(SUMIFS(SC_OLD!D:D,SC_OLD!C:C,$A390,SC_OLD!J:J,"Entregue"),0))</f>
        <v>0</v>
      </c>
      <c r="D390" s="388">
        <f t="shared" si="1"/>
        <v>0</v>
      </c>
      <c r="E390" s="388">
        <f t="shared" si="2"/>
        <v>0</v>
      </c>
      <c r="F390" s="387">
        <f t="shared" si="3"/>
        <v>0</v>
      </c>
      <c r="G390" s="389" t="str">
        <f t="shared" si="4"/>
        <v/>
      </c>
      <c r="H390" s="386" t="str">
        <f t="shared" si="5"/>
        <v/>
      </c>
    </row>
    <row r="391" ht="15.75" customHeight="1">
      <c r="A391" s="391"/>
      <c r="B391" s="386">
        <f t="array" ref="B391">IFERROR(INDEX(SC_OLD!A:A,MATCH($A391,SC_OLD!C:C,0)),"")</f>
        <v>0</v>
      </c>
      <c r="C391" s="387">
        <f>IF($A391="",0,IFERROR(SUMIFS(SC_OLD!D:D,SC_OLD!C:C,$A391,SC_OLD!J:J,"Entregue"),0))</f>
        <v>0</v>
      </c>
      <c r="D391" s="388">
        <f t="shared" si="1"/>
        <v>0</v>
      </c>
      <c r="E391" s="388">
        <f t="shared" si="2"/>
        <v>0</v>
      </c>
      <c r="F391" s="387">
        <f t="shared" si="3"/>
        <v>0</v>
      </c>
      <c r="G391" s="389" t="str">
        <f t="shared" si="4"/>
        <v/>
      </c>
      <c r="H391" s="386" t="str">
        <f t="shared" si="5"/>
        <v/>
      </c>
    </row>
    <row r="392" ht="15.75" customHeight="1">
      <c r="A392" s="391"/>
      <c r="B392" s="386">
        <f t="array" ref="B392">IFERROR(INDEX(SC_OLD!A:A,MATCH($A392,SC_OLD!C:C,0)),"")</f>
        <v>0</v>
      </c>
      <c r="C392" s="387">
        <f>IF($A392="",0,IFERROR(SUMIFS(SC_OLD!D:D,SC_OLD!C:C,$A392,SC_OLD!J:J,"Entregue"),0))</f>
        <v>0</v>
      </c>
      <c r="D392" s="388">
        <f t="shared" si="1"/>
        <v>0</v>
      </c>
      <c r="E392" s="388">
        <f t="shared" si="2"/>
        <v>0</v>
      </c>
      <c r="F392" s="387">
        <f t="shared" si="3"/>
        <v>0</v>
      </c>
      <c r="G392" s="389" t="str">
        <f t="shared" si="4"/>
        <v/>
      </c>
      <c r="H392" s="386" t="str">
        <f t="shared" si="5"/>
        <v/>
      </c>
    </row>
    <row r="393" ht="15.75" customHeight="1">
      <c r="A393" s="391"/>
      <c r="B393" s="386">
        <f t="array" ref="B393">IFERROR(INDEX(SC_OLD!A:A,MATCH($A393,SC_OLD!C:C,0)),"")</f>
        <v>0</v>
      </c>
      <c r="C393" s="387">
        <f>IF($A393="",0,IFERROR(SUMIFS(SC_OLD!D:D,SC_OLD!C:C,$A393,SC_OLD!J:J,"Entregue"),0))</f>
        <v>0</v>
      </c>
      <c r="D393" s="388">
        <f t="shared" si="1"/>
        <v>0</v>
      </c>
      <c r="E393" s="388">
        <f t="shared" si="2"/>
        <v>0</v>
      </c>
      <c r="F393" s="387">
        <f t="shared" si="3"/>
        <v>0</v>
      </c>
      <c r="G393" s="389" t="str">
        <f t="shared" si="4"/>
        <v/>
      </c>
      <c r="H393" s="386" t="str">
        <f t="shared" si="5"/>
        <v/>
      </c>
    </row>
    <row r="394" ht="15.75" customHeight="1">
      <c r="A394" s="391"/>
      <c r="B394" s="386">
        <f t="array" ref="B394">IFERROR(INDEX(SC_OLD!A:A,MATCH($A394,SC_OLD!C:C,0)),"")</f>
        <v>0</v>
      </c>
      <c r="C394" s="387">
        <f>IF($A394="",0,IFERROR(SUMIFS(SC_OLD!D:D,SC_OLD!C:C,$A394,SC_OLD!J:J,"Entregue"),0))</f>
        <v>0</v>
      </c>
      <c r="D394" s="388">
        <f t="shared" si="1"/>
        <v>0</v>
      </c>
      <c r="E394" s="388">
        <f t="shared" si="2"/>
        <v>0</v>
      </c>
      <c r="F394" s="387">
        <f t="shared" si="3"/>
        <v>0</v>
      </c>
      <c r="G394" s="389" t="str">
        <f t="shared" si="4"/>
        <v/>
      </c>
      <c r="H394" s="386" t="str">
        <f t="shared" si="5"/>
        <v/>
      </c>
    </row>
    <row r="395" ht="15.75" customHeight="1">
      <c r="A395" s="391"/>
      <c r="B395" s="386">
        <f t="array" ref="B395">IFERROR(INDEX(SC_OLD!A:A,MATCH($A395,SC_OLD!C:C,0)),"")</f>
        <v>0</v>
      </c>
      <c r="C395" s="387">
        <f>IF($A395="",0,IFERROR(SUMIFS(SC_OLD!D:D,SC_OLD!C:C,$A395,SC_OLD!J:J,"Entregue"),0))</f>
        <v>0</v>
      </c>
      <c r="D395" s="388">
        <f t="shared" si="1"/>
        <v>0</v>
      </c>
      <c r="E395" s="388">
        <f t="shared" si="2"/>
        <v>0</v>
      </c>
      <c r="F395" s="387">
        <f t="shared" si="3"/>
        <v>0</v>
      </c>
      <c r="G395" s="389" t="str">
        <f t="shared" si="4"/>
        <v/>
      </c>
      <c r="H395" s="386" t="str">
        <f t="shared" si="5"/>
        <v/>
      </c>
    </row>
    <row r="396" ht="15.75" customHeight="1">
      <c r="A396" s="391"/>
      <c r="B396" s="386">
        <f t="array" ref="B396">IFERROR(INDEX(SC_OLD!A:A,MATCH($A396,SC_OLD!C:C,0)),"")</f>
        <v>0</v>
      </c>
      <c r="C396" s="387">
        <f>IF($A396="",0,IFERROR(SUMIFS(SC_OLD!D:D,SC_OLD!C:C,$A396,SC_OLD!J:J,"Entregue"),0))</f>
        <v>0</v>
      </c>
      <c r="D396" s="388">
        <f t="shared" si="1"/>
        <v>0</v>
      </c>
      <c r="E396" s="388">
        <f t="shared" si="2"/>
        <v>0</v>
      </c>
      <c r="F396" s="387">
        <f t="shared" si="3"/>
        <v>0</v>
      </c>
      <c r="G396" s="389" t="str">
        <f t="shared" si="4"/>
        <v/>
      </c>
      <c r="H396" s="386" t="str">
        <f t="shared" si="5"/>
        <v/>
      </c>
    </row>
    <row r="397" ht="15.75" customHeight="1">
      <c r="A397" s="391"/>
      <c r="B397" s="386">
        <f t="array" ref="B397">IFERROR(INDEX(SC_OLD!A:A,MATCH($A397,SC_OLD!C:C,0)),"")</f>
        <v>0</v>
      </c>
      <c r="C397" s="387">
        <f>IF($A397="",0,IFERROR(SUMIFS(SC_OLD!D:D,SC_OLD!C:C,$A397,SC_OLD!J:J,"Entregue"),0))</f>
        <v>0</v>
      </c>
      <c r="D397" s="388">
        <f t="shared" si="1"/>
        <v>0</v>
      </c>
      <c r="E397" s="388">
        <f t="shared" si="2"/>
        <v>0</v>
      </c>
      <c r="F397" s="387">
        <f t="shared" si="3"/>
        <v>0</v>
      </c>
      <c r="G397" s="389" t="str">
        <f t="shared" si="4"/>
        <v/>
      </c>
      <c r="H397" s="386" t="str">
        <f t="shared" si="5"/>
        <v/>
      </c>
    </row>
    <row r="398" ht="15.75" customHeight="1">
      <c r="A398" s="391"/>
      <c r="B398" s="386">
        <f t="array" ref="B398">IFERROR(INDEX(SC_OLD!A:A,MATCH($A398,SC_OLD!C:C,0)),"")</f>
        <v>0</v>
      </c>
      <c r="C398" s="387">
        <f>IF($A398="",0,IFERROR(SUMIFS(SC_OLD!D:D,SC_OLD!C:C,$A398,SC_OLD!J:J,"Entregue"),0))</f>
        <v>0</v>
      </c>
      <c r="D398" s="388">
        <f t="shared" si="1"/>
        <v>0</v>
      </c>
      <c r="E398" s="388">
        <f t="shared" si="2"/>
        <v>0</v>
      </c>
      <c r="F398" s="387">
        <f t="shared" si="3"/>
        <v>0</v>
      </c>
      <c r="G398" s="389" t="str">
        <f t="shared" si="4"/>
        <v/>
      </c>
      <c r="H398" s="386" t="str">
        <f t="shared" si="5"/>
        <v/>
      </c>
    </row>
    <row r="399" ht="15.75" customHeight="1">
      <c r="A399" s="391"/>
      <c r="B399" s="386">
        <f t="array" ref="B399">IFERROR(INDEX(SC_OLD!A:A,MATCH($A399,SC_OLD!C:C,0)),"")</f>
        <v>0</v>
      </c>
      <c r="C399" s="387">
        <f>IF($A399="",0,IFERROR(SUMIFS(SC_OLD!D:D,SC_OLD!C:C,$A399,SC_OLD!J:J,"Entregue"),0))</f>
        <v>0</v>
      </c>
      <c r="D399" s="388">
        <f t="shared" si="1"/>
        <v>0</v>
      </c>
      <c r="E399" s="388">
        <f t="shared" si="2"/>
        <v>0</v>
      </c>
      <c r="F399" s="387">
        <f t="shared" si="3"/>
        <v>0</v>
      </c>
      <c r="G399" s="389" t="str">
        <f t="shared" si="4"/>
        <v/>
      </c>
      <c r="H399" s="386" t="str">
        <f t="shared" si="5"/>
        <v/>
      </c>
    </row>
    <row r="400" ht="15.75" customHeight="1">
      <c r="A400" s="391"/>
      <c r="B400" s="386">
        <f t="array" ref="B400">IFERROR(INDEX(SC_OLD!A:A,MATCH($A400,SC_OLD!C:C,0)),"")</f>
        <v>0</v>
      </c>
      <c r="C400" s="387">
        <f>IF($A400="",0,IFERROR(SUMIFS(SC_OLD!D:D,SC_OLD!C:C,$A400,SC_OLD!J:J,"Entregue"),0))</f>
        <v>0</v>
      </c>
      <c r="D400" s="388">
        <f t="shared" si="1"/>
        <v>0</v>
      </c>
      <c r="E400" s="388">
        <f t="shared" si="2"/>
        <v>0</v>
      </c>
      <c r="F400" s="387">
        <f t="shared" si="3"/>
        <v>0</v>
      </c>
      <c r="G400" s="389" t="str">
        <f t="shared" si="4"/>
        <v/>
      </c>
      <c r="H400" s="386" t="str">
        <f t="shared" si="5"/>
        <v/>
      </c>
    </row>
    <row r="401" ht="15.75" customHeight="1">
      <c r="A401" s="391"/>
      <c r="B401" s="386">
        <f t="array" ref="B401">IFERROR(INDEX(SC_OLD!A:A,MATCH($A401,SC_OLD!C:C,0)),"")</f>
        <v>0</v>
      </c>
      <c r="C401" s="387">
        <f>IF($A401="",0,IFERROR(SUMIFS(SC_OLD!D:D,SC_OLD!C:C,$A401,SC_OLD!J:J,"Entregue"),0))</f>
        <v>0</v>
      </c>
      <c r="D401" s="388">
        <f t="shared" si="1"/>
        <v>0</v>
      </c>
      <c r="E401" s="388">
        <f t="shared" si="2"/>
        <v>0</v>
      </c>
      <c r="F401" s="387">
        <f t="shared" si="3"/>
        <v>0</v>
      </c>
      <c r="G401" s="389" t="str">
        <f t="shared" si="4"/>
        <v/>
      </c>
      <c r="H401" s="386" t="str">
        <f t="shared" si="5"/>
        <v/>
      </c>
    </row>
    <row r="402" ht="15.75" customHeight="1">
      <c r="A402" s="391"/>
      <c r="B402" s="386">
        <f t="array" ref="B402">IFERROR(INDEX(SC_OLD!A:A,MATCH($A402,SC_OLD!C:C,0)),"")</f>
        <v>0</v>
      </c>
      <c r="C402" s="387">
        <f>IF($A402="",0,IFERROR(SUMIFS(SC_OLD!D:D,SC_OLD!C:C,$A402,SC_OLD!J:J,"Entregue"),0))</f>
        <v>0</v>
      </c>
      <c r="D402" s="388">
        <f t="shared" si="1"/>
        <v>0</v>
      </c>
      <c r="E402" s="388">
        <f t="shared" si="2"/>
        <v>0</v>
      </c>
      <c r="F402" s="387">
        <f t="shared" si="3"/>
        <v>0</v>
      </c>
      <c r="G402" s="389" t="str">
        <f t="shared" si="4"/>
        <v/>
      </c>
      <c r="H402" s="386" t="str">
        <f t="shared" si="5"/>
        <v/>
      </c>
    </row>
    <row r="403" ht="15.75" customHeight="1">
      <c r="A403" s="391"/>
      <c r="B403" s="386">
        <f t="array" ref="B403">IFERROR(INDEX(SC_OLD!A:A,MATCH($A403,SC_OLD!C:C,0)),"")</f>
        <v>0</v>
      </c>
      <c r="C403" s="387">
        <f>IF($A403="",0,IFERROR(SUMIFS(SC_OLD!D:D,SC_OLD!C:C,$A403,SC_OLD!J:J,"Entregue"),0))</f>
        <v>0</v>
      </c>
      <c r="D403" s="388">
        <f t="shared" si="1"/>
        <v>0</v>
      </c>
      <c r="E403" s="388">
        <f t="shared" si="2"/>
        <v>0</v>
      </c>
      <c r="F403" s="387">
        <f t="shared" si="3"/>
        <v>0</v>
      </c>
      <c r="G403" s="389" t="str">
        <f t="shared" si="4"/>
        <v/>
      </c>
      <c r="H403" s="386" t="str">
        <f t="shared" si="5"/>
        <v/>
      </c>
    </row>
    <row r="404" ht="15.75" customHeight="1">
      <c r="A404" s="391"/>
      <c r="B404" s="386">
        <f t="array" ref="B404">IFERROR(INDEX(SC_OLD!A:A,MATCH($A404,SC_OLD!C:C,0)),"")</f>
        <v>0</v>
      </c>
      <c r="C404" s="387">
        <f>IF($A404="",0,IFERROR(SUMIFS(SC_OLD!D:D,SC_OLD!C:C,$A404,SC_OLD!J:J,"Entregue"),0))</f>
        <v>0</v>
      </c>
      <c r="D404" s="388">
        <f t="shared" si="1"/>
        <v>0</v>
      </c>
      <c r="E404" s="388">
        <f t="shared" si="2"/>
        <v>0</v>
      </c>
      <c r="F404" s="387">
        <f t="shared" si="3"/>
        <v>0</v>
      </c>
      <c r="G404" s="389" t="str">
        <f t="shared" si="4"/>
        <v/>
      </c>
      <c r="H404" s="386" t="str">
        <f t="shared" si="5"/>
        <v/>
      </c>
    </row>
    <row r="405" ht="15.75" customHeight="1">
      <c r="A405" s="391"/>
      <c r="B405" s="386">
        <f t="array" ref="B405">IFERROR(INDEX(SC_OLD!A:A,MATCH($A405,SC_OLD!C:C,0)),"")</f>
        <v>0</v>
      </c>
      <c r="C405" s="387">
        <f>IF($A405="",0,IFERROR(SUMIFS(SC_OLD!D:D,SC_OLD!C:C,$A405,SC_OLD!J:J,"Entregue"),0))</f>
        <v>0</v>
      </c>
      <c r="D405" s="388">
        <f t="shared" si="1"/>
        <v>0</v>
      </c>
      <c r="E405" s="388">
        <f t="shared" si="2"/>
        <v>0</v>
      </c>
      <c r="F405" s="387">
        <f t="shared" si="3"/>
        <v>0</v>
      </c>
      <c r="G405" s="389" t="str">
        <f t="shared" si="4"/>
        <v/>
      </c>
      <c r="H405" s="386" t="str">
        <f t="shared" si="5"/>
        <v/>
      </c>
    </row>
    <row r="406" ht="15.75" customHeight="1">
      <c r="A406" s="391"/>
      <c r="B406" s="386">
        <f t="array" ref="B406">IFERROR(INDEX(SC_OLD!A:A,MATCH($A406,SC_OLD!C:C,0)),"")</f>
        <v>0</v>
      </c>
      <c r="C406" s="387">
        <f>IF($A406="",0,IFERROR(SUMIFS(SC_OLD!D:D,SC_OLD!C:C,$A406,SC_OLD!J:J,"Entregue"),0))</f>
        <v>0</v>
      </c>
      <c r="D406" s="388">
        <f t="shared" si="1"/>
        <v>0</v>
      </c>
      <c r="E406" s="388">
        <f t="shared" si="2"/>
        <v>0</v>
      </c>
      <c r="F406" s="387">
        <f t="shared" si="3"/>
        <v>0</v>
      </c>
      <c r="G406" s="389" t="str">
        <f t="shared" si="4"/>
        <v/>
      </c>
      <c r="H406" s="386" t="str">
        <f t="shared" si="5"/>
        <v/>
      </c>
    </row>
    <row r="407" ht="15.75" customHeight="1">
      <c r="A407" s="391"/>
      <c r="B407" s="386">
        <f t="array" ref="B407">IFERROR(INDEX(SC_OLD!A:A,MATCH($A407,SC_OLD!C:C,0)),"")</f>
        <v>0</v>
      </c>
      <c r="C407" s="387">
        <f>IF($A407="",0,IFERROR(SUMIFS(SC_OLD!D:D,SC_OLD!C:C,$A407,SC_OLD!J:J,"Entregue"),0))</f>
        <v>0</v>
      </c>
      <c r="D407" s="388">
        <f t="shared" si="1"/>
        <v>0</v>
      </c>
      <c r="E407" s="388">
        <f t="shared" si="2"/>
        <v>0</v>
      </c>
      <c r="F407" s="387">
        <f t="shared" si="3"/>
        <v>0</v>
      </c>
      <c r="G407" s="389" t="str">
        <f t="shared" si="4"/>
        <v/>
      </c>
      <c r="H407" s="386" t="str">
        <f t="shared" si="5"/>
        <v/>
      </c>
    </row>
    <row r="408" ht="15.75" customHeight="1">
      <c r="A408" s="391"/>
      <c r="B408" s="386">
        <f t="array" ref="B408">IFERROR(INDEX(SC_OLD!A:A,MATCH($A408,SC_OLD!C:C,0)),"")</f>
        <v>0</v>
      </c>
      <c r="C408" s="387">
        <f>IF($A408="",0,IFERROR(SUMIFS(SC_OLD!D:D,SC_OLD!C:C,$A408,SC_OLD!J:J,"Entregue"),0))</f>
        <v>0</v>
      </c>
      <c r="D408" s="388">
        <f t="shared" si="1"/>
        <v>0</v>
      </c>
      <c r="E408" s="388">
        <f t="shared" si="2"/>
        <v>0</v>
      </c>
      <c r="F408" s="387">
        <f t="shared" si="3"/>
        <v>0</v>
      </c>
      <c r="G408" s="389" t="str">
        <f t="shared" si="4"/>
        <v/>
      </c>
      <c r="H408" s="386" t="str">
        <f t="shared" si="5"/>
        <v/>
      </c>
    </row>
    <row r="409" ht="15.75" customHeight="1">
      <c r="A409" s="391"/>
      <c r="B409" s="386">
        <f t="array" ref="B409">IFERROR(INDEX(SC_OLD!A:A,MATCH($A409,SC_OLD!C:C,0)),"")</f>
        <v>0</v>
      </c>
      <c r="C409" s="387">
        <f>IF($A409="",0,IFERROR(SUMIFS(SC_OLD!D:D,SC_OLD!C:C,$A409,SC_OLD!J:J,"Entregue"),0))</f>
        <v>0</v>
      </c>
      <c r="D409" s="388">
        <f t="shared" si="1"/>
        <v>0</v>
      </c>
      <c r="E409" s="388">
        <f t="shared" si="2"/>
        <v>0</v>
      </c>
      <c r="F409" s="387">
        <f t="shared" si="3"/>
        <v>0</v>
      </c>
      <c r="G409" s="389" t="str">
        <f t="shared" si="4"/>
        <v/>
      </c>
      <c r="H409" s="386" t="str">
        <f t="shared" si="5"/>
        <v/>
      </c>
    </row>
    <row r="410" ht="15.75" customHeight="1">
      <c r="A410" s="391"/>
      <c r="B410" s="386">
        <f t="array" ref="B410">IFERROR(INDEX(SC_OLD!A:A,MATCH($A410,SC_OLD!C:C,0)),"")</f>
        <v>0</v>
      </c>
      <c r="C410" s="387">
        <f>IF($A410="",0,IFERROR(SUMIFS(SC_OLD!D:D,SC_OLD!C:C,$A410,SC_OLD!J:J,"Entregue"),0))</f>
        <v>0</v>
      </c>
      <c r="D410" s="388">
        <f t="shared" si="1"/>
        <v>0</v>
      </c>
      <c r="E410" s="388">
        <f t="shared" si="2"/>
        <v>0</v>
      </c>
      <c r="F410" s="387">
        <f t="shared" si="3"/>
        <v>0</v>
      </c>
      <c r="G410" s="389" t="str">
        <f t="shared" si="4"/>
        <v/>
      </c>
      <c r="H410" s="386" t="str">
        <f t="shared" si="5"/>
        <v/>
      </c>
    </row>
    <row r="411" ht="15.75" customHeight="1">
      <c r="A411" s="391"/>
      <c r="B411" s="386">
        <f t="array" ref="B411">IFERROR(INDEX(SC_OLD!A:A,MATCH($A411,SC_OLD!C:C,0)),"")</f>
        <v>0</v>
      </c>
      <c r="C411" s="387">
        <f>IF($A411="",0,IFERROR(SUMIFS(SC_OLD!D:D,SC_OLD!C:C,$A411,SC_OLD!J:J,"Entregue"),0))</f>
        <v>0</v>
      </c>
      <c r="D411" s="388">
        <f t="shared" si="1"/>
        <v>0</v>
      </c>
      <c r="E411" s="388">
        <f t="shared" si="2"/>
        <v>0</v>
      </c>
      <c r="F411" s="387">
        <f t="shared" si="3"/>
        <v>0</v>
      </c>
      <c r="G411" s="389" t="str">
        <f t="shared" si="4"/>
        <v/>
      </c>
      <c r="H411" s="386" t="str">
        <f t="shared" si="5"/>
        <v/>
      </c>
    </row>
    <row r="412" ht="15.75" customHeight="1">
      <c r="A412" s="391"/>
      <c r="B412" s="386">
        <f t="array" ref="B412">IFERROR(INDEX(SC_OLD!A:A,MATCH($A412,SC_OLD!C:C,0)),"")</f>
        <v>0</v>
      </c>
      <c r="C412" s="387">
        <f>IF($A412="",0,IFERROR(SUMIFS(SC_OLD!D:D,SC_OLD!C:C,$A412,SC_OLD!J:J,"Entregue"),0))</f>
        <v>0</v>
      </c>
      <c r="D412" s="388">
        <f t="shared" si="1"/>
        <v>0</v>
      </c>
      <c r="E412" s="388">
        <f t="shared" si="2"/>
        <v>0</v>
      </c>
      <c r="F412" s="387">
        <f t="shared" si="3"/>
        <v>0</v>
      </c>
      <c r="G412" s="389" t="str">
        <f t="shared" si="4"/>
        <v/>
      </c>
      <c r="H412" s="386" t="str">
        <f t="shared" si="5"/>
        <v/>
      </c>
    </row>
    <row r="413" ht="15.75" customHeight="1">
      <c r="A413" s="391"/>
      <c r="B413" s="386">
        <f t="array" ref="B413">IFERROR(INDEX(SC_OLD!A:A,MATCH($A413,SC_OLD!C:C,0)),"")</f>
        <v>0</v>
      </c>
      <c r="C413" s="387">
        <f>IF($A413="",0,IFERROR(SUMIFS(SC_OLD!D:D,SC_OLD!C:C,$A413,SC_OLD!J:J,"Entregue"),0))</f>
        <v>0</v>
      </c>
      <c r="D413" s="388">
        <f t="shared" si="1"/>
        <v>0</v>
      </c>
      <c r="E413" s="388">
        <f t="shared" si="2"/>
        <v>0</v>
      </c>
      <c r="F413" s="387">
        <f t="shared" si="3"/>
        <v>0</v>
      </c>
      <c r="G413" s="389" t="str">
        <f t="shared" si="4"/>
        <v/>
      </c>
      <c r="H413" s="386" t="str">
        <f t="shared" si="5"/>
        <v/>
      </c>
    </row>
    <row r="414" ht="15.75" customHeight="1">
      <c r="A414" s="391"/>
      <c r="B414" s="386">
        <f t="array" ref="B414">IFERROR(INDEX(SC_OLD!A:A,MATCH($A414,SC_OLD!C:C,0)),"")</f>
        <v>0</v>
      </c>
      <c r="C414" s="387">
        <f>IF($A414="",0,IFERROR(SUMIFS(SC_OLD!D:D,SC_OLD!C:C,$A414,SC_OLD!J:J,"Entregue"),0))</f>
        <v>0</v>
      </c>
      <c r="D414" s="388">
        <f t="shared" si="1"/>
        <v>0</v>
      </c>
      <c r="E414" s="388">
        <f t="shared" si="2"/>
        <v>0</v>
      </c>
      <c r="F414" s="387">
        <f t="shared" si="3"/>
        <v>0</v>
      </c>
      <c r="G414" s="389" t="str">
        <f t="shared" si="4"/>
        <v/>
      </c>
      <c r="H414" s="386" t="str">
        <f t="shared" si="5"/>
        <v/>
      </c>
    </row>
    <row r="415" ht="15.75" customHeight="1">
      <c r="A415" s="391"/>
      <c r="B415" s="386">
        <f t="array" ref="B415">IFERROR(INDEX(SC_OLD!A:A,MATCH($A415,SC_OLD!C:C,0)),"")</f>
        <v>0</v>
      </c>
      <c r="C415" s="387">
        <f>IF($A415="",0,IFERROR(SUMIFS(SC_OLD!D:D,SC_OLD!C:C,$A415,SC_OLD!J:J,"Entregue"),0))</f>
        <v>0</v>
      </c>
      <c r="D415" s="388">
        <f t="shared" si="1"/>
        <v>0</v>
      </c>
      <c r="E415" s="388">
        <f t="shared" si="2"/>
        <v>0</v>
      </c>
      <c r="F415" s="387">
        <f t="shared" si="3"/>
        <v>0</v>
      </c>
      <c r="G415" s="389" t="str">
        <f t="shared" si="4"/>
        <v/>
      </c>
      <c r="H415" s="386" t="str">
        <f t="shared" si="5"/>
        <v/>
      </c>
    </row>
    <row r="416" ht="15.75" customHeight="1">
      <c r="A416" s="391"/>
      <c r="B416" s="386">
        <f t="array" ref="B416">IFERROR(INDEX(SC_OLD!A:A,MATCH($A416,SC_OLD!C:C,0)),"")</f>
        <v>0</v>
      </c>
      <c r="C416" s="387">
        <f>IF($A416="",0,IFERROR(SUMIFS(SC_OLD!D:D,SC_OLD!C:C,$A416,SC_OLD!J:J,"Entregue"),0))</f>
        <v>0</v>
      </c>
      <c r="D416" s="388">
        <f t="shared" si="1"/>
        <v>0</v>
      </c>
      <c r="E416" s="388">
        <f t="shared" si="2"/>
        <v>0</v>
      </c>
      <c r="F416" s="387">
        <f t="shared" si="3"/>
        <v>0</v>
      </c>
      <c r="G416" s="389" t="str">
        <f t="shared" si="4"/>
        <v/>
      </c>
      <c r="H416" s="386" t="str">
        <f t="shared" si="5"/>
        <v/>
      </c>
    </row>
    <row r="417" ht="15.75" customHeight="1">
      <c r="A417" s="391"/>
      <c r="B417" s="386">
        <f t="array" ref="B417">IFERROR(INDEX(SC_OLD!A:A,MATCH($A417,SC_OLD!C:C,0)),"")</f>
        <v>0</v>
      </c>
      <c r="C417" s="387">
        <f>IF($A417="",0,IFERROR(SUMIFS(SC_OLD!D:D,SC_OLD!C:C,$A417,SC_OLD!J:J,"Entregue"),0))</f>
        <v>0</v>
      </c>
      <c r="D417" s="388">
        <f t="shared" si="1"/>
        <v>0</v>
      </c>
      <c r="E417" s="388">
        <f t="shared" si="2"/>
        <v>0</v>
      </c>
      <c r="F417" s="387">
        <f t="shared" si="3"/>
        <v>0</v>
      </c>
      <c r="G417" s="389" t="str">
        <f t="shared" si="4"/>
        <v/>
      </c>
      <c r="H417" s="386" t="str">
        <f t="shared" si="5"/>
        <v/>
      </c>
    </row>
    <row r="418" ht="15.75" customHeight="1">
      <c r="A418" s="391"/>
      <c r="B418" s="386">
        <f t="array" ref="B418">IFERROR(INDEX(SC_OLD!A:A,MATCH($A418,SC_OLD!C:C,0)),"")</f>
        <v>0</v>
      </c>
      <c r="C418" s="387">
        <f>IF($A418="",0,IFERROR(SUMIFS(SC_OLD!D:D,SC_OLD!C:C,$A418,SC_OLD!J:J,"Entregue"),0))</f>
        <v>0</v>
      </c>
      <c r="D418" s="388">
        <f t="shared" si="1"/>
        <v>0</v>
      </c>
      <c r="E418" s="388">
        <f t="shared" si="2"/>
        <v>0</v>
      </c>
      <c r="F418" s="387">
        <f t="shared" si="3"/>
        <v>0</v>
      </c>
      <c r="G418" s="389" t="str">
        <f t="shared" si="4"/>
        <v/>
      </c>
      <c r="H418" s="386" t="str">
        <f t="shared" si="5"/>
        <v/>
      </c>
    </row>
    <row r="419" ht="15.75" customHeight="1">
      <c r="A419" s="391"/>
      <c r="B419" s="386">
        <f t="array" ref="B419">IFERROR(INDEX(SC_OLD!A:A,MATCH($A419,SC_OLD!C:C,0)),"")</f>
        <v>0</v>
      </c>
      <c r="C419" s="387">
        <f>IF($A419="",0,IFERROR(SUMIFS(SC_OLD!D:D,SC_OLD!C:C,$A419,SC_OLD!J:J,"Entregue"),0))</f>
        <v>0</v>
      </c>
      <c r="D419" s="388">
        <f t="shared" si="1"/>
        <v>0</v>
      </c>
      <c r="E419" s="388">
        <f t="shared" si="2"/>
        <v>0</v>
      </c>
      <c r="F419" s="387">
        <f t="shared" si="3"/>
        <v>0</v>
      </c>
      <c r="G419" s="389" t="str">
        <f t="shared" si="4"/>
        <v/>
      </c>
      <c r="H419" s="386" t="str">
        <f t="shared" si="5"/>
        <v/>
      </c>
    </row>
    <row r="420" ht="15.75" customHeight="1">
      <c r="A420" s="391"/>
      <c r="B420" s="386">
        <f t="array" ref="B420">IFERROR(INDEX(SC_OLD!A:A,MATCH($A420,SC_OLD!C:C,0)),"")</f>
        <v>0</v>
      </c>
      <c r="C420" s="387">
        <f>IF($A420="",0,IFERROR(SUMIFS(SC_OLD!D:D,SC_OLD!C:C,$A420,SC_OLD!J:J,"Entregue"),0))</f>
        <v>0</v>
      </c>
      <c r="D420" s="388">
        <f t="shared" si="1"/>
        <v>0</v>
      </c>
      <c r="E420" s="388">
        <f t="shared" si="2"/>
        <v>0</v>
      </c>
      <c r="F420" s="387">
        <f t="shared" si="3"/>
        <v>0</v>
      </c>
      <c r="G420" s="389" t="str">
        <f t="shared" si="4"/>
        <v/>
      </c>
      <c r="H420" s="386" t="str">
        <f t="shared" si="5"/>
        <v/>
      </c>
    </row>
    <row r="421" ht="15.75" customHeight="1">
      <c r="A421" s="391"/>
      <c r="B421" s="386">
        <f t="array" ref="B421">IFERROR(INDEX(SC_OLD!A:A,MATCH($A421,SC_OLD!C:C,0)),"")</f>
        <v>0</v>
      </c>
      <c r="C421" s="387">
        <f>IF($A421="",0,IFERROR(SUMIFS(SC_OLD!D:D,SC_OLD!C:C,$A421,SC_OLD!J:J,"Entregue"),0))</f>
        <v>0</v>
      </c>
      <c r="D421" s="388">
        <f t="shared" si="1"/>
        <v>0</v>
      </c>
      <c r="E421" s="388">
        <f t="shared" si="2"/>
        <v>0</v>
      </c>
      <c r="F421" s="387">
        <f t="shared" si="3"/>
        <v>0</v>
      </c>
      <c r="G421" s="389" t="str">
        <f t="shared" si="4"/>
        <v/>
      </c>
      <c r="H421" s="386" t="str">
        <f t="shared" si="5"/>
        <v/>
      </c>
    </row>
    <row r="422" ht="15.75" customHeight="1">
      <c r="A422" s="391"/>
      <c r="B422" s="386">
        <f t="array" ref="B422">IFERROR(INDEX(SC_OLD!A:A,MATCH($A422,SC_OLD!C:C,0)),"")</f>
        <v>0</v>
      </c>
      <c r="C422" s="387">
        <f>IF($A422="",0,IFERROR(SUMIFS(SC_OLD!D:D,SC_OLD!C:C,$A422,SC_OLD!J:J,"Entregue"),0))</f>
        <v>0</v>
      </c>
      <c r="D422" s="388">
        <f t="shared" si="1"/>
        <v>0</v>
      </c>
      <c r="E422" s="388">
        <f t="shared" si="2"/>
        <v>0</v>
      </c>
      <c r="F422" s="387">
        <f t="shared" si="3"/>
        <v>0</v>
      </c>
      <c r="G422" s="389" t="str">
        <f t="shared" si="4"/>
        <v/>
      </c>
      <c r="H422" s="386" t="str">
        <f t="shared" si="5"/>
        <v/>
      </c>
    </row>
    <row r="423" ht="15.75" customHeight="1">
      <c r="A423" s="391"/>
      <c r="B423" s="386">
        <f t="array" ref="B423">IFERROR(INDEX(SC_OLD!A:A,MATCH($A423,SC_OLD!C:C,0)),"")</f>
        <v>0</v>
      </c>
      <c r="C423" s="387">
        <f>IF($A423="",0,IFERROR(SUMIFS(SC_OLD!D:D,SC_OLD!C:C,$A423,SC_OLD!J:J,"Entregue"),0))</f>
        <v>0</v>
      </c>
      <c r="D423" s="388">
        <f t="shared" si="1"/>
        <v>0</v>
      </c>
      <c r="E423" s="388">
        <f t="shared" si="2"/>
        <v>0</v>
      </c>
      <c r="F423" s="387">
        <f t="shared" si="3"/>
        <v>0</v>
      </c>
      <c r="G423" s="389" t="str">
        <f t="shared" si="4"/>
        <v/>
      </c>
      <c r="H423" s="386" t="str">
        <f t="shared" si="5"/>
        <v/>
      </c>
    </row>
    <row r="424" ht="15.75" customHeight="1">
      <c r="A424" s="391"/>
      <c r="B424" s="386">
        <f t="array" ref="B424">IFERROR(INDEX(SC_OLD!A:A,MATCH($A424,SC_OLD!C:C,0)),"")</f>
        <v>0</v>
      </c>
      <c r="C424" s="387">
        <f>IF($A424="",0,IFERROR(SUMIFS(SC_OLD!D:D,SC_OLD!C:C,$A424,SC_OLD!J:J,"Entregue"),0))</f>
        <v>0</v>
      </c>
      <c r="D424" s="388">
        <f t="shared" si="1"/>
        <v>0</v>
      </c>
      <c r="E424" s="388">
        <f t="shared" si="2"/>
        <v>0</v>
      </c>
      <c r="F424" s="387">
        <f t="shared" si="3"/>
        <v>0</v>
      </c>
      <c r="G424" s="389" t="str">
        <f t="shared" si="4"/>
        <v/>
      </c>
      <c r="H424" s="386" t="str">
        <f t="shared" si="5"/>
        <v/>
      </c>
    </row>
    <row r="425" ht="15.75" customHeight="1">
      <c r="A425" s="391"/>
      <c r="B425" s="386">
        <f t="array" ref="B425">IFERROR(INDEX(SC_OLD!A:A,MATCH($A425,SC_OLD!C:C,0)),"")</f>
        <v>0</v>
      </c>
      <c r="C425" s="387">
        <f>IF($A425="",0,IFERROR(SUMIFS(SC_OLD!D:D,SC_OLD!C:C,$A425,SC_OLD!J:J,"Entregue"),0))</f>
        <v>0</v>
      </c>
      <c r="D425" s="388">
        <f t="shared" si="1"/>
        <v>0</v>
      </c>
      <c r="E425" s="388">
        <f t="shared" si="2"/>
        <v>0</v>
      </c>
      <c r="F425" s="387">
        <f t="shared" si="3"/>
        <v>0</v>
      </c>
      <c r="G425" s="389" t="str">
        <f t="shared" si="4"/>
        <v/>
      </c>
      <c r="H425" s="386" t="str">
        <f t="shared" si="5"/>
        <v/>
      </c>
    </row>
    <row r="426" ht="15.75" customHeight="1">
      <c r="A426" s="391"/>
      <c r="B426" s="386">
        <f t="array" ref="B426">IFERROR(INDEX(SC_OLD!A:A,MATCH($A426,SC_OLD!C:C,0)),"")</f>
        <v>0</v>
      </c>
      <c r="C426" s="387">
        <f>IF($A426="",0,IFERROR(SUMIFS(SC_OLD!D:D,SC_OLD!C:C,$A426,SC_OLD!J:J,"Entregue"),0))</f>
        <v>0</v>
      </c>
      <c r="D426" s="388">
        <f t="shared" si="1"/>
        <v>0</v>
      </c>
      <c r="E426" s="388">
        <f t="shared" si="2"/>
        <v>0</v>
      </c>
      <c r="F426" s="387">
        <f t="shared" si="3"/>
        <v>0</v>
      </c>
      <c r="G426" s="389" t="str">
        <f t="shared" si="4"/>
        <v/>
      </c>
      <c r="H426" s="386" t="str">
        <f t="shared" si="5"/>
        <v/>
      </c>
    </row>
    <row r="427" ht="15.75" customHeight="1">
      <c r="A427" s="391"/>
      <c r="B427" s="386">
        <f t="array" ref="B427">IFERROR(INDEX(SC_OLD!A:A,MATCH($A427,SC_OLD!C:C,0)),"")</f>
        <v>0</v>
      </c>
      <c r="C427" s="387">
        <f>IF($A427="",0,IFERROR(SUMIFS(SC_OLD!D:D,SC_OLD!C:C,$A427,SC_OLD!J:J,"Entregue"),0))</f>
        <v>0</v>
      </c>
      <c r="D427" s="388">
        <f t="shared" si="1"/>
        <v>0</v>
      </c>
      <c r="E427" s="388">
        <f t="shared" si="2"/>
        <v>0</v>
      </c>
      <c r="F427" s="387">
        <f t="shared" si="3"/>
        <v>0</v>
      </c>
      <c r="G427" s="389" t="str">
        <f t="shared" si="4"/>
        <v/>
      </c>
      <c r="H427" s="386" t="str">
        <f t="shared" si="5"/>
        <v/>
      </c>
    </row>
    <row r="428" ht="15.75" customHeight="1">
      <c r="A428" s="391"/>
      <c r="B428" s="386">
        <f t="array" ref="B428">IFERROR(INDEX(SC_OLD!A:A,MATCH($A428,SC_OLD!C:C,0)),"")</f>
        <v>0</v>
      </c>
      <c r="C428" s="387">
        <f>IF($A428="",0,IFERROR(SUMIFS(SC_OLD!D:D,SC_OLD!C:C,$A428,SC_OLD!J:J,"Entregue"),0))</f>
        <v>0</v>
      </c>
      <c r="D428" s="388">
        <f t="shared" si="1"/>
        <v>0</v>
      </c>
      <c r="E428" s="388">
        <f t="shared" si="2"/>
        <v>0</v>
      </c>
      <c r="F428" s="387">
        <f t="shared" si="3"/>
        <v>0</v>
      </c>
      <c r="G428" s="389" t="str">
        <f t="shared" si="4"/>
        <v/>
      </c>
      <c r="H428" s="386" t="str">
        <f t="shared" si="5"/>
        <v/>
      </c>
    </row>
    <row r="429" ht="15.75" customHeight="1">
      <c r="A429" s="391"/>
      <c r="B429" s="386">
        <f t="array" ref="B429">IFERROR(INDEX(SC_OLD!A:A,MATCH($A429,SC_OLD!C:C,0)),"")</f>
        <v>0</v>
      </c>
      <c r="C429" s="387">
        <f>IF($A429="",0,IFERROR(SUMIFS(SC_OLD!D:D,SC_OLD!C:C,$A429,SC_OLD!J:J,"Entregue"),0))</f>
        <v>0</v>
      </c>
      <c r="D429" s="388">
        <f t="shared" si="1"/>
        <v>0</v>
      </c>
      <c r="E429" s="388">
        <f t="shared" si="2"/>
        <v>0</v>
      </c>
      <c r="F429" s="387">
        <f t="shared" si="3"/>
        <v>0</v>
      </c>
      <c r="G429" s="389" t="str">
        <f t="shared" si="4"/>
        <v/>
      </c>
      <c r="H429" s="386" t="str">
        <f t="shared" si="5"/>
        <v/>
      </c>
    </row>
    <row r="430" ht="15.75" customHeight="1">
      <c r="A430" s="391"/>
      <c r="B430" s="386">
        <f t="array" ref="B430">IFERROR(INDEX(SC_OLD!A:A,MATCH($A430,SC_OLD!C:C,0)),"")</f>
        <v>0</v>
      </c>
      <c r="C430" s="387">
        <f>IF($A430="",0,IFERROR(SUMIFS(SC_OLD!D:D,SC_OLD!C:C,$A430,SC_OLD!J:J,"Entregue"),0))</f>
        <v>0</v>
      </c>
      <c r="D430" s="388">
        <f t="shared" si="1"/>
        <v>0</v>
      </c>
      <c r="E430" s="388">
        <f t="shared" si="2"/>
        <v>0</v>
      </c>
      <c r="F430" s="387">
        <f t="shared" si="3"/>
        <v>0</v>
      </c>
      <c r="G430" s="389" t="str">
        <f t="shared" si="4"/>
        <v/>
      </c>
      <c r="H430" s="386" t="str">
        <f t="shared" si="5"/>
        <v/>
      </c>
    </row>
    <row r="431" ht="15.75" customHeight="1">
      <c r="A431" s="391"/>
      <c r="B431" s="386">
        <f t="array" ref="B431">IFERROR(INDEX(SC_OLD!A:A,MATCH($A431,SC_OLD!C:C,0)),"")</f>
        <v>0</v>
      </c>
      <c r="C431" s="387">
        <f>IF($A431="",0,IFERROR(SUMIFS(SC_OLD!D:D,SC_OLD!C:C,$A431,SC_OLD!J:J,"Entregue"),0))</f>
        <v>0</v>
      </c>
      <c r="D431" s="388">
        <f t="shared" si="1"/>
        <v>0</v>
      </c>
      <c r="E431" s="388">
        <f t="shared" si="2"/>
        <v>0</v>
      </c>
      <c r="F431" s="387">
        <f t="shared" si="3"/>
        <v>0</v>
      </c>
      <c r="G431" s="389" t="str">
        <f t="shared" si="4"/>
        <v/>
      </c>
      <c r="H431" s="386" t="str">
        <f t="shared" si="5"/>
        <v/>
      </c>
    </row>
    <row r="432" ht="15.75" customHeight="1">
      <c r="A432" s="391"/>
      <c r="B432" s="386">
        <f t="array" ref="B432">IFERROR(INDEX(SC_OLD!A:A,MATCH($A432,SC_OLD!C:C,0)),"")</f>
        <v>0</v>
      </c>
      <c r="C432" s="387">
        <f>IF($A432="",0,IFERROR(SUMIFS(SC_OLD!D:D,SC_OLD!C:C,$A432,SC_OLD!J:J,"Entregue"),0))</f>
        <v>0</v>
      </c>
      <c r="D432" s="388">
        <f t="shared" si="1"/>
        <v>0</v>
      </c>
      <c r="E432" s="388">
        <f t="shared" si="2"/>
        <v>0</v>
      </c>
      <c r="F432" s="387">
        <f t="shared" si="3"/>
        <v>0</v>
      </c>
      <c r="G432" s="389" t="str">
        <f t="shared" si="4"/>
        <v/>
      </c>
      <c r="H432" s="386" t="str">
        <f t="shared" si="5"/>
        <v/>
      </c>
    </row>
    <row r="433" ht="15.75" customHeight="1">
      <c r="A433" s="391"/>
      <c r="B433" s="386">
        <f t="array" ref="B433">IFERROR(INDEX(SC_OLD!A:A,MATCH($A433,SC_OLD!C:C,0)),"")</f>
        <v>0</v>
      </c>
      <c r="C433" s="387">
        <f>IF($A433="",0,IFERROR(SUMIFS(SC_OLD!D:D,SC_OLD!C:C,$A433,SC_OLD!J:J,"Entregue"),0))</f>
        <v>0</v>
      </c>
      <c r="D433" s="388">
        <f t="shared" si="1"/>
        <v>0</v>
      </c>
      <c r="E433" s="388">
        <f t="shared" si="2"/>
        <v>0</v>
      </c>
      <c r="F433" s="387">
        <f t="shared" si="3"/>
        <v>0</v>
      </c>
      <c r="G433" s="389" t="str">
        <f t="shared" si="4"/>
        <v/>
      </c>
      <c r="H433" s="386" t="str">
        <f t="shared" si="5"/>
        <v/>
      </c>
    </row>
    <row r="434" ht="15.75" customHeight="1">
      <c r="A434" s="391"/>
      <c r="B434" s="386">
        <f t="array" ref="B434">IFERROR(INDEX(SC_OLD!A:A,MATCH($A434,SC_OLD!C:C,0)),"")</f>
        <v>0</v>
      </c>
      <c r="C434" s="387">
        <f>IF($A434="",0,IFERROR(SUMIFS(SC_OLD!D:D,SC_OLD!C:C,$A434,SC_OLD!J:J,"Entregue"),0))</f>
        <v>0</v>
      </c>
      <c r="D434" s="388">
        <f t="shared" si="1"/>
        <v>0</v>
      </c>
      <c r="E434" s="388">
        <f t="shared" si="2"/>
        <v>0</v>
      </c>
      <c r="F434" s="387">
        <f t="shared" si="3"/>
        <v>0</v>
      </c>
      <c r="G434" s="389" t="str">
        <f t="shared" si="4"/>
        <v/>
      </c>
      <c r="H434" s="386" t="str">
        <f t="shared" si="5"/>
        <v/>
      </c>
    </row>
    <row r="435" ht="15.75" customHeight="1">
      <c r="A435" s="391"/>
      <c r="B435" s="386">
        <f t="array" ref="B435">IFERROR(INDEX(SC_OLD!A:A,MATCH($A435,SC_OLD!C:C,0)),"")</f>
        <v>0</v>
      </c>
      <c r="C435" s="387">
        <f>IF($A435="",0,IFERROR(SUMIFS(SC_OLD!D:D,SC_OLD!C:C,$A435,SC_OLD!J:J,"Entregue"),0))</f>
        <v>0</v>
      </c>
      <c r="D435" s="388">
        <f t="shared" si="1"/>
        <v>0</v>
      </c>
      <c r="E435" s="388">
        <f t="shared" si="2"/>
        <v>0</v>
      </c>
      <c r="F435" s="387">
        <f t="shared" si="3"/>
        <v>0</v>
      </c>
      <c r="G435" s="389" t="str">
        <f t="shared" si="4"/>
        <v/>
      </c>
      <c r="H435" s="386" t="str">
        <f t="shared" si="5"/>
        <v/>
      </c>
    </row>
    <row r="436" ht="15.75" customHeight="1">
      <c r="A436" s="391"/>
      <c r="B436" s="386">
        <f t="array" ref="B436">IFERROR(INDEX(SC_OLD!A:A,MATCH($A436,SC_OLD!C:C,0)),"")</f>
        <v>0</v>
      </c>
      <c r="C436" s="387">
        <f>IF($A436="",0,IFERROR(SUMIFS(SC_OLD!D:D,SC_OLD!C:C,$A436,SC_OLD!J:J,"Entregue"),0))</f>
        <v>0</v>
      </c>
      <c r="D436" s="388">
        <f t="shared" si="1"/>
        <v>0</v>
      </c>
      <c r="E436" s="388">
        <f t="shared" si="2"/>
        <v>0</v>
      </c>
      <c r="F436" s="387">
        <f t="shared" si="3"/>
        <v>0</v>
      </c>
      <c r="G436" s="389" t="str">
        <f t="shared" si="4"/>
        <v/>
      </c>
      <c r="H436" s="386" t="str">
        <f t="shared" si="5"/>
        <v/>
      </c>
    </row>
    <row r="437" ht="15.75" customHeight="1">
      <c r="A437" s="391"/>
      <c r="B437" s="386">
        <f t="array" ref="B437">IFERROR(INDEX(SC_OLD!A:A,MATCH($A437,SC_OLD!C:C,0)),"")</f>
        <v>0</v>
      </c>
      <c r="C437" s="387">
        <f>IF($A437="",0,IFERROR(SUMIFS(SC_OLD!D:D,SC_OLD!C:C,$A437,SC_OLD!J:J,"Entregue"),0))</f>
        <v>0</v>
      </c>
      <c r="D437" s="388">
        <f t="shared" si="1"/>
        <v>0</v>
      </c>
      <c r="E437" s="388">
        <f t="shared" si="2"/>
        <v>0</v>
      </c>
      <c r="F437" s="387">
        <f t="shared" si="3"/>
        <v>0</v>
      </c>
      <c r="G437" s="389" t="str">
        <f t="shared" si="4"/>
        <v/>
      </c>
      <c r="H437" s="386" t="str">
        <f t="shared" si="5"/>
        <v/>
      </c>
    </row>
    <row r="438" ht="15.75" customHeight="1">
      <c r="A438" s="391"/>
      <c r="B438" s="386">
        <f t="array" ref="B438">IFERROR(INDEX(SC_OLD!A:A,MATCH($A438,SC_OLD!C:C,0)),"")</f>
        <v>0</v>
      </c>
      <c r="C438" s="387">
        <f>IF($A438="",0,IFERROR(SUMIFS(SC_OLD!D:D,SC_OLD!C:C,$A438,SC_OLD!J:J,"Entregue"),0))</f>
        <v>0</v>
      </c>
      <c r="D438" s="388">
        <f t="shared" si="1"/>
        <v>0</v>
      </c>
      <c r="E438" s="388">
        <f t="shared" si="2"/>
        <v>0</v>
      </c>
      <c r="F438" s="387">
        <f t="shared" si="3"/>
        <v>0</v>
      </c>
      <c r="G438" s="389" t="str">
        <f t="shared" si="4"/>
        <v/>
      </c>
      <c r="H438" s="386" t="str">
        <f t="shared" si="5"/>
        <v/>
      </c>
    </row>
    <row r="439" ht="15.75" customHeight="1">
      <c r="A439" s="391"/>
      <c r="B439" s="386">
        <f t="array" ref="B439">IFERROR(INDEX(SC_OLD!A:A,MATCH($A439,SC_OLD!C:C,0)),"")</f>
        <v>0</v>
      </c>
      <c r="C439" s="387">
        <f>IF($A439="",0,IFERROR(SUMIFS(SC_OLD!D:D,SC_OLD!C:C,$A439,SC_OLD!J:J,"Entregue"),0))</f>
        <v>0</v>
      </c>
      <c r="D439" s="388">
        <f t="shared" si="1"/>
        <v>0</v>
      </c>
      <c r="E439" s="388">
        <f t="shared" si="2"/>
        <v>0</v>
      </c>
      <c r="F439" s="387">
        <f t="shared" si="3"/>
        <v>0</v>
      </c>
      <c r="G439" s="389" t="str">
        <f t="shared" si="4"/>
        <v/>
      </c>
      <c r="H439" s="386" t="str">
        <f t="shared" si="5"/>
        <v/>
      </c>
    </row>
    <row r="440" ht="15.75" customHeight="1">
      <c r="A440" s="391"/>
      <c r="B440" s="386">
        <f t="array" ref="B440">IFERROR(INDEX(SC_OLD!A:A,MATCH($A440,SC_OLD!C:C,0)),"")</f>
        <v>0</v>
      </c>
      <c r="C440" s="387">
        <f>IF($A440="",0,IFERROR(SUMIFS(SC_OLD!D:D,SC_OLD!C:C,$A440,SC_OLD!J:J,"Entregue"),0))</f>
        <v>0</v>
      </c>
      <c r="D440" s="388">
        <f t="shared" si="1"/>
        <v>0</v>
      </c>
      <c r="E440" s="388">
        <f t="shared" si="2"/>
        <v>0</v>
      </c>
      <c r="F440" s="387">
        <f t="shared" si="3"/>
        <v>0</v>
      </c>
      <c r="G440" s="389" t="str">
        <f t="shared" si="4"/>
        <v/>
      </c>
      <c r="H440" s="386" t="str">
        <f t="shared" si="5"/>
        <v/>
      </c>
    </row>
    <row r="441" ht="15.75" customHeight="1">
      <c r="A441" s="391"/>
      <c r="B441" s="386">
        <f t="array" ref="B441">IFERROR(INDEX(SC_OLD!A:A,MATCH($A441,SC_OLD!C:C,0)),"")</f>
        <v>0</v>
      </c>
      <c r="C441" s="387">
        <f>IF($A441="",0,IFERROR(SUMIFS(SC_OLD!D:D,SC_OLD!C:C,$A441,SC_OLD!J:J,"Entregue"),0))</f>
        <v>0</v>
      </c>
      <c r="D441" s="388">
        <f t="shared" si="1"/>
        <v>0</v>
      </c>
      <c r="E441" s="388">
        <f t="shared" si="2"/>
        <v>0</v>
      </c>
      <c r="F441" s="387">
        <f t="shared" si="3"/>
        <v>0</v>
      </c>
      <c r="G441" s="389" t="str">
        <f t="shared" si="4"/>
        <v/>
      </c>
      <c r="H441" s="386" t="str">
        <f t="shared" si="5"/>
        <v/>
      </c>
    </row>
    <row r="442" ht="15.75" customHeight="1">
      <c r="A442" s="391"/>
      <c r="B442" s="386">
        <f t="array" ref="B442">IFERROR(INDEX(SC_OLD!A:A,MATCH($A442,SC_OLD!C:C,0)),"")</f>
        <v>0</v>
      </c>
      <c r="C442" s="387">
        <f>IF($A442="",0,IFERROR(SUMIFS(SC_OLD!D:D,SC_OLD!C:C,$A442,SC_OLD!J:J,"Entregue"),0))</f>
        <v>0</v>
      </c>
      <c r="D442" s="388">
        <f t="shared" si="1"/>
        <v>0</v>
      </c>
      <c r="E442" s="388">
        <f t="shared" si="2"/>
        <v>0</v>
      </c>
      <c r="F442" s="387">
        <f t="shared" si="3"/>
        <v>0</v>
      </c>
      <c r="G442" s="389" t="str">
        <f t="shared" si="4"/>
        <v/>
      </c>
      <c r="H442" s="386" t="str">
        <f t="shared" si="5"/>
        <v/>
      </c>
    </row>
    <row r="443" ht="15.75" customHeight="1">
      <c r="A443" s="391"/>
      <c r="B443" s="386">
        <f t="array" ref="B443">IFERROR(INDEX(SC_OLD!A:A,MATCH($A443,SC_OLD!C:C,0)),"")</f>
        <v>0</v>
      </c>
      <c r="C443" s="387">
        <f>IF($A443="",0,IFERROR(SUMIFS(SC_OLD!D:D,SC_OLD!C:C,$A443,SC_OLD!J:J,"Entregue"),0))</f>
        <v>0</v>
      </c>
      <c r="D443" s="388">
        <f t="shared" si="1"/>
        <v>0</v>
      </c>
      <c r="E443" s="388">
        <f t="shared" si="2"/>
        <v>0</v>
      </c>
      <c r="F443" s="387">
        <f t="shared" si="3"/>
        <v>0</v>
      </c>
      <c r="G443" s="389" t="str">
        <f t="shared" si="4"/>
        <v/>
      </c>
      <c r="H443" s="386" t="str">
        <f t="shared" si="5"/>
        <v/>
      </c>
    </row>
    <row r="444" ht="15.75" customHeight="1">
      <c r="A444" s="391"/>
      <c r="B444" s="386">
        <f t="array" ref="B444">IFERROR(INDEX(SC_OLD!A:A,MATCH($A444,SC_OLD!C:C,0)),"")</f>
        <v>0</v>
      </c>
      <c r="C444" s="387">
        <f>IF($A444="",0,IFERROR(SUMIFS(SC_OLD!D:D,SC_OLD!C:C,$A444,SC_OLD!J:J,"Entregue"),0))</f>
        <v>0</v>
      </c>
      <c r="D444" s="388">
        <f t="shared" si="1"/>
        <v>0</v>
      </c>
      <c r="E444" s="388">
        <f t="shared" si="2"/>
        <v>0</v>
      </c>
      <c r="F444" s="387">
        <f t="shared" si="3"/>
        <v>0</v>
      </c>
      <c r="G444" s="389" t="str">
        <f t="shared" si="4"/>
        <v/>
      </c>
      <c r="H444" s="386" t="str">
        <f t="shared" si="5"/>
        <v/>
      </c>
    </row>
    <row r="445" ht="15.75" customHeight="1">
      <c r="A445" s="391"/>
      <c r="B445" s="386">
        <f t="array" ref="B445">IFERROR(INDEX(SC_OLD!A:A,MATCH($A445,SC_OLD!C:C,0)),"")</f>
        <v>0</v>
      </c>
      <c r="C445" s="387">
        <f>IF($A445="",0,IFERROR(SUMIFS(SC_OLD!D:D,SC_OLD!C:C,$A445,SC_OLD!J:J,"Entregue"),0))</f>
        <v>0</v>
      </c>
      <c r="D445" s="388">
        <f t="shared" si="1"/>
        <v>0</v>
      </c>
      <c r="E445" s="388">
        <f t="shared" si="2"/>
        <v>0</v>
      </c>
      <c r="F445" s="387">
        <f t="shared" si="3"/>
        <v>0</v>
      </c>
      <c r="G445" s="389" t="str">
        <f t="shared" si="4"/>
        <v/>
      </c>
      <c r="H445" s="386" t="str">
        <f t="shared" si="5"/>
        <v/>
      </c>
    </row>
    <row r="446" ht="15.75" customHeight="1">
      <c r="A446" s="391"/>
      <c r="B446" s="386">
        <f t="array" ref="B446">IFERROR(INDEX(SC_OLD!A:A,MATCH($A446,SC_OLD!C:C,0)),"")</f>
        <v>0</v>
      </c>
      <c r="C446" s="387">
        <f>IF($A446="",0,IFERROR(SUMIFS(SC_OLD!D:D,SC_OLD!C:C,$A446,SC_OLD!J:J,"Entregue"),0))</f>
        <v>0</v>
      </c>
      <c r="D446" s="388">
        <f t="shared" si="1"/>
        <v>0</v>
      </c>
      <c r="E446" s="388">
        <f t="shared" si="2"/>
        <v>0</v>
      </c>
      <c r="F446" s="387">
        <f t="shared" si="3"/>
        <v>0</v>
      </c>
      <c r="G446" s="389" t="str">
        <f t="shared" si="4"/>
        <v/>
      </c>
      <c r="H446" s="386" t="str">
        <f t="shared" si="5"/>
        <v/>
      </c>
    </row>
    <row r="447" ht="15.75" customHeight="1">
      <c r="A447" s="391"/>
      <c r="B447" s="386">
        <f t="array" ref="B447">IFERROR(INDEX(SC_OLD!A:A,MATCH($A447,SC_OLD!C:C,0)),"")</f>
        <v>0</v>
      </c>
      <c r="C447" s="387">
        <f>IF($A447="",0,IFERROR(SUMIFS(SC_OLD!D:D,SC_OLD!C:C,$A447,SC_OLD!J:J,"Entregue"),0))</f>
        <v>0</v>
      </c>
      <c r="D447" s="388">
        <f t="shared" si="1"/>
        <v>0</v>
      </c>
      <c r="E447" s="388">
        <f t="shared" si="2"/>
        <v>0</v>
      </c>
      <c r="F447" s="387">
        <f t="shared" si="3"/>
        <v>0</v>
      </c>
      <c r="G447" s="389" t="str">
        <f t="shared" si="4"/>
        <v/>
      </c>
      <c r="H447" s="386" t="str">
        <f t="shared" si="5"/>
        <v/>
      </c>
    </row>
    <row r="448" ht="15.75" customHeight="1">
      <c r="A448" s="391"/>
      <c r="B448" s="386">
        <f t="array" ref="B448">IFERROR(INDEX(SC_OLD!A:A,MATCH($A448,SC_OLD!C:C,0)),"")</f>
        <v>0</v>
      </c>
      <c r="C448" s="387">
        <f>IF($A448="",0,IFERROR(SUMIFS(SC_OLD!D:D,SC_OLD!C:C,$A448,SC_OLD!J:J,"Entregue"),0))</f>
        <v>0</v>
      </c>
      <c r="D448" s="388">
        <f t="shared" si="1"/>
        <v>0</v>
      </c>
      <c r="E448" s="388">
        <f t="shared" si="2"/>
        <v>0</v>
      </c>
      <c r="F448" s="387">
        <f t="shared" si="3"/>
        <v>0</v>
      </c>
      <c r="G448" s="389" t="str">
        <f t="shared" si="4"/>
        <v/>
      </c>
      <c r="H448" s="386" t="str">
        <f t="shared" si="5"/>
        <v/>
      </c>
    </row>
    <row r="449" ht="15.75" customHeight="1">
      <c r="A449" s="391"/>
      <c r="B449" s="386">
        <f t="array" ref="B449">IFERROR(INDEX(SC_OLD!A:A,MATCH($A449,SC_OLD!C:C,0)),"")</f>
        <v>0</v>
      </c>
      <c r="C449" s="387">
        <f>IF($A449="",0,IFERROR(SUMIFS(SC_OLD!D:D,SC_OLD!C:C,$A449,SC_OLD!J:J,"Entregue"),0))</f>
        <v>0</v>
      </c>
      <c r="D449" s="388">
        <f t="shared" si="1"/>
        <v>0</v>
      </c>
      <c r="E449" s="388">
        <f t="shared" si="2"/>
        <v>0</v>
      </c>
      <c r="F449" s="387">
        <f t="shared" si="3"/>
        <v>0</v>
      </c>
      <c r="G449" s="389" t="str">
        <f t="shared" si="4"/>
        <v/>
      </c>
      <c r="H449" s="386" t="str">
        <f t="shared" si="5"/>
        <v/>
      </c>
    </row>
    <row r="450" ht="15.75" customHeight="1">
      <c r="A450" s="391"/>
      <c r="B450" s="386">
        <f t="array" ref="B450">IFERROR(INDEX(SC_OLD!A:A,MATCH($A450,SC_OLD!C:C,0)),"")</f>
        <v>0</v>
      </c>
      <c r="C450" s="387">
        <f>IF($A450="",0,IFERROR(SUMIFS(SC_OLD!D:D,SC_OLD!C:C,$A450,SC_OLD!J:J,"Entregue"),0))</f>
        <v>0</v>
      </c>
      <c r="D450" s="388">
        <f t="shared" si="1"/>
        <v>0</v>
      </c>
      <c r="E450" s="388">
        <f t="shared" si="2"/>
        <v>0</v>
      </c>
      <c r="F450" s="387">
        <f t="shared" si="3"/>
        <v>0</v>
      </c>
      <c r="G450" s="389" t="str">
        <f t="shared" si="4"/>
        <v/>
      </c>
      <c r="H450" s="386" t="str">
        <f t="shared" si="5"/>
        <v/>
      </c>
    </row>
    <row r="451" ht="15.75" customHeight="1">
      <c r="A451" s="391"/>
      <c r="B451" s="386">
        <f t="array" ref="B451">IFERROR(INDEX(SC_OLD!A:A,MATCH($A451,SC_OLD!C:C,0)),"")</f>
        <v>0</v>
      </c>
      <c r="C451" s="387">
        <f>IF($A451="",0,IFERROR(SUMIFS(SC_OLD!D:D,SC_OLD!C:C,$A451,SC_OLD!J:J,"Entregue"),0))</f>
        <v>0</v>
      </c>
      <c r="D451" s="388">
        <f t="shared" si="1"/>
        <v>0</v>
      </c>
      <c r="E451" s="388">
        <f t="shared" si="2"/>
        <v>0</v>
      </c>
      <c r="F451" s="387">
        <f t="shared" si="3"/>
        <v>0</v>
      </c>
      <c r="G451" s="389" t="str">
        <f t="shared" si="4"/>
        <v/>
      </c>
      <c r="H451" s="386" t="str">
        <f t="shared" si="5"/>
        <v/>
      </c>
    </row>
    <row r="452" ht="15.75" customHeight="1">
      <c r="A452" s="391"/>
      <c r="B452" s="386">
        <f t="array" ref="B452">IFERROR(INDEX(SC_OLD!A:A,MATCH($A452,SC_OLD!C:C,0)),"")</f>
        <v>0</v>
      </c>
      <c r="C452" s="387">
        <f>IF($A452="",0,IFERROR(SUMIFS(SC_OLD!D:D,SC_OLD!C:C,$A452,SC_OLD!J:J,"Entregue"),0))</f>
        <v>0</v>
      </c>
      <c r="D452" s="388">
        <f t="shared" si="1"/>
        <v>0</v>
      </c>
      <c r="E452" s="388">
        <f t="shared" si="2"/>
        <v>0</v>
      </c>
      <c r="F452" s="387">
        <f t="shared" si="3"/>
        <v>0</v>
      </c>
      <c r="G452" s="389" t="str">
        <f t="shared" si="4"/>
        <v/>
      </c>
      <c r="H452" s="386" t="str">
        <f t="shared" si="5"/>
        <v/>
      </c>
    </row>
    <row r="453" ht="15.75" customHeight="1">
      <c r="A453" s="391"/>
      <c r="B453" s="386">
        <f t="array" ref="B453">IFERROR(INDEX(SC_OLD!A:A,MATCH($A453,SC_OLD!C:C,0)),"")</f>
        <v>0</v>
      </c>
      <c r="C453" s="387">
        <f>IF($A453="",0,IFERROR(SUMIFS(SC_OLD!D:D,SC_OLD!C:C,$A453,SC_OLD!J:J,"Entregue"),0))</f>
        <v>0</v>
      </c>
      <c r="D453" s="388">
        <f t="shared" si="1"/>
        <v>0</v>
      </c>
      <c r="E453" s="388">
        <f t="shared" si="2"/>
        <v>0</v>
      </c>
      <c r="F453" s="387">
        <f t="shared" si="3"/>
        <v>0</v>
      </c>
      <c r="G453" s="389" t="str">
        <f t="shared" si="4"/>
        <v/>
      </c>
      <c r="H453" s="386" t="str">
        <f t="shared" si="5"/>
        <v/>
      </c>
    </row>
    <row r="454" ht="15.75" customHeight="1">
      <c r="A454" s="391"/>
      <c r="B454" s="386">
        <f t="array" ref="B454">IFERROR(INDEX(SC_OLD!A:A,MATCH($A454,SC_OLD!C:C,0)),"")</f>
        <v>0</v>
      </c>
      <c r="C454" s="387">
        <f>IF($A454="",0,IFERROR(SUMIFS(SC_OLD!D:D,SC_OLD!C:C,$A454,SC_OLD!J:J,"Entregue"),0))</f>
        <v>0</v>
      </c>
      <c r="D454" s="388">
        <f t="shared" si="1"/>
        <v>0</v>
      </c>
      <c r="E454" s="388">
        <f t="shared" si="2"/>
        <v>0</v>
      </c>
      <c r="F454" s="387">
        <f t="shared" si="3"/>
        <v>0</v>
      </c>
      <c r="G454" s="389" t="str">
        <f t="shared" si="4"/>
        <v/>
      </c>
      <c r="H454" s="386" t="str">
        <f t="shared" si="5"/>
        <v/>
      </c>
    </row>
    <row r="455" ht="15.75" customHeight="1">
      <c r="A455" s="391"/>
      <c r="B455" s="386">
        <f t="array" ref="B455">IFERROR(INDEX(SC_OLD!A:A,MATCH($A455,SC_OLD!C:C,0)),"")</f>
        <v>0</v>
      </c>
      <c r="C455" s="387">
        <f>IF($A455="",0,IFERROR(SUMIFS(SC_OLD!D:D,SC_OLD!C:C,$A455,SC_OLD!J:J,"Entregue"),0))</f>
        <v>0</v>
      </c>
      <c r="D455" s="388">
        <f t="shared" si="1"/>
        <v>0</v>
      </c>
      <c r="E455" s="388">
        <f t="shared" si="2"/>
        <v>0</v>
      </c>
      <c r="F455" s="387">
        <f t="shared" si="3"/>
        <v>0</v>
      </c>
      <c r="G455" s="389" t="str">
        <f t="shared" si="4"/>
        <v/>
      </c>
      <c r="H455" s="386" t="str">
        <f t="shared" si="5"/>
        <v/>
      </c>
    </row>
    <row r="456" ht="15.75" customHeight="1">
      <c r="A456" s="391"/>
      <c r="B456" s="386">
        <f t="array" ref="B456">IFERROR(INDEX(SC_OLD!A:A,MATCH($A456,SC_OLD!C:C,0)),"")</f>
        <v>0</v>
      </c>
      <c r="C456" s="387">
        <f>IF($A456="",0,IFERROR(SUMIFS(SC_OLD!D:D,SC_OLD!C:C,$A456,SC_OLD!J:J,"Entregue"),0))</f>
        <v>0</v>
      </c>
      <c r="D456" s="388">
        <f t="shared" si="1"/>
        <v>0</v>
      </c>
      <c r="E456" s="388">
        <f t="shared" si="2"/>
        <v>0</v>
      </c>
      <c r="F456" s="387">
        <f t="shared" si="3"/>
        <v>0</v>
      </c>
      <c r="G456" s="389" t="str">
        <f t="shared" si="4"/>
        <v/>
      </c>
      <c r="H456" s="386" t="str">
        <f t="shared" si="5"/>
        <v/>
      </c>
    </row>
    <row r="457" ht="15.75" customHeight="1">
      <c r="A457" s="391"/>
      <c r="B457" s="386">
        <f t="array" ref="B457">IFERROR(INDEX(SC_OLD!A:A,MATCH($A457,SC_OLD!C:C,0)),"")</f>
        <v>0</v>
      </c>
      <c r="C457" s="387">
        <f>IF($A457="",0,IFERROR(SUMIFS(SC_OLD!D:D,SC_OLD!C:C,$A457,SC_OLD!J:J,"Entregue"),0))</f>
        <v>0</v>
      </c>
      <c r="D457" s="388">
        <f t="shared" si="1"/>
        <v>0</v>
      </c>
      <c r="E457" s="388">
        <f t="shared" si="2"/>
        <v>0</v>
      </c>
      <c r="F457" s="387">
        <f t="shared" si="3"/>
        <v>0</v>
      </c>
      <c r="G457" s="389" t="str">
        <f t="shared" si="4"/>
        <v/>
      </c>
      <c r="H457" s="386" t="str">
        <f t="shared" si="5"/>
        <v/>
      </c>
    </row>
    <row r="458" ht="15.75" customHeight="1">
      <c r="A458" s="391"/>
      <c r="B458" s="386">
        <f t="array" ref="B458">IFERROR(INDEX(SC_OLD!A:A,MATCH($A458,SC_OLD!C:C,0)),"")</f>
        <v>0</v>
      </c>
      <c r="C458" s="387">
        <f>IF($A458="",0,IFERROR(SUMIFS(SC_OLD!D:D,SC_OLD!C:C,$A458,SC_OLD!J:J,"Entregue"),0))</f>
        <v>0</v>
      </c>
      <c r="D458" s="388">
        <f t="shared" si="1"/>
        <v>0</v>
      </c>
      <c r="E458" s="388">
        <f t="shared" si="2"/>
        <v>0</v>
      </c>
      <c r="F458" s="387">
        <f t="shared" si="3"/>
        <v>0</v>
      </c>
      <c r="G458" s="389" t="str">
        <f t="shared" si="4"/>
        <v/>
      </c>
      <c r="H458" s="386" t="str">
        <f t="shared" si="5"/>
        <v/>
      </c>
    </row>
    <row r="459" ht="15.75" customHeight="1">
      <c r="A459" s="391"/>
      <c r="B459" s="386">
        <f t="array" ref="B459">IFERROR(INDEX(SC_OLD!A:A,MATCH($A459,SC_OLD!C:C,0)),"")</f>
        <v>0</v>
      </c>
      <c r="C459" s="387">
        <f>IF($A459="",0,IFERROR(SUMIFS(SC_OLD!D:D,SC_OLD!C:C,$A459,SC_OLD!J:J,"Entregue"),0))</f>
        <v>0</v>
      </c>
      <c r="D459" s="388">
        <f t="shared" si="1"/>
        <v>0</v>
      </c>
      <c r="E459" s="388">
        <f t="shared" si="2"/>
        <v>0</v>
      </c>
      <c r="F459" s="387">
        <f t="shared" si="3"/>
        <v>0</v>
      </c>
      <c r="G459" s="389" t="str">
        <f t="shared" si="4"/>
        <v/>
      </c>
      <c r="H459" s="386" t="str">
        <f t="shared" si="5"/>
        <v/>
      </c>
    </row>
    <row r="460" ht="15.75" customHeight="1">
      <c r="A460" s="391"/>
      <c r="B460" s="386">
        <f t="array" ref="B460">IFERROR(INDEX(SC_OLD!A:A,MATCH($A460,SC_OLD!C:C,0)),"")</f>
        <v>0</v>
      </c>
      <c r="C460" s="387">
        <f>IF($A460="",0,IFERROR(SUMIFS(SC_OLD!D:D,SC_OLD!C:C,$A460,SC_OLD!J:J,"Entregue"),0))</f>
        <v>0</v>
      </c>
      <c r="D460" s="388">
        <f t="shared" si="1"/>
        <v>0</v>
      </c>
      <c r="E460" s="388">
        <f t="shared" si="2"/>
        <v>0</v>
      </c>
      <c r="F460" s="387">
        <f t="shared" si="3"/>
        <v>0</v>
      </c>
      <c r="G460" s="389" t="str">
        <f t="shared" si="4"/>
        <v/>
      </c>
      <c r="H460" s="386" t="str">
        <f t="shared" si="5"/>
        <v/>
      </c>
    </row>
    <row r="461" ht="15.75" customHeight="1">
      <c r="A461" s="391"/>
      <c r="B461" s="386">
        <f t="array" ref="B461">IFERROR(INDEX(SC_OLD!A:A,MATCH($A461,SC_OLD!C:C,0)),"")</f>
        <v>0</v>
      </c>
      <c r="C461" s="387">
        <f>IF($A461="",0,IFERROR(SUMIFS(SC_OLD!D:D,SC_OLD!C:C,$A461,SC_OLD!J:J,"Entregue"),0))</f>
        <v>0</v>
      </c>
      <c r="D461" s="388">
        <f t="shared" si="1"/>
        <v>0</v>
      </c>
      <c r="E461" s="388">
        <f t="shared" si="2"/>
        <v>0</v>
      </c>
      <c r="F461" s="387">
        <f t="shared" si="3"/>
        <v>0</v>
      </c>
      <c r="G461" s="389" t="str">
        <f t="shared" si="4"/>
        <v/>
      </c>
      <c r="H461" s="386" t="str">
        <f t="shared" si="5"/>
        <v/>
      </c>
    </row>
    <row r="462" ht="15.75" customHeight="1">
      <c r="A462" s="391"/>
      <c r="B462" s="386">
        <f t="array" ref="B462">IFERROR(INDEX(SC_OLD!A:A,MATCH($A462,SC_OLD!C:C,0)),"")</f>
        <v>0</v>
      </c>
      <c r="C462" s="387">
        <f>IF($A462="",0,IFERROR(SUMIFS(SC_OLD!D:D,SC_OLD!C:C,$A462,SC_OLD!J:J,"Entregue"),0))</f>
        <v>0</v>
      </c>
      <c r="D462" s="388">
        <f t="shared" si="1"/>
        <v>0</v>
      </c>
      <c r="E462" s="388">
        <f t="shared" si="2"/>
        <v>0</v>
      </c>
      <c r="F462" s="387">
        <f t="shared" si="3"/>
        <v>0</v>
      </c>
      <c r="G462" s="389" t="str">
        <f t="shared" si="4"/>
        <v/>
      </c>
      <c r="H462" s="386" t="str">
        <f t="shared" si="5"/>
        <v/>
      </c>
    </row>
    <row r="463" ht="15.75" customHeight="1">
      <c r="A463" s="391"/>
      <c r="B463" s="386">
        <f t="array" ref="B463">IFERROR(INDEX(SC_OLD!A:A,MATCH($A463,SC_OLD!C:C,0)),"")</f>
        <v>0</v>
      </c>
      <c r="C463" s="387">
        <f>IF($A463="",0,IFERROR(SUMIFS(SC_OLD!D:D,SC_OLD!C:C,$A463,SC_OLD!J:J,"Entregue"),0))</f>
        <v>0</v>
      </c>
      <c r="D463" s="388">
        <f t="shared" si="1"/>
        <v>0</v>
      </c>
      <c r="E463" s="388">
        <f t="shared" si="2"/>
        <v>0</v>
      </c>
      <c r="F463" s="387">
        <f t="shared" si="3"/>
        <v>0</v>
      </c>
      <c r="G463" s="389" t="str">
        <f t="shared" si="4"/>
        <v/>
      </c>
      <c r="H463" s="386" t="str">
        <f t="shared" si="5"/>
        <v/>
      </c>
    </row>
    <row r="464" ht="15.75" customHeight="1">
      <c r="A464" s="391"/>
      <c r="B464" s="386">
        <f t="array" ref="B464">IFERROR(INDEX(SC_OLD!A:A,MATCH($A464,SC_OLD!C:C,0)),"")</f>
        <v>0</v>
      </c>
      <c r="C464" s="387">
        <f>IF($A464="",0,IFERROR(SUMIFS(SC_OLD!D:D,SC_OLD!C:C,$A464,SC_OLD!J:J,"Entregue"),0))</f>
        <v>0</v>
      </c>
      <c r="D464" s="388">
        <f t="shared" si="1"/>
        <v>0</v>
      </c>
      <c r="E464" s="388">
        <f t="shared" si="2"/>
        <v>0</v>
      </c>
      <c r="F464" s="387">
        <f t="shared" si="3"/>
        <v>0</v>
      </c>
      <c r="G464" s="389" t="str">
        <f t="shared" si="4"/>
        <v/>
      </c>
      <c r="H464" s="386" t="str">
        <f t="shared" si="5"/>
        <v/>
      </c>
    </row>
    <row r="465" ht="15.75" customHeight="1">
      <c r="A465" s="391"/>
      <c r="B465" s="386">
        <f t="array" ref="B465">IFERROR(INDEX(SC_OLD!A:A,MATCH($A465,SC_OLD!C:C,0)),"")</f>
        <v>0</v>
      </c>
      <c r="C465" s="387">
        <f>IF($A465="",0,IFERROR(SUMIFS(SC_OLD!D:D,SC_OLD!C:C,$A465,SC_OLD!J:J,"Entregue"),0))</f>
        <v>0</v>
      </c>
      <c r="D465" s="388">
        <f t="shared" si="1"/>
        <v>0</v>
      </c>
      <c r="E465" s="388">
        <f t="shared" si="2"/>
        <v>0</v>
      </c>
      <c r="F465" s="387">
        <f t="shared" si="3"/>
        <v>0</v>
      </c>
      <c r="G465" s="389" t="str">
        <f t="shared" si="4"/>
        <v/>
      </c>
      <c r="H465" s="386" t="str">
        <f t="shared" si="5"/>
        <v/>
      </c>
    </row>
    <row r="466" ht="15.75" customHeight="1">
      <c r="A466" s="391"/>
      <c r="B466" s="386">
        <f t="array" ref="B466">IFERROR(INDEX(SC_OLD!A:A,MATCH($A466,SC_OLD!C:C,0)),"")</f>
        <v>0</v>
      </c>
      <c r="C466" s="387">
        <f>IF($A466="",0,IFERROR(SUMIFS(SC_OLD!D:D,SC_OLD!C:C,$A466,SC_OLD!J:J,"Entregue"),0))</f>
        <v>0</v>
      </c>
      <c r="D466" s="388">
        <f t="shared" si="1"/>
        <v>0</v>
      </c>
      <c r="E466" s="388">
        <f t="shared" si="2"/>
        <v>0</v>
      </c>
      <c r="F466" s="387">
        <f t="shared" si="3"/>
        <v>0</v>
      </c>
      <c r="G466" s="389" t="str">
        <f t="shared" si="4"/>
        <v/>
      </c>
      <c r="H466" s="386" t="str">
        <f t="shared" si="5"/>
        <v/>
      </c>
    </row>
    <row r="467" ht="15.75" customHeight="1">
      <c r="A467" s="391"/>
      <c r="B467" s="386">
        <f t="array" ref="B467">IFERROR(INDEX(SC_OLD!A:A,MATCH($A467,SC_OLD!C:C,0)),"")</f>
        <v>0</v>
      </c>
      <c r="C467" s="387">
        <f>IF($A467="",0,IFERROR(SUMIFS(SC_OLD!D:D,SC_OLD!C:C,$A467,SC_OLD!J:J,"Entregue"),0))</f>
        <v>0</v>
      </c>
      <c r="D467" s="388">
        <f t="shared" si="1"/>
        <v>0</v>
      </c>
      <c r="E467" s="388">
        <f t="shared" si="2"/>
        <v>0</v>
      </c>
      <c r="F467" s="387">
        <f t="shared" si="3"/>
        <v>0</v>
      </c>
      <c r="G467" s="389" t="str">
        <f t="shared" si="4"/>
        <v/>
      </c>
      <c r="H467" s="386" t="str">
        <f t="shared" si="5"/>
        <v/>
      </c>
    </row>
    <row r="468" ht="15.75" customHeight="1">
      <c r="A468" s="391"/>
      <c r="B468" s="386">
        <f t="array" ref="B468">IFERROR(INDEX(SC_OLD!A:A,MATCH($A468,SC_OLD!C:C,0)),"")</f>
        <v>0</v>
      </c>
      <c r="C468" s="387">
        <f>IF($A468="",0,IFERROR(SUMIFS(SC_OLD!D:D,SC_OLD!C:C,$A468,SC_OLD!J:J,"Entregue"),0))</f>
        <v>0</v>
      </c>
      <c r="D468" s="388">
        <f t="shared" si="1"/>
        <v>0</v>
      </c>
      <c r="E468" s="388">
        <f t="shared" si="2"/>
        <v>0</v>
      </c>
      <c r="F468" s="387">
        <f t="shared" si="3"/>
        <v>0</v>
      </c>
      <c r="G468" s="389" t="str">
        <f t="shared" si="4"/>
        <v/>
      </c>
      <c r="H468" s="386" t="str">
        <f t="shared" si="5"/>
        <v/>
      </c>
    </row>
    <row r="469" ht="15.75" customHeight="1">
      <c r="A469" s="391"/>
      <c r="B469" s="386">
        <f t="array" ref="B469">IFERROR(INDEX(SC_OLD!A:A,MATCH($A469,SC_OLD!C:C,0)),"")</f>
        <v>0</v>
      </c>
      <c r="C469" s="387">
        <f>IF($A469="",0,IFERROR(SUMIFS(SC_OLD!D:D,SC_OLD!C:C,$A469,SC_OLD!J:J,"Entregue"),0))</f>
        <v>0</v>
      </c>
      <c r="D469" s="388">
        <f t="shared" si="1"/>
        <v>0</v>
      </c>
      <c r="E469" s="388">
        <f t="shared" si="2"/>
        <v>0</v>
      </c>
      <c r="F469" s="387">
        <f t="shared" si="3"/>
        <v>0</v>
      </c>
      <c r="G469" s="389" t="str">
        <f t="shared" si="4"/>
        <v/>
      </c>
      <c r="H469" s="386" t="str">
        <f t="shared" si="5"/>
        <v/>
      </c>
    </row>
    <row r="470" ht="15.75" customHeight="1">
      <c r="A470" s="391"/>
      <c r="B470" s="386">
        <f t="array" ref="B470">IFERROR(INDEX(SC_OLD!A:A,MATCH($A470,SC_OLD!C:C,0)),"")</f>
        <v>0</v>
      </c>
      <c r="C470" s="387">
        <f>IF($A470="",0,IFERROR(SUMIFS(SC_OLD!D:D,SC_OLD!C:C,$A470,SC_OLD!J:J,"Entregue"),0))</f>
        <v>0</v>
      </c>
      <c r="D470" s="388">
        <f t="shared" si="1"/>
        <v>0</v>
      </c>
      <c r="E470" s="388">
        <f t="shared" si="2"/>
        <v>0</v>
      </c>
      <c r="F470" s="387">
        <f t="shared" si="3"/>
        <v>0</v>
      </c>
      <c r="G470" s="389" t="str">
        <f t="shared" si="4"/>
        <v/>
      </c>
      <c r="H470" s="386" t="str">
        <f t="shared" si="5"/>
        <v/>
      </c>
    </row>
    <row r="471" ht="15.75" customHeight="1">
      <c r="A471" s="391"/>
      <c r="B471" s="386">
        <f t="array" ref="B471">IFERROR(INDEX(SC_OLD!A:A,MATCH($A471,SC_OLD!C:C,0)),"")</f>
        <v>0</v>
      </c>
      <c r="C471" s="387">
        <f>IF($A471="",0,IFERROR(SUMIFS(SC_OLD!D:D,SC_OLD!C:C,$A471,SC_OLD!J:J,"Entregue"),0))</f>
        <v>0</v>
      </c>
      <c r="D471" s="388">
        <f t="shared" si="1"/>
        <v>0</v>
      </c>
      <c r="E471" s="388">
        <f t="shared" si="2"/>
        <v>0</v>
      </c>
      <c r="F471" s="387">
        <f t="shared" si="3"/>
        <v>0</v>
      </c>
      <c r="G471" s="389" t="str">
        <f t="shared" si="4"/>
        <v/>
      </c>
      <c r="H471" s="386" t="str">
        <f t="shared" si="5"/>
        <v/>
      </c>
    </row>
    <row r="472" ht="15.75" customHeight="1">
      <c r="A472" s="391"/>
      <c r="B472" s="386">
        <f t="array" ref="B472">IFERROR(INDEX(SC_OLD!A:A,MATCH($A472,SC_OLD!C:C,0)),"")</f>
        <v>0</v>
      </c>
      <c r="C472" s="387">
        <f>IF($A472="",0,IFERROR(SUMIFS(SC_OLD!D:D,SC_OLD!C:C,$A472,SC_OLD!J:J,"Entregue"),0))</f>
        <v>0</v>
      </c>
      <c r="D472" s="388">
        <f t="shared" si="1"/>
        <v>0</v>
      </c>
      <c r="E472" s="388">
        <f t="shared" si="2"/>
        <v>0</v>
      </c>
      <c r="F472" s="387">
        <f t="shared" si="3"/>
        <v>0</v>
      </c>
      <c r="G472" s="389" t="str">
        <f t="shared" si="4"/>
        <v/>
      </c>
      <c r="H472" s="386" t="str">
        <f t="shared" si="5"/>
        <v/>
      </c>
    </row>
    <row r="473" ht="15.75" customHeight="1">
      <c r="A473" s="391"/>
      <c r="B473" s="386">
        <f t="array" ref="B473">IFERROR(INDEX(SC_OLD!A:A,MATCH($A473,SC_OLD!C:C,0)),"")</f>
        <v>0</v>
      </c>
      <c r="C473" s="387">
        <f>IF($A473="",0,IFERROR(SUMIFS(SC_OLD!D:D,SC_OLD!C:C,$A473,SC_OLD!J:J,"Entregue"),0))</f>
        <v>0</v>
      </c>
      <c r="D473" s="388">
        <f t="shared" si="1"/>
        <v>0</v>
      </c>
      <c r="E473" s="388">
        <f t="shared" si="2"/>
        <v>0</v>
      </c>
      <c r="F473" s="387">
        <f t="shared" si="3"/>
        <v>0</v>
      </c>
      <c r="G473" s="389" t="str">
        <f t="shared" si="4"/>
        <v/>
      </c>
      <c r="H473" s="386" t="str">
        <f t="shared" si="5"/>
        <v/>
      </c>
    </row>
    <row r="474" ht="15.75" customHeight="1">
      <c r="A474" s="391"/>
      <c r="B474" s="386">
        <f t="array" ref="B474">IFERROR(INDEX(SC_OLD!A:A,MATCH($A474,SC_OLD!C:C,0)),"")</f>
        <v>0</v>
      </c>
      <c r="C474" s="387">
        <f>IF($A474="",0,IFERROR(SUMIFS(SC_OLD!D:D,SC_OLD!C:C,$A474,SC_OLD!J:J,"Entregue"),0))</f>
        <v>0</v>
      </c>
      <c r="D474" s="388">
        <f t="shared" si="1"/>
        <v>0</v>
      </c>
      <c r="E474" s="388">
        <f t="shared" si="2"/>
        <v>0</v>
      </c>
      <c r="F474" s="387">
        <f t="shared" si="3"/>
        <v>0</v>
      </c>
      <c r="G474" s="389" t="str">
        <f t="shared" si="4"/>
        <v/>
      </c>
      <c r="H474" s="386" t="str">
        <f t="shared" si="5"/>
        <v/>
      </c>
    </row>
    <row r="475" ht="15.75" customHeight="1">
      <c r="A475" s="391"/>
      <c r="B475" s="386">
        <f t="array" ref="B475">IFERROR(INDEX(SC_OLD!A:A,MATCH($A475,SC_OLD!C:C,0)),"")</f>
        <v>0</v>
      </c>
      <c r="C475" s="387">
        <f>IF($A475="",0,IFERROR(SUMIFS(SC_OLD!D:D,SC_OLD!C:C,$A475,SC_OLD!J:J,"Entregue"),0))</f>
        <v>0</v>
      </c>
      <c r="D475" s="388">
        <f t="shared" si="1"/>
        <v>0</v>
      </c>
      <c r="E475" s="388">
        <f t="shared" si="2"/>
        <v>0</v>
      </c>
      <c r="F475" s="387">
        <f t="shared" si="3"/>
        <v>0</v>
      </c>
      <c r="G475" s="389" t="str">
        <f t="shared" si="4"/>
        <v/>
      </c>
      <c r="H475" s="386" t="str">
        <f t="shared" si="5"/>
        <v/>
      </c>
    </row>
    <row r="476" ht="15.75" customHeight="1">
      <c r="A476" s="391"/>
      <c r="B476" s="386">
        <f t="array" ref="B476">IFERROR(INDEX(SC_OLD!A:A,MATCH($A476,SC_OLD!C:C,0)),"")</f>
        <v>0</v>
      </c>
      <c r="C476" s="387">
        <f>IF($A476="",0,IFERROR(SUMIFS(SC_OLD!D:D,SC_OLD!C:C,$A476,SC_OLD!J:J,"Entregue"),0))</f>
        <v>0</v>
      </c>
      <c r="D476" s="388">
        <f t="shared" si="1"/>
        <v>0</v>
      </c>
      <c r="E476" s="388">
        <f t="shared" si="2"/>
        <v>0</v>
      </c>
      <c r="F476" s="387">
        <f t="shared" si="3"/>
        <v>0</v>
      </c>
      <c r="G476" s="389" t="str">
        <f t="shared" si="4"/>
        <v/>
      </c>
      <c r="H476" s="386" t="str">
        <f t="shared" si="5"/>
        <v/>
      </c>
    </row>
    <row r="477" ht="15.75" customHeight="1">
      <c r="A477" s="391"/>
      <c r="B477" s="386">
        <f t="array" ref="B477">IFERROR(INDEX(SC_OLD!A:A,MATCH($A477,SC_OLD!C:C,0)),"")</f>
        <v>0</v>
      </c>
      <c r="C477" s="387">
        <f>IF($A477="",0,IFERROR(SUMIFS(SC_OLD!D:D,SC_OLD!C:C,$A477,SC_OLD!J:J,"Entregue"),0))</f>
        <v>0</v>
      </c>
      <c r="D477" s="388">
        <f t="shared" si="1"/>
        <v>0</v>
      </c>
      <c r="E477" s="388">
        <f t="shared" si="2"/>
        <v>0</v>
      </c>
      <c r="F477" s="387">
        <f t="shared" si="3"/>
        <v>0</v>
      </c>
      <c r="G477" s="389" t="str">
        <f t="shared" si="4"/>
        <v/>
      </c>
      <c r="H477" s="386" t="str">
        <f t="shared" si="5"/>
        <v/>
      </c>
    </row>
    <row r="478" ht="15.75" customHeight="1">
      <c r="A478" s="391"/>
      <c r="B478" s="386">
        <f t="array" ref="B478">IFERROR(INDEX(SC_OLD!A:A,MATCH($A478,SC_OLD!C:C,0)),"")</f>
        <v>0</v>
      </c>
      <c r="C478" s="387">
        <f>IF($A478="",0,IFERROR(SUMIFS(SC_OLD!D:D,SC_OLD!C:C,$A478,SC_OLD!J:J,"Entregue"),0))</f>
        <v>0</v>
      </c>
      <c r="D478" s="388">
        <f t="shared" si="1"/>
        <v>0</v>
      </c>
      <c r="E478" s="388">
        <f t="shared" si="2"/>
        <v>0</v>
      </c>
      <c r="F478" s="387">
        <f t="shared" si="3"/>
        <v>0</v>
      </c>
      <c r="G478" s="389" t="str">
        <f t="shared" si="4"/>
        <v/>
      </c>
      <c r="H478" s="386" t="str">
        <f t="shared" si="5"/>
        <v/>
      </c>
    </row>
    <row r="479" ht="15.75" customHeight="1">
      <c r="A479" s="391"/>
      <c r="B479" s="386">
        <f t="array" ref="B479">IFERROR(INDEX(SC_OLD!A:A,MATCH($A479,SC_OLD!C:C,0)),"")</f>
        <v>0</v>
      </c>
      <c r="C479" s="387">
        <f>IF($A479="",0,IFERROR(SUMIFS(SC_OLD!D:D,SC_OLD!C:C,$A479,SC_OLD!J:J,"Entregue"),0))</f>
        <v>0</v>
      </c>
      <c r="D479" s="388">
        <f t="shared" si="1"/>
        <v>0</v>
      </c>
      <c r="E479" s="388">
        <f t="shared" si="2"/>
        <v>0</v>
      </c>
      <c r="F479" s="387">
        <f t="shared" si="3"/>
        <v>0</v>
      </c>
      <c r="G479" s="389" t="str">
        <f t="shared" si="4"/>
        <v/>
      </c>
      <c r="H479" s="386" t="str">
        <f t="shared" si="5"/>
        <v/>
      </c>
    </row>
    <row r="480" ht="15.75" customHeight="1">
      <c r="A480" s="391"/>
      <c r="B480" s="386">
        <f t="array" ref="B480">IFERROR(INDEX(SC_OLD!A:A,MATCH($A480,SC_OLD!C:C,0)),"")</f>
        <v>0</v>
      </c>
      <c r="C480" s="387">
        <f>IF($A480="",0,IFERROR(SUMIFS(SC_OLD!D:D,SC_OLD!C:C,$A480,SC_OLD!J:J,"Entregue"),0))</f>
        <v>0</v>
      </c>
      <c r="D480" s="388">
        <f t="shared" si="1"/>
        <v>0</v>
      </c>
      <c r="E480" s="388">
        <f t="shared" si="2"/>
        <v>0</v>
      </c>
      <c r="F480" s="387">
        <f t="shared" si="3"/>
        <v>0</v>
      </c>
      <c r="G480" s="389" t="str">
        <f t="shared" si="4"/>
        <v/>
      </c>
      <c r="H480" s="386" t="str">
        <f t="shared" si="5"/>
        <v/>
      </c>
    </row>
    <row r="481" ht="15.75" customHeight="1">
      <c r="A481" s="391"/>
      <c r="B481" s="386">
        <f t="array" ref="B481">IFERROR(INDEX(SC_OLD!A:A,MATCH($A481,SC_OLD!C:C,0)),"")</f>
        <v>0</v>
      </c>
      <c r="C481" s="387">
        <f>IF($A481="",0,IFERROR(SUMIFS(SC_OLD!D:D,SC_OLD!C:C,$A481,SC_OLD!J:J,"Entregue"),0))</f>
        <v>0</v>
      </c>
      <c r="D481" s="388">
        <f t="shared" si="1"/>
        <v>0</v>
      </c>
      <c r="E481" s="388">
        <f t="shared" si="2"/>
        <v>0</v>
      </c>
      <c r="F481" s="387">
        <f t="shared" si="3"/>
        <v>0</v>
      </c>
      <c r="G481" s="389" t="str">
        <f t="shared" si="4"/>
        <v/>
      </c>
      <c r="H481" s="386" t="str">
        <f t="shared" si="5"/>
        <v/>
      </c>
    </row>
    <row r="482" ht="15.75" customHeight="1">
      <c r="A482" s="391"/>
      <c r="B482" s="386">
        <f t="array" ref="B482">IFERROR(INDEX(SC_OLD!A:A,MATCH($A482,SC_OLD!C:C,0)),"")</f>
        <v>0</v>
      </c>
      <c r="C482" s="387">
        <f>IF($A482="",0,IFERROR(SUMIFS(SC_OLD!D:D,SC_OLD!C:C,$A482,SC_OLD!J:J,"Entregue"),0))</f>
        <v>0</v>
      </c>
      <c r="D482" s="388">
        <f t="shared" si="1"/>
        <v>0</v>
      </c>
      <c r="E482" s="388">
        <f t="shared" si="2"/>
        <v>0</v>
      </c>
      <c r="F482" s="387">
        <f t="shared" si="3"/>
        <v>0</v>
      </c>
      <c r="G482" s="389" t="str">
        <f t="shared" si="4"/>
        <v/>
      </c>
      <c r="H482" s="386" t="str">
        <f t="shared" si="5"/>
        <v/>
      </c>
    </row>
    <row r="483" ht="15.75" customHeight="1">
      <c r="A483" s="391"/>
      <c r="B483" s="386">
        <f t="array" ref="B483">IFERROR(INDEX(SC_OLD!A:A,MATCH($A483,SC_OLD!C:C,0)),"")</f>
        <v>0</v>
      </c>
      <c r="C483" s="387">
        <f>IF($A483="",0,IFERROR(SUMIFS(SC_OLD!D:D,SC_OLD!C:C,$A483,SC_OLD!J:J,"Entregue"),0))</f>
        <v>0</v>
      </c>
      <c r="D483" s="388">
        <f t="shared" si="1"/>
        <v>0</v>
      </c>
      <c r="E483" s="388">
        <f t="shared" si="2"/>
        <v>0</v>
      </c>
      <c r="F483" s="387">
        <f t="shared" si="3"/>
        <v>0</v>
      </c>
      <c r="G483" s="389" t="str">
        <f t="shared" si="4"/>
        <v/>
      </c>
      <c r="H483" s="386" t="str">
        <f t="shared" si="5"/>
        <v/>
      </c>
    </row>
    <row r="484" ht="15.75" customHeight="1">
      <c r="A484" s="391"/>
      <c r="B484" s="386">
        <f t="array" ref="B484">IFERROR(INDEX(SC_OLD!A:A,MATCH($A484,SC_OLD!C:C,0)),"")</f>
        <v>0</v>
      </c>
      <c r="C484" s="387">
        <f>IF($A484="",0,IFERROR(SUMIFS(SC_OLD!D:D,SC_OLD!C:C,$A484,SC_OLD!J:J,"Entregue"),0))</f>
        <v>0</v>
      </c>
      <c r="D484" s="388">
        <f t="shared" si="1"/>
        <v>0</v>
      </c>
      <c r="E484" s="388">
        <f t="shared" si="2"/>
        <v>0</v>
      </c>
      <c r="F484" s="387">
        <f t="shared" si="3"/>
        <v>0</v>
      </c>
      <c r="G484" s="389" t="str">
        <f t="shared" si="4"/>
        <v/>
      </c>
      <c r="H484" s="386" t="str">
        <f t="shared" si="5"/>
        <v/>
      </c>
    </row>
    <row r="485" ht="15.75" customHeight="1">
      <c r="A485" s="391"/>
      <c r="B485" s="386">
        <f t="array" ref="B485">IFERROR(INDEX(SC_OLD!A:A,MATCH($A485,SC_OLD!C:C,0)),"")</f>
        <v>0</v>
      </c>
      <c r="C485" s="387">
        <f>IF($A485="",0,IFERROR(SUMIFS(SC_OLD!D:D,SC_OLD!C:C,$A485,SC_OLD!J:J,"Entregue"),0))</f>
        <v>0</v>
      </c>
      <c r="D485" s="388">
        <f t="shared" si="1"/>
        <v>0</v>
      </c>
      <c r="E485" s="388">
        <f t="shared" si="2"/>
        <v>0</v>
      </c>
      <c r="F485" s="387">
        <f t="shared" si="3"/>
        <v>0</v>
      </c>
      <c r="G485" s="389" t="str">
        <f t="shared" si="4"/>
        <v/>
      </c>
      <c r="H485" s="386" t="str">
        <f t="shared" si="5"/>
        <v/>
      </c>
    </row>
    <row r="486" ht="15.75" customHeight="1">
      <c r="A486" s="391"/>
      <c r="B486" s="386">
        <f t="array" ref="B486">IFERROR(INDEX(SC_OLD!A:A,MATCH($A486,SC_OLD!C:C,0)),"")</f>
        <v>0</v>
      </c>
      <c r="C486" s="387">
        <f>IF($A486="",0,IFERROR(SUMIFS(SC_OLD!D:D,SC_OLD!C:C,$A486,SC_OLD!J:J,"Entregue"),0))</f>
        <v>0</v>
      </c>
      <c r="D486" s="388">
        <f t="shared" si="1"/>
        <v>0</v>
      </c>
      <c r="E486" s="388">
        <f t="shared" si="2"/>
        <v>0</v>
      </c>
      <c r="F486" s="387">
        <f t="shared" si="3"/>
        <v>0</v>
      </c>
      <c r="G486" s="389" t="str">
        <f t="shared" si="4"/>
        <v/>
      </c>
      <c r="H486" s="386" t="str">
        <f t="shared" si="5"/>
        <v/>
      </c>
    </row>
    <row r="487" ht="15.75" customHeight="1">
      <c r="A487" s="391"/>
      <c r="B487" s="386">
        <f t="array" ref="B487">IFERROR(INDEX(SC_OLD!A:A,MATCH($A487,SC_OLD!C:C,0)),"")</f>
        <v>0</v>
      </c>
      <c r="C487" s="387">
        <f>IF($A487="",0,IFERROR(SUMIFS(SC_OLD!D:D,SC_OLD!C:C,$A487,SC_OLD!J:J,"Entregue"),0))</f>
        <v>0</v>
      </c>
      <c r="D487" s="388">
        <f t="shared" si="1"/>
        <v>0</v>
      </c>
      <c r="E487" s="388">
        <f t="shared" si="2"/>
        <v>0</v>
      </c>
      <c r="F487" s="387">
        <f t="shared" si="3"/>
        <v>0</v>
      </c>
      <c r="G487" s="389" t="str">
        <f t="shared" si="4"/>
        <v/>
      </c>
      <c r="H487" s="386" t="str">
        <f t="shared" si="5"/>
        <v/>
      </c>
    </row>
    <row r="488" ht="15.75" customHeight="1">
      <c r="A488" s="391"/>
      <c r="B488" s="386">
        <f t="array" ref="B488">IFERROR(INDEX(SC_OLD!A:A,MATCH($A488,SC_OLD!C:C,0)),"")</f>
        <v>0</v>
      </c>
      <c r="C488" s="387">
        <f>IF($A488="",0,IFERROR(SUMIFS(SC_OLD!D:D,SC_OLD!C:C,$A488,SC_OLD!J:J,"Entregue"),0))</f>
        <v>0</v>
      </c>
      <c r="D488" s="388">
        <f t="shared" si="1"/>
        <v>0</v>
      </c>
      <c r="E488" s="388">
        <f t="shared" si="2"/>
        <v>0</v>
      </c>
      <c r="F488" s="387">
        <f t="shared" si="3"/>
        <v>0</v>
      </c>
      <c r="G488" s="389" t="str">
        <f t="shared" si="4"/>
        <v/>
      </c>
      <c r="H488" s="386" t="str">
        <f t="shared" si="5"/>
        <v/>
      </c>
    </row>
    <row r="489" ht="15.75" customHeight="1">
      <c r="A489" s="391"/>
      <c r="B489" s="386">
        <f t="array" ref="B489">IFERROR(INDEX(SC_OLD!A:A,MATCH($A489,SC_OLD!C:C,0)),"")</f>
        <v>0</v>
      </c>
      <c r="C489" s="387">
        <f>IF($A489="",0,IFERROR(SUMIFS(SC_OLD!D:D,SC_OLD!C:C,$A489,SC_OLD!J:J,"Entregue"),0))</f>
        <v>0</v>
      </c>
      <c r="D489" s="388">
        <f t="shared" si="1"/>
        <v>0</v>
      </c>
      <c r="E489" s="388">
        <f t="shared" si="2"/>
        <v>0</v>
      </c>
      <c r="F489" s="387">
        <f t="shared" si="3"/>
        <v>0</v>
      </c>
      <c r="G489" s="389" t="str">
        <f t="shared" si="4"/>
        <v/>
      </c>
      <c r="H489" s="386" t="str">
        <f t="shared" si="5"/>
        <v/>
      </c>
    </row>
    <row r="490" ht="15.75" customHeight="1">
      <c r="A490" s="391"/>
      <c r="B490" s="386">
        <f t="array" ref="B490">IFERROR(INDEX(SC_OLD!A:A,MATCH($A490,SC_OLD!C:C,0)),"")</f>
        <v>0</v>
      </c>
      <c r="C490" s="387">
        <f>IF($A490="",0,IFERROR(SUMIFS(SC_OLD!D:D,SC_OLD!C:C,$A490,SC_OLD!J:J,"Entregue"),0))</f>
        <v>0</v>
      </c>
      <c r="D490" s="388">
        <f t="shared" si="1"/>
        <v>0</v>
      </c>
      <c r="E490" s="388">
        <f t="shared" si="2"/>
        <v>0</v>
      </c>
      <c r="F490" s="387">
        <f t="shared" si="3"/>
        <v>0</v>
      </c>
      <c r="G490" s="389" t="str">
        <f t="shared" si="4"/>
        <v/>
      </c>
      <c r="H490" s="386" t="str">
        <f t="shared" si="5"/>
        <v/>
      </c>
    </row>
    <row r="491" ht="15.75" customHeight="1">
      <c r="A491" s="391"/>
      <c r="B491" s="386">
        <f t="array" ref="B491">IFERROR(INDEX(SC_OLD!A:A,MATCH($A491,SC_OLD!C:C,0)),"")</f>
        <v>0</v>
      </c>
      <c r="C491" s="387">
        <f>IF($A491="",0,IFERROR(SUMIFS(SC_OLD!D:D,SC_OLD!C:C,$A491,SC_OLD!J:J,"Entregue"),0))</f>
        <v>0</v>
      </c>
      <c r="D491" s="388">
        <f t="shared" si="1"/>
        <v>0</v>
      </c>
      <c r="E491" s="388">
        <f t="shared" si="2"/>
        <v>0</v>
      </c>
      <c r="F491" s="387">
        <f t="shared" si="3"/>
        <v>0</v>
      </c>
      <c r="G491" s="389" t="str">
        <f t="shared" si="4"/>
        <v/>
      </c>
      <c r="H491" s="386" t="str">
        <f t="shared" si="5"/>
        <v/>
      </c>
    </row>
    <row r="492" ht="15.75" customHeight="1">
      <c r="A492" s="391"/>
      <c r="B492" s="386">
        <f t="array" ref="B492">IFERROR(INDEX(SC_OLD!A:A,MATCH($A492,SC_OLD!C:C,0)),"")</f>
        <v>0</v>
      </c>
      <c r="C492" s="387">
        <f>IF($A492="",0,IFERROR(SUMIFS(SC_OLD!D:D,SC_OLD!C:C,$A492,SC_OLD!J:J,"Entregue"),0))</f>
        <v>0</v>
      </c>
      <c r="D492" s="388">
        <f t="shared" si="1"/>
        <v>0</v>
      </c>
      <c r="E492" s="388">
        <f t="shared" si="2"/>
        <v>0</v>
      </c>
      <c r="F492" s="387">
        <f t="shared" si="3"/>
        <v>0</v>
      </c>
      <c r="G492" s="389" t="str">
        <f t="shared" si="4"/>
        <v/>
      </c>
      <c r="H492" s="386" t="str">
        <f t="shared" si="5"/>
        <v/>
      </c>
    </row>
    <row r="493" ht="15.75" customHeight="1">
      <c r="A493" s="391"/>
      <c r="B493" s="386">
        <f t="array" ref="B493">IFERROR(INDEX(SC_OLD!A:A,MATCH($A493,SC_OLD!C:C,0)),"")</f>
        <v>0</v>
      </c>
      <c r="C493" s="387">
        <f>IF($A493="",0,IFERROR(SUMIFS(SC_OLD!D:D,SC_OLD!C:C,$A493,SC_OLD!J:J,"Entregue"),0))</f>
        <v>0</v>
      </c>
      <c r="D493" s="388">
        <f t="shared" si="1"/>
        <v>0</v>
      </c>
      <c r="E493" s="388">
        <f t="shared" si="2"/>
        <v>0</v>
      </c>
      <c r="F493" s="387">
        <f t="shared" si="3"/>
        <v>0</v>
      </c>
      <c r="G493" s="389" t="str">
        <f t="shared" si="4"/>
        <v/>
      </c>
      <c r="H493" s="386" t="str">
        <f t="shared" si="5"/>
        <v/>
      </c>
    </row>
    <row r="494" ht="15.75" customHeight="1">
      <c r="A494" s="391"/>
      <c r="B494" s="386">
        <f t="array" ref="B494">IFERROR(INDEX(SC_OLD!A:A,MATCH($A494,SC_OLD!C:C,0)),"")</f>
        <v>0</v>
      </c>
      <c r="C494" s="387">
        <f>IF($A494="",0,IFERROR(SUMIFS(SC_OLD!D:D,SC_OLD!C:C,$A494,SC_OLD!J:J,"Entregue"),0))</f>
        <v>0</v>
      </c>
      <c r="D494" s="388">
        <f t="shared" si="1"/>
        <v>0</v>
      </c>
      <c r="E494" s="388">
        <f t="shared" si="2"/>
        <v>0</v>
      </c>
      <c r="F494" s="387">
        <f t="shared" si="3"/>
        <v>0</v>
      </c>
      <c r="G494" s="389" t="str">
        <f t="shared" si="4"/>
        <v/>
      </c>
      <c r="H494" s="386" t="str">
        <f t="shared" si="5"/>
        <v/>
      </c>
    </row>
    <row r="495" ht="15.75" customHeight="1">
      <c r="A495" s="391"/>
      <c r="B495" s="386">
        <f t="array" ref="B495">IFERROR(INDEX(SC_OLD!A:A,MATCH($A495,SC_OLD!C:C,0)),"")</f>
        <v>0</v>
      </c>
      <c r="C495" s="387">
        <f>IF($A495="",0,IFERROR(SUMIFS(SC_OLD!D:D,SC_OLD!C:C,$A495,SC_OLD!J:J,"Entregue"),0))</f>
        <v>0</v>
      </c>
      <c r="D495" s="388">
        <f t="shared" si="1"/>
        <v>0</v>
      </c>
      <c r="E495" s="388">
        <f t="shared" si="2"/>
        <v>0</v>
      </c>
      <c r="F495" s="387">
        <f t="shared" si="3"/>
        <v>0</v>
      </c>
      <c r="G495" s="389" t="str">
        <f t="shared" si="4"/>
        <v/>
      </c>
      <c r="H495" s="386" t="str">
        <f t="shared" si="5"/>
        <v/>
      </c>
    </row>
    <row r="496" ht="15.75" customHeight="1">
      <c r="A496" s="391"/>
      <c r="B496" s="386">
        <f t="array" ref="B496">IFERROR(INDEX(SC_OLD!A:A,MATCH($A496,SC_OLD!C:C,0)),"")</f>
        <v>0</v>
      </c>
      <c r="C496" s="387">
        <f>IF($A496="",0,IFERROR(SUMIFS(SC_OLD!D:D,SC_OLD!C:C,$A496,SC_OLD!J:J,"Entregue"),0))</f>
        <v>0</v>
      </c>
      <c r="D496" s="388">
        <f t="shared" si="1"/>
        <v>0</v>
      </c>
      <c r="E496" s="388">
        <f t="shared" si="2"/>
        <v>0</v>
      </c>
      <c r="F496" s="387">
        <f t="shared" si="3"/>
        <v>0</v>
      </c>
      <c r="G496" s="389" t="str">
        <f t="shared" si="4"/>
        <v/>
      </c>
      <c r="H496" s="386" t="str">
        <f t="shared" si="5"/>
        <v/>
      </c>
    </row>
    <row r="497" ht="15.75" customHeight="1">
      <c r="A497" s="391"/>
      <c r="B497" s="386">
        <f t="array" ref="B497">IFERROR(INDEX(SC_OLD!A:A,MATCH($A497,SC_OLD!C:C,0)),"")</f>
        <v>0</v>
      </c>
      <c r="C497" s="387">
        <f>IF($A497="",0,IFERROR(SUMIFS(SC_OLD!D:D,SC_OLD!C:C,$A497,SC_OLD!J:J,"Entregue"),0))</f>
        <v>0</v>
      </c>
      <c r="D497" s="388">
        <f t="shared" si="1"/>
        <v>0</v>
      </c>
      <c r="E497" s="388">
        <f t="shared" si="2"/>
        <v>0</v>
      </c>
      <c r="F497" s="387">
        <f t="shared" si="3"/>
        <v>0</v>
      </c>
      <c r="G497" s="389" t="str">
        <f t="shared" si="4"/>
        <v/>
      </c>
      <c r="H497" s="386" t="str">
        <f t="shared" si="5"/>
        <v/>
      </c>
    </row>
    <row r="498" ht="15.75" customHeight="1">
      <c r="A498" s="391"/>
      <c r="B498" s="386">
        <f t="array" ref="B498">IFERROR(INDEX(SC_OLD!A:A,MATCH($A498,SC_OLD!C:C,0)),"")</f>
        <v>0</v>
      </c>
      <c r="C498" s="387">
        <f>IF($A498="",0,IFERROR(SUMIFS(SC_OLD!D:D,SC_OLD!C:C,$A498,SC_OLD!J:J,"Entregue"),0))</f>
        <v>0</v>
      </c>
      <c r="D498" s="388">
        <f t="shared" si="1"/>
        <v>0</v>
      </c>
      <c r="E498" s="388">
        <f t="shared" si="2"/>
        <v>0</v>
      </c>
      <c r="F498" s="387">
        <f t="shared" si="3"/>
        <v>0</v>
      </c>
      <c r="G498" s="389" t="str">
        <f t="shared" si="4"/>
        <v/>
      </c>
      <c r="H498" s="386" t="str">
        <f t="shared" si="5"/>
        <v/>
      </c>
    </row>
    <row r="499" ht="15.75" customHeight="1">
      <c r="A499" s="391"/>
      <c r="B499" s="386">
        <f t="array" ref="B499">IFERROR(INDEX(SC_OLD!A:A,MATCH($A499,SC_OLD!C:C,0)),"")</f>
        <v>0</v>
      </c>
      <c r="C499" s="387">
        <f>IF($A499="",0,IFERROR(SUMIFS(SC_OLD!D:D,SC_OLD!C:C,$A499,SC_OLD!J:J,"Entregue"),0))</f>
        <v>0</v>
      </c>
      <c r="D499" s="388">
        <f t="shared" si="1"/>
        <v>0</v>
      </c>
      <c r="E499" s="388">
        <f t="shared" si="2"/>
        <v>0</v>
      </c>
      <c r="F499" s="387">
        <f t="shared" si="3"/>
        <v>0</v>
      </c>
      <c r="G499" s="389" t="str">
        <f t="shared" si="4"/>
        <v/>
      </c>
      <c r="H499" s="386" t="str">
        <f t="shared" si="5"/>
        <v/>
      </c>
    </row>
    <row r="500" ht="15.75" customHeight="1">
      <c r="A500" s="391"/>
      <c r="B500" s="386">
        <f t="array" ref="B500">IFERROR(INDEX(SC_OLD!A:A,MATCH($A500,SC_OLD!C:C,0)),"")</f>
        <v>0</v>
      </c>
      <c r="C500" s="387">
        <f>IF($A500="",0,IFERROR(SUMIFS(SC_OLD!D:D,SC_OLD!C:C,$A500,SC_OLD!J:J,"Entregue"),0))</f>
        <v>0</v>
      </c>
      <c r="D500" s="388">
        <f t="shared" si="1"/>
        <v>0</v>
      </c>
      <c r="E500" s="388">
        <f t="shared" si="2"/>
        <v>0</v>
      </c>
      <c r="F500" s="387">
        <f t="shared" si="3"/>
        <v>0</v>
      </c>
      <c r="G500" s="389" t="str">
        <f t="shared" si="4"/>
        <v/>
      </c>
      <c r="H500" s="386" t="str">
        <f t="shared" si="5"/>
        <v/>
      </c>
    </row>
    <row r="501" ht="15.75" customHeight="1">
      <c r="A501" s="391"/>
      <c r="B501" s="386">
        <f t="array" ref="B501">IFERROR(INDEX(SC_OLD!A:A,MATCH($A501,SC_OLD!C:C,0)),"")</f>
        <v>0</v>
      </c>
      <c r="C501" s="387">
        <f>IF($A501="",0,IFERROR(SUMIFS(SC_OLD!D:D,SC_OLD!C:C,$A501,SC_OLD!J:J,"Entregue"),0))</f>
        <v>0</v>
      </c>
      <c r="D501" s="388">
        <f t="shared" si="1"/>
        <v>0</v>
      </c>
      <c r="E501" s="388">
        <f t="shared" si="2"/>
        <v>0</v>
      </c>
      <c r="F501" s="387">
        <f t="shared" si="3"/>
        <v>0</v>
      </c>
      <c r="G501" s="389" t="str">
        <f t="shared" si="4"/>
        <v/>
      </c>
      <c r="H501" s="386" t="str">
        <f t="shared" si="5"/>
        <v/>
      </c>
    </row>
    <row r="502" ht="15.75" customHeight="1">
      <c r="A502" s="391"/>
      <c r="B502" s="386">
        <f t="array" ref="B502">IFERROR(INDEX(SC_OLD!A:A,MATCH($A502,SC_OLD!C:C,0)),"")</f>
        <v>0</v>
      </c>
      <c r="C502" s="387">
        <f>IF($A502="",0,IFERROR(SUMIFS(SC_OLD!D:D,SC_OLD!C:C,$A502,SC_OLD!J:J,"Entregue"),0))</f>
        <v>0</v>
      </c>
      <c r="D502" s="388">
        <f t="shared" si="1"/>
        <v>0</v>
      </c>
      <c r="E502" s="388">
        <f t="shared" si="2"/>
        <v>0</v>
      </c>
      <c r="F502" s="387">
        <f t="shared" si="3"/>
        <v>0</v>
      </c>
      <c r="G502" s="389" t="str">
        <f t="shared" si="4"/>
        <v/>
      </c>
      <c r="H502" s="386" t="str">
        <f t="shared" si="5"/>
        <v/>
      </c>
    </row>
    <row r="503" ht="15.75" customHeight="1">
      <c r="A503" s="391"/>
      <c r="B503" s="386">
        <f t="array" ref="B503">IFERROR(INDEX(SC_OLD!A:A,MATCH($A503,SC_OLD!C:C,0)),"")</f>
        <v>0</v>
      </c>
      <c r="C503" s="387">
        <f>IF($A503="",0,IFERROR(SUMIFS(SC_OLD!D:D,SC_OLD!C:C,$A503,SC_OLD!J:J,"Entregue"),0))</f>
        <v>0</v>
      </c>
      <c r="D503" s="388">
        <f t="shared" si="1"/>
        <v>0</v>
      </c>
      <c r="E503" s="388">
        <f t="shared" si="2"/>
        <v>0</v>
      </c>
      <c r="F503" s="387">
        <f t="shared" si="3"/>
        <v>0</v>
      </c>
      <c r="G503" s="389" t="str">
        <f t="shared" si="4"/>
        <v/>
      </c>
      <c r="H503" s="386" t="str">
        <f t="shared" si="5"/>
        <v/>
      </c>
    </row>
    <row r="504" ht="15.75" customHeight="1">
      <c r="A504" s="391"/>
      <c r="B504" s="386">
        <f t="array" ref="B504">IFERROR(INDEX(SC_OLD!A:A,MATCH($A504,SC_OLD!C:C,0)),"")</f>
        <v>0</v>
      </c>
      <c r="C504" s="387">
        <f>IF($A504="",0,IFERROR(SUMIFS(SC_OLD!D:D,SC_OLD!C:C,$A504,SC_OLD!J:J,"Entregue"),0))</f>
        <v>0</v>
      </c>
      <c r="D504" s="388">
        <f t="shared" si="1"/>
        <v>0</v>
      </c>
      <c r="E504" s="388">
        <f t="shared" si="2"/>
        <v>0</v>
      </c>
      <c r="F504" s="387">
        <f t="shared" si="3"/>
        <v>0</v>
      </c>
      <c r="G504" s="389" t="str">
        <f t="shared" si="4"/>
        <v/>
      </c>
      <c r="H504" s="386" t="str">
        <f t="shared" si="5"/>
        <v/>
      </c>
    </row>
    <row r="505" ht="15.75" customHeight="1">
      <c r="A505" s="391"/>
      <c r="B505" s="386">
        <f t="array" ref="B505">IFERROR(INDEX(SC_OLD!A:A,MATCH($A505,SC_OLD!C:C,0)),"")</f>
        <v>0</v>
      </c>
      <c r="C505" s="387">
        <f>IF($A505="",0,IFERROR(SUMIFS(SC_OLD!D:D,SC_OLD!C:C,$A505,SC_OLD!J:J,"Entregue"),0))</f>
        <v>0</v>
      </c>
      <c r="D505" s="388">
        <f t="shared" si="1"/>
        <v>0</v>
      </c>
      <c r="E505" s="388">
        <f t="shared" si="2"/>
        <v>0</v>
      </c>
      <c r="F505" s="387">
        <f t="shared" si="3"/>
        <v>0</v>
      </c>
      <c r="G505" s="389" t="str">
        <f t="shared" si="4"/>
        <v/>
      </c>
      <c r="H505" s="386" t="str">
        <f t="shared" si="5"/>
        <v/>
      </c>
    </row>
    <row r="506" ht="15.75" customHeight="1">
      <c r="A506" s="391"/>
      <c r="B506" s="386">
        <f t="array" ref="B506">IFERROR(INDEX(SC_OLD!A:A,MATCH($A506,SC_OLD!C:C,0)),"")</f>
        <v>0</v>
      </c>
      <c r="C506" s="387">
        <f>IF($A506="",0,IFERROR(SUMIFS(SC_OLD!D:D,SC_OLD!C:C,$A506,SC_OLD!J:J,"Entregue"),0))</f>
        <v>0</v>
      </c>
      <c r="D506" s="388">
        <f t="shared" si="1"/>
        <v>0</v>
      </c>
      <c r="E506" s="388">
        <f t="shared" si="2"/>
        <v>0</v>
      </c>
      <c r="F506" s="387">
        <f t="shared" si="3"/>
        <v>0</v>
      </c>
      <c r="G506" s="389" t="str">
        <f t="shared" si="4"/>
        <v/>
      </c>
      <c r="H506" s="386" t="str">
        <f t="shared" si="5"/>
        <v/>
      </c>
    </row>
    <row r="507" ht="15.75" customHeight="1">
      <c r="A507" s="391"/>
      <c r="B507" s="386">
        <f t="array" ref="B507">IFERROR(INDEX(SC_OLD!A:A,MATCH($A507,SC_OLD!C:C,0)),"")</f>
        <v>0</v>
      </c>
      <c r="C507" s="387">
        <f>IF($A507="",0,IFERROR(SUMIFS(SC_OLD!D:D,SC_OLD!C:C,$A507,SC_OLD!J:J,"Entregue"),0))</f>
        <v>0</v>
      </c>
      <c r="D507" s="388">
        <f t="shared" si="1"/>
        <v>0</v>
      </c>
      <c r="E507" s="388">
        <f t="shared" si="2"/>
        <v>0</v>
      </c>
      <c r="F507" s="387">
        <f t="shared" si="3"/>
        <v>0</v>
      </c>
      <c r="G507" s="389" t="str">
        <f t="shared" si="4"/>
        <v/>
      </c>
      <c r="H507" s="386" t="str">
        <f t="shared" si="5"/>
        <v/>
      </c>
    </row>
    <row r="508" ht="15.75" customHeight="1">
      <c r="A508" s="391"/>
      <c r="B508" s="386">
        <f t="array" ref="B508">IFERROR(INDEX(SC_OLD!A:A,MATCH($A508,SC_OLD!C:C,0)),"")</f>
        <v>0</v>
      </c>
      <c r="C508" s="387">
        <f>IF($A508="",0,IFERROR(SUMIFS(SC_OLD!D:D,SC_OLD!C:C,$A508,SC_OLD!J:J,"Entregue"),0))</f>
        <v>0</v>
      </c>
      <c r="D508" s="388">
        <f t="shared" si="1"/>
        <v>0</v>
      </c>
      <c r="E508" s="388">
        <f t="shared" si="2"/>
        <v>0</v>
      </c>
      <c r="F508" s="387">
        <f t="shared" si="3"/>
        <v>0</v>
      </c>
      <c r="G508" s="389" t="str">
        <f t="shared" si="4"/>
        <v/>
      </c>
      <c r="H508" s="386" t="str">
        <f t="shared" si="5"/>
        <v/>
      </c>
    </row>
    <row r="509" ht="15.75" customHeight="1">
      <c r="A509" s="391"/>
      <c r="B509" s="386">
        <f t="array" ref="B509">IFERROR(INDEX(SC_OLD!A:A,MATCH($A509,SC_OLD!C:C,0)),"")</f>
        <v>0</v>
      </c>
      <c r="C509" s="387">
        <f>IF($A509="",0,IFERROR(SUMIFS(SC_OLD!D:D,SC_OLD!C:C,$A509,SC_OLD!J:J,"Entregue"),0))</f>
        <v>0</v>
      </c>
      <c r="D509" s="388">
        <f t="shared" si="1"/>
        <v>0</v>
      </c>
      <c r="E509" s="388">
        <f t="shared" si="2"/>
        <v>0</v>
      </c>
      <c r="F509" s="387">
        <f t="shared" si="3"/>
        <v>0</v>
      </c>
      <c r="G509" s="389" t="str">
        <f t="shared" si="4"/>
        <v/>
      </c>
      <c r="H509" s="386" t="str">
        <f t="shared" si="5"/>
        <v/>
      </c>
    </row>
    <row r="510" ht="15.75" customHeight="1">
      <c r="A510" s="391"/>
      <c r="B510" s="386">
        <f t="array" ref="B510">IFERROR(INDEX(SC_OLD!A:A,MATCH($A510,SC_OLD!C:C,0)),"")</f>
        <v>0</v>
      </c>
      <c r="C510" s="387">
        <f>IF($A510="",0,IFERROR(SUMIFS(SC_OLD!D:D,SC_OLD!C:C,$A510,SC_OLD!J:J,"Entregue"),0))</f>
        <v>0</v>
      </c>
      <c r="D510" s="388">
        <f t="shared" si="1"/>
        <v>0</v>
      </c>
      <c r="E510" s="388">
        <f t="shared" si="2"/>
        <v>0</v>
      </c>
      <c r="F510" s="387">
        <f t="shared" si="3"/>
        <v>0</v>
      </c>
      <c r="G510" s="389" t="str">
        <f t="shared" si="4"/>
        <v/>
      </c>
      <c r="H510" s="386" t="str">
        <f t="shared" si="5"/>
        <v/>
      </c>
    </row>
    <row r="511" ht="15.75" customHeight="1">
      <c r="A511" s="391"/>
      <c r="B511" s="386">
        <f t="array" ref="B511">IFERROR(INDEX(SC_OLD!A:A,MATCH($A511,SC_OLD!C:C,0)),"")</f>
        <v>0</v>
      </c>
      <c r="C511" s="387">
        <f>IF($A511="",0,IFERROR(SUMIFS(SC_OLD!D:D,SC_OLD!C:C,$A511,SC_OLD!J:J,"Entregue"),0))</f>
        <v>0</v>
      </c>
      <c r="D511" s="388">
        <f t="shared" si="1"/>
        <v>0</v>
      </c>
      <c r="E511" s="388">
        <f t="shared" si="2"/>
        <v>0</v>
      </c>
      <c r="F511" s="387">
        <f t="shared" si="3"/>
        <v>0</v>
      </c>
      <c r="G511" s="389" t="str">
        <f t="shared" si="4"/>
        <v/>
      </c>
      <c r="H511" s="386" t="str">
        <f t="shared" si="5"/>
        <v/>
      </c>
    </row>
    <row r="512" ht="15.75" customHeight="1">
      <c r="A512" s="391"/>
      <c r="B512" s="386">
        <f t="array" ref="B512">IFERROR(INDEX(SC_OLD!A:A,MATCH($A512,SC_OLD!C:C,0)),"")</f>
        <v>0</v>
      </c>
      <c r="C512" s="387">
        <f>IF($A512="",0,IFERROR(SUMIFS(SC_OLD!D:D,SC_OLD!C:C,$A512,SC_OLD!J:J,"Entregue"),0))</f>
        <v>0</v>
      </c>
      <c r="D512" s="388">
        <f t="shared" si="1"/>
        <v>0</v>
      </c>
      <c r="E512" s="388">
        <f t="shared" si="2"/>
        <v>0</v>
      </c>
      <c r="F512" s="387">
        <f t="shared" si="3"/>
        <v>0</v>
      </c>
      <c r="G512" s="389" t="str">
        <f t="shared" si="4"/>
        <v/>
      </c>
      <c r="H512" s="386" t="str">
        <f t="shared" si="5"/>
        <v/>
      </c>
    </row>
    <row r="513" ht="15.75" customHeight="1">
      <c r="A513" s="391"/>
      <c r="B513" s="386">
        <f t="array" ref="B513">IFERROR(INDEX(SC_OLD!A:A,MATCH($A513,SC_OLD!C:C,0)),"")</f>
        <v>0</v>
      </c>
      <c r="C513" s="387">
        <f>IF($A513="",0,IFERROR(SUMIFS(SC_OLD!D:D,SC_OLD!C:C,$A513,SC_OLD!J:J,"Entregue"),0))</f>
        <v>0</v>
      </c>
      <c r="D513" s="388">
        <f t="shared" si="1"/>
        <v>0</v>
      </c>
      <c r="E513" s="388">
        <f t="shared" si="2"/>
        <v>0</v>
      </c>
      <c r="F513" s="387">
        <f t="shared" si="3"/>
        <v>0</v>
      </c>
      <c r="G513" s="389" t="str">
        <f t="shared" si="4"/>
        <v/>
      </c>
      <c r="H513" s="386" t="str">
        <f t="shared" si="5"/>
        <v/>
      </c>
    </row>
    <row r="514" ht="15.75" customHeight="1">
      <c r="A514" s="391"/>
      <c r="B514" s="386">
        <f t="array" ref="B514">IFERROR(INDEX(SC_OLD!A:A,MATCH($A514,SC_OLD!C:C,0)),"")</f>
        <v>0</v>
      </c>
      <c r="C514" s="387">
        <f>IF($A514="",0,IFERROR(SUMIFS(SC_OLD!D:D,SC_OLD!C:C,$A514,SC_OLD!J:J,"Entregue"),0))</f>
        <v>0</v>
      </c>
      <c r="D514" s="388">
        <f t="shared" si="1"/>
        <v>0</v>
      </c>
      <c r="E514" s="388">
        <f t="shared" si="2"/>
        <v>0</v>
      </c>
      <c r="F514" s="387">
        <f t="shared" si="3"/>
        <v>0</v>
      </c>
      <c r="G514" s="389" t="str">
        <f t="shared" si="4"/>
        <v/>
      </c>
      <c r="H514" s="386" t="str">
        <f t="shared" si="5"/>
        <v/>
      </c>
    </row>
    <row r="515" ht="15.75" customHeight="1">
      <c r="A515" s="391"/>
      <c r="B515" s="386">
        <f t="array" ref="B515">IFERROR(INDEX(SC_OLD!A:A,MATCH($A515,SC_OLD!C:C,0)),"")</f>
        <v>0</v>
      </c>
      <c r="C515" s="387">
        <f>IF($A515="",0,IFERROR(SUMIFS(SC_OLD!D:D,SC_OLD!C:C,$A515,SC_OLD!J:J,"Entregue"),0))</f>
        <v>0</v>
      </c>
      <c r="D515" s="388">
        <f t="shared" si="1"/>
        <v>0</v>
      </c>
      <c r="E515" s="388">
        <f t="shared" si="2"/>
        <v>0</v>
      </c>
      <c r="F515" s="387">
        <f t="shared" si="3"/>
        <v>0</v>
      </c>
      <c r="G515" s="389" t="str">
        <f t="shared" si="4"/>
        <v/>
      </c>
      <c r="H515" s="386" t="str">
        <f t="shared" si="5"/>
        <v/>
      </c>
    </row>
    <row r="516" ht="15.75" customHeight="1">
      <c r="A516" s="391"/>
      <c r="B516" s="386">
        <f t="array" ref="B516">IFERROR(INDEX(SC_OLD!A:A,MATCH($A516,SC_OLD!C:C,0)),"")</f>
        <v>0</v>
      </c>
      <c r="C516" s="387">
        <f>IF($A516="",0,IFERROR(SUMIFS(SC_OLD!D:D,SC_OLD!C:C,$A516,SC_OLD!J:J,"Entregue"),0))</f>
        <v>0</v>
      </c>
      <c r="D516" s="388">
        <f t="shared" si="1"/>
        <v>0</v>
      </c>
      <c r="E516" s="388">
        <f t="shared" si="2"/>
        <v>0</v>
      </c>
      <c r="F516" s="387">
        <f t="shared" si="3"/>
        <v>0</v>
      </c>
      <c r="G516" s="389" t="str">
        <f t="shared" si="4"/>
        <v/>
      </c>
      <c r="H516" s="386" t="str">
        <f t="shared" si="5"/>
        <v/>
      </c>
    </row>
    <row r="517" ht="15.75" customHeight="1">
      <c r="A517" s="391"/>
      <c r="B517" s="386">
        <f t="array" ref="B517">IFERROR(INDEX(SC_OLD!A:A,MATCH($A517,SC_OLD!C:C,0)),"")</f>
        <v>0</v>
      </c>
      <c r="C517" s="387">
        <f>IF($A517="",0,IFERROR(SUMIFS(SC_OLD!D:D,SC_OLD!C:C,$A517,SC_OLD!J:J,"Entregue"),0))</f>
        <v>0</v>
      </c>
      <c r="D517" s="388">
        <f t="shared" si="1"/>
        <v>0</v>
      </c>
      <c r="E517" s="388">
        <f t="shared" si="2"/>
        <v>0</v>
      </c>
      <c r="F517" s="387">
        <f t="shared" si="3"/>
        <v>0</v>
      </c>
      <c r="G517" s="389" t="str">
        <f t="shared" si="4"/>
        <v/>
      </c>
      <c r="H517" s="386" t="str">
        <f t="shared" si="5"/>
        <v/>
      </c>
    </row>
    <row r="518" ht="15.75" customHeight="1">
      <c r="A518" s="391"/>
      <c r="B518" s="386">
        <f t="array" ref="B518">IFERROR(INDEX(SC_OLD!A:A,MATCH($A518,SC_OLD!C:C,0)),"")</f>
        <v>0</v>
      </c>
      <c r="C518" s="387">
        <f>IF($A518="",0,IFERROR(SUMIFS(SC_OLD!D:D,SC_OLD!C:C,$A518,SC_OLD!J:J,"Entregue"),0))</f>
        <v>0</v>
      </c>
      <c r="D518" s="388">
        <f t="shared" si="1"/>
        <v>0</v>
      </c>
      <c r="E518" s="388">
        <f t="shared" si="2"/>
        <v>0</v>
      </c>
      <c r="F518" s="387">
        <f t="shared" si="3"/>
        <v>0</v>
      </c>
      <c r="G518" s="389" t="str">
        <f t="shared" si="4"/>
        <v/>
      </c>
      <c r="H518" s="386" t="str">
        <f t="shared" si="5"/>
        <v/>
      </c>
    </row>
    <row r="519" ht="15.75" customHeight="1">
      <c r="A519" s="391"/>
      <c r="B519" s="386">
        <f t="array" ref="B519">IFERROR(INDEX(SC_OLD!A:A,MATCH($A519,SC_OLD!C:C,0)),"")</f>
        <v>0</v>
      </c>
      <c r="C519" s="387">
        <f>IF($A519="",0,IFERROR(SUMIFS(SC_OLD!D:D,SC_OLD!C:C,$A519,SC_OLD!J:J,"Entregue"),0))</f>
        <v>0</v>
      </c>
      <c r="D519" s="388">
        <f t="shared" si="1"/>
        <v>0</v>
      </c>
      <c r="E519" s="388">
        <f t="shared" si="2"/>
        <v>0</v>
      </c>
      <c r="F519" s="387">
        <f t="shared" si="3"/>
        <v>0</v>
      </c>
      <c r="G519" s="389" t="str">
        <f t="shared" si="4"/>
        <v/>
      </c>
      <c r="H519" s="386" t="str">
        <f t="shared" si="5"/>
        <v/>
      </c>
    </row>
    <row r="520" ht="15.75" customHeight="1">
      <c r="A520" s="391"/>
      <c r="B520" s="386">
        <f t="array" ref="B520">IFERROR(INDEX(SC_OLD!A:A,MATCH($A520,SC_OLD!C:C,0)),"")</f>
        <v>0</v>
      </c>
      <c r="C520" s="387">
        <f>IF($A520="",0,IFERROR(SUMIFS(SC_OLD!D:D,SC_OLD!C:C,$A520,SC_OLD!J:J,"Entregue"),0))</f>
        <v>0</v>
      </c>
      <c r="D520" s="388">
        <f t="shared" si="1"/>
        <v>0</v>
      </c>
      <c r="E520" s="388">
        <f t="shared" si="2"/>
        <v>0</v>
      </c>
      <c r="F520" s="387">
        <f t="shared" si="3"/>
        <v>0</v>
      </c>
      <c r="G520" s="389" t="str">
        <f t="shared" si="4"/>
        <v/>
      </c>
      <c r="H520" s="386" t="str">
        <f t="shared" si="5"/>
        <v/>
      </c>
    </row>
    <row r="521" ht="15.75" customHeight="1">
      <c r="A521" s="391"/>
      <c r="B521" s="386">
        <f t="array" ref="B521">IFERROR(INDEX(SC_OLD!A:A,MATCH($A521,SC_OLD!C:C,0)),"")</f>
        <v>0</v>
      </c>
      <c r="C521" s="387">
        <f>IF($A521="",0,IFERROR(SUMIFS(SC_OLD!D:D,SC_OLD!C:C,$A521,SC_OLD!J:J,"Entregue"),0))</f>
        <v>0</v>
      </c>
      <c r="D521" s="388">
        <f t="shared" si="1"/>
        <v>0</v>
      </c>
      <c r="E521" s="388">
        <f t="shared" si="2"/>
        <v>0</v>
      </c>
      <c r="F521" s="387">
        <f t="shared" si="3"/>
        <v>0</v>
      </c>
      <c r="G521" s="389" t="str">
        <f t="shared" si="4"/>
        <v/>
      </c>
      <c r="H521" s="386" t="str">
        <f t="shared" si="5"/>
        <v/>
      </c>
    </row>
    <row r="522" ht="15.75" customHeight="1">
      <c r="A522" s="391"/>
      <c r="B522" s="386">
        <f t="array" ref="B522">IFERROR(INDEX(SC_OLD!A:A,MATCH($A522,SC_OLD!C:C,0)),"")</f>
        <v>0</v>
      </c>
      <c r="C522" s="387">
        <f>IF($A522="",0,IFERROR(SUMIFS(SC_OLD!D:D,SC_OLD!C:C,$A522,SC_OLD!J:J,"Entregue"),0))</f>
        <v>0</v>
      </c>
      <c r="D522" s="388">
        <f t="shared" si="1"/>
        <v>0</v>
      </c>
      <c r="E522" s="388">
        <f t="shared" si="2"/>
        <v>0</v>
      </c>
      <c r="F522" s="387">
        <f t="shared" si="3"/>
        <v>0</v>
      </c>
      <c r="G522" s="389" t="str">
        <f t="shared" si="4"/>
        <v/>
      </c>
      <c r="H522" s="386" t="str">
        <f t="shared" si="5"/>
        <v/>
      </c>
    </row>
    <row r="523" ht="15.75" customHeight="1">
      <c r="A523" s="391"/>
      <c r="B523" s="386">
        <f t="array" ref="B523">IFERROR(INDEX(SC_OLD!A:A,MATCH($A523,SC_OLD!C:C,0)),"")</f>
        <v>0</v>
      </c>
      <c r="C523" s="387">
        <f>IF($A523="",0,IFERROR(SUMIFS(SC_OLD!D:D,SC_OLD!C:C,$A523,SC_OLD!J:J,"Entregue"),0))</f>
        <v>0</v>
      </c>
      <c r="D523" s="388">
        <f t="shared" si="1"/>
        <v>0</v>
      </c>
      <c r="E523" s="388">
        <f t="shared" si="2"/>
        <v>0</v>
      </c>
      <c r="F523" s="387">
        <f t="shared" si="3"/>
        <v>0</v>
      </c>
      <c r="G523" s="389" t="str">
        <f t="shared" si="4"/>
        <v/>
      </c>
      <c r="H523" s="386" t="str">
        <f t="shared" si="5"/>
        <v/>
      </c>
    </row>
    <row r="524" ht="15.75" customHeight="1">
      <c r="A524" s="391"/>
      <c r="B524" s="386">
        <f t="array" ref="B524">IFERROR(INDEX(SC_OLD!A:A,MATCH($A524,SC_OLD!C:C,0)),"")</f>
        <v>0</v>
      </c>
      <c r="C524" s="387">
        <f>IF($A524="",0,IFERROR(SUMIFS(SC_OLD!D:D,SC_OLD!C:C,$A524,SC_OLD!J:J,"Entregue"),0))</f>
        <v>0</v>
      </c>
      <c r="D524" s="388">
        <f t="shared" si="1"/>
        <v>0</v>
      </c>
      <c r="E524" s="388">
        <f t="shared" si="2"/>
        <v>0</v>
      </c>
      <c r="F524" s="387">
        <f t="shared" si="3"/>
        <v>0</v>
      </c>
      <c r="G524" s="389" t="str">
        <f t="shared" si="4"/>
        <v/>
      </c>
      <c r="H524" s="386" t="str">
        <f t="shared" si="5"/>
        <v/>
      </c>
    </row>
    <row r="525" ht="15.75" customHeight="1">
      <c r="A525" s="391"/>
      <c r="B525" s="386">
        <f t="array" ref="B525">IFERROR(INDEX(SC_OLD!A:A,MATCH($A525,SC_OLD!C:C,0)),"")</f>
        <v>0</v>
      </c>
      <c r="C525" s="387">
        <f>IF($A525="",0,IFERROR(SUMIFS(SC_OLD!D:D,SC_OLD!C:C,$A525,SC_OLD!J:J,"Entregue"),0))</f>
        <v>0</v>
      </c>
      <c r="D525" s="388">
        <f t="shared" si="1"/>
        <v>0</v>
      </c>
      <c r="E525" s="388">
        <f t="shared" si="2"/>
        <v>0</v>
      </c>
      <c r="F525" s="387">
        <f t="shared" si="3"/>
        <v>0</v>
      </c>
      <c r="G525" s="389" t="str">
        <f t="shared" si="4"/>
        <v/>
      </c>
      <c r="H525" s="386" t="str">
        <f t="shared" si="5"/>
        <v/>
      </c>
    </row>
    <row r="526" ht="15.75" customHeight="1">
      <c r="A526" s="391"/>
      <c r="B526" s="386">
        <f t="array" ref="B526">IFERROR(INDEX(SC_OLD!A:A,MATCH($A526,SC_OLD!C:C,0)),"")</f>
        <v>0</v>
      </c>
      <c r="C526" s="387">
        <f>IF($A526="",0,IFERROR(SUMIFS(SC_OLD!D:D,SC_OLD!C:C,$A526,SC_OLD!J:J,"Entregue"),0))</f>
        <v>0</v>
      </c>
      <c r="D526" s="388">
        <f t="shared" si="1"/>
        <v>0</v>
      </c>
      <c r="E526" s="388">
        <f t="shared" si="2"/>
        <v>0</v>
      </c>
      <c r="F526" s="387">
        <f t="shared" si="3"/>
        <v>0</v>
      </c>
      <c r="G526" s="389" t="str">
        <f t="shared" si="4"/>
        <v/>
      </c>
      <c r="H526" s="386" t="str">
        <f t="shared" si="5"/>
        <v/>
      </c>
    </row>
    <row r="527" ht="15.75" customHeight="1">
      <c r="A527" s="391"/>
      <c r="B527" s="386">
        <f t="array" ref="B527">IFERROR(INDEX(SC_OLD!A:A,MATCH($A527,SC_OLD!C:C,0)),"")</f>
        <v>0</v>
      </c>
      <c r="C527" s="387">
        <f>IF($A527="",0,IFERROR(SUMIFS(SC_OLD!D:D,SC_OLD!C:C,$A527,SC_OLD!J:J,"Entregue"),0))</f>
        <v>0</v>
      </c>
      <c r="D527" s="388">
        <f t="shared" si="1"/>
        <v>0</v>
      </c>
      <c r="E527" s="388">
        <f t="shared" si="2"/>
        <v>0</v>
      </c>
      <c r="F527" s="387">
        <f t="shared" si="3"/>
        <v>0</v>
      </c>
      <c r="G527" s="389" t="str">
        <f t="shared" si="4"/>
        <v/>
      </c>
      <c r="H527" s="386" t="str">
        <f t="shared" si="5"/>
        <v/>
      </c>
    </row>
    <row r="528" ht="15.75" customHeight="1">
      <c r="A528" s="391"/>
      <c r="B528" s="386">
        <f t="array" ref="B528">IFERROR(INDEX(SC_OLD!A:A,MATCH($A528,SC_OLD!C:C,0)),"")</f>
        <v>0</v>
      </c>
      <c r="C528" s="387">
        <f>IF($A528="",0,IFERROR(SUMIFS(SC_OLD!D:D,SC_OLD!C:C,$A528,SC_OLD!J:J,"Entregue"),0))</f>
        <v>0</v>
      </c>
      <c r="D528" s="388">
        <f t="shared" si="1"/>
        <v>0</v>
      </c>
      <c r="E528" s="388">
        <f t="shared" si="2"/>
        <v>0</v>
      </c>
      <c r="F528" s="387">
        <f t="shared" si="3"/>
        <v>0</v>
      </c>
      <c r="G528" s="389" t="str">
        <f t="shared" si="4"/>
        <v/>
      </c>
      <c r="H528" s="386" t="str">
        <f t="shared" si="5"/>
        <v/>
      </c>
    </row>
    <row r="529" ht="15.75" customHeight="1">
      <c r="A529" s="391"/>
      <c r="B529" s="386">
        <f t="array" ref="B529">IFERROR(INDEX(SC_OLD!A:A,MATCH($A529,SC_OLD!C:C,0)),"")</f>
        <v>0</v>
      </c>
      <c r="C529" s="387">
        <f>IF($A529="",0,IFERROR(SUMIFS(SC_OLD!D:D,SC_OLD!C:C,$A529,SC_OLD!J:J,"Entregue"),0))</f>
        <v>0</v>
      </c>
      <c r="D529" s="388">
        <f t="shared" si="1"/>
        <v>0</v>
      </c>
      <c r="E529" s="388">
        <f t="shared" si="2"/>
        <v>0</v>
      </c>
      <c r="F529" s="387">
        <f t="shared" si="3"/>
        <v>0</v>
      </c>
      <c r="G529" s="389" t="str">
        <f t="shared" si="4"/>
        <v/>
      </c>
      <c r="H529" s="386" t="str">
        <f t="shared" si="5"/>
        <v/>
      </c>
    </row>
    <row r="530" ht="15.75" customHeight="1">
      <c r="A530" s="391"/>
      <c r="B530" s="386">
        <f t="array" ref="B530">IFERROR(INDEX(SC_OLD!A:A,MATCH($A530,SC_OLD!C:C,0)),"")</f>
        <v>0</v>
      </c>
      <c r="C530" s="387">
        <f>IF($A530="",0,IFERROR(SUMIFS(SC_OLD!D:D,SC_OLD!C:C,$A530,SC_OLD!J:J,"Entregue"),0))</f>
        <v>0</v>
      </c>
      <c r="D530" s="388">
        <f t="shared" si="1"/>
        <v>0</v>
      </c>
      <c r="E530" s="388">
        <f t="shared" si="2"/>
        <v>0</v>
      </c>
      <c r="F530" s="387">
        <f t="shared" si="3"/>
        <v>0</v>
      </c>
      <c r="G530" s="389" t="str">
        <f t="shared" si="4"/>
        <v/>
      </c>
      <c r="H530" s="386" t="str">
        <f t="shared" si="5"/>
        <v/>
      </c>
    </row>
    <row r="531" ht="15.75" customHeight="1">
      <c r="A531" s="391"/>
      <c r="B531" s="386">
        <f t="array" ref="B531">IFERROR(INDEX(SC_OLD!A:A,MATCH($A531,SC_OLD!C:C,0)),"")</f>
        <v>0</v>
      </c>
      <c r="C531" s="387">
        <f>IF($A531="",0,IFERROR(SUMIFS(SC_OLD!D:D,SC_OLD!C:C,$A531,SC_OLD!J:J,"Entregue"),0))</f>
        <v>0</v>
      </c>
      <c r="D531" s="388">
        <f t="shared" si="1"/>
        <v>0</v>
      </c>
      <c r="E531" s="388">
        <f t="shared" si="2"/>
        <v>0</v>
      </c>
      <c r="F531" s="387">
        <f t="shared" si="3"/>
        <v>0</v>
      </c>
      <c r="G531" s="389" t="str">
        <f t="shared" si="4"/>
        <v/>
      </c>
      <c r="H531" s="386" t="str">
        <f t="shared" si="5"/>
        <v/>
      </c>
    </row>
    <row r="532" ht="15.75" customHeight="1">
      <c r="A532" s="391"/>
      <c r="B532" s="386">
        <f t="array" ref="B532">IFERROR(INDEX(SC_OLD!A:A,MATCH($A532,SC_OLD!C:C,0)),"")</f>
        <v>0</v>
      </c>
      <c r="C532" s="387">
        <f>IF($A532="",0,IFERROR(SUMIFS(SC_OLD!D:D,SC_OLD!C:C,$A532,SC_OLD!J:J,"Entregue"),0))</f>
        <v>0</v>
      </c>
      <c r="D532" s="388">
        <f t="shared" si="1"/>
        <v>0</v>
      </c>
      <c r="E532" s="388">
        <f t="shared" si="2"/>
        <v>0</v>
      </c>
      <c r="F532" s="387">
        <f t="shared" si="3"/>
        <v>0</v>
      </c>
      <c r="G532" s="389" t="str">
        <f t="shared" si="4"/>
        <v/>
      </c>
      <c r="H532" s="386" t="str">
        <f t="shared" si="5"/>
        <v/>
      </c>
    </row>
    <row r="533" ht="15.75" customHeight="1">
      <c r="A533" s="391"/>
      <c r="B533" s="386">
        <f t="array" ref="B533">IFERROR(INDEX(SC_OLD!A:A,MATCH($A533,SC_OLD!C:C,0)),"")</f>
        <v>0</v>
      </c>
      <c r="C533" s="387">
        <f>IF($A533="",0,IFERROR(SUMIFS(SC_OLD!D:D,SC_OLD!C:C,$A533,SC_OLD!J:J,"Entregue"),0))</f>
        <v>0</v>
      </c>
      <c r="D533" s="388">
        <f t="shared" si="1"/>
        <v>0</v>
      </c>
      <c r="E533" s="388">
        <f t="shared" si="2"/>
        <v>0</v>
      </c>
      <c r="F533" s="387">
        <f t="shared" si="3"/>
        <v>0</v>
      </c>
      <c r="G533" s="389" t="str">
        <f t="shared" si="4"/>
        <v/>
      </c>
      <c r="H533" s="386" t="str">
        <f t="shared" si="5"/>
        <v/>
      </c>
    </row>
    <row r="534" ht="15.75" customHeight="1">
      <c r="A534" s="391"/>
      <c r="B534" s="386">
        <f t="array" ref="B534">IFERROR(INDEX(SC_OLD!A:A,MATCH($A534,SC_OLD!C:C,0)),"")</f>
        <v>0</v>
      </c>
      <c r="C534" s="387">
        <f>IF($A534="",0,IFERROR(SUMIFS(SC_OLD!D:D,SC_OLD!C:C,$A534,SC_OLD!J:J,"Entregue"),0))</f>
        <v>0</v>
      </c>
      <c r="D534" s="388">
        <f t="shared" si="1"/>
        <v>0</v>
      </c>
      <c r="E534" s="388">
        <f t="shared" si="2"/>
        <v>0</v>
      </c>
      <c r="F534" s="387">
        <f t="shared" si="3"/>
        <v>0</v>
      </c>
      <c r="G534" s="389" t="str">
        <f t="shared" si="4"/>
        <v/>
      </c>
      <c r="H534" s="386" t="str">
        <f t="shared" si="5"/>
        <v/>
      </c>
    </row>
    <row r="535" ht="15.75" customHeight="1">
      <c r="A535" s="391"/>
      <c r="B535" s="386">
        <f t="array" ref="B535">IFERROR(INDEX(SC_OLD!A:A,MATCH($A535,SC_OLD!C:C,0)),"")</f>
        <v>0</v>
      </c>
      <c r="C535" s="387">
        <f>IF($A535="",0,IFERROR(SUMIFS(SC_OLD!D:D,SC_OLD!C:C,$A535,SC_OLD!J:J,"Entregue"),0))</f>
        <v>0</v>
      </c>
      <c r="D535" s="388">
        <f t="shared" si="1"/>
        <v>0</v>
      </c>
      <c r="E535" s="388">
        <f t="shared" si="2"/>
        <v>0</v>
      </c>
      <c r="F535" s="387">
        <f t="shared" si="3"/>
        <v>0</v>
      </c>
      <c r="G535" s="389" t="str">
        <f t="shared" si="4"/>
        <v/>
      </c>
      <c r="H535" s="386" t="str">
        <f t="shared" si="5"/>
        <v/>
      </c>
    </row>
    <row r="536" ht="15.75" customHeight="1">
      <c r="A536" s="391"/>
      <c r="B536" s="386">
        <f t="array" ref="B536">IFERROR(INDEX(SC_OLD!A:A,MATCH($A536,SC_OLD!C:C,0)),"")</f>
        <v>0</v>
      </c>
      <c r="C536" s="387">
        <f>IF($A536="",0,IFERROR(SUMIFS(SC_OLD!D:D,SC_OLD!C:C,$A536,SC_OLD!J:J,"Entregue"),0))</f>
        <v>0</v>
      </c>
      <c r="D536" s="388">
        <f t="shared" si="1"/>
        <v>0</v>
      </c>
      <c r="E536" s="388">
        <f t="shared" si="2"/>
        <v>0</v>
      </c>
      <c r="F536" s="387">
        <f t="shared" si="3"/>
        <v>0</v>
      </c>
      <c r="G536" s="389" t="str">
        <f t="shared" si="4"/>
        <v/>
      </c>
      <c r="H536" s="386" t="str">
        <f t="shared" si="5"/>
        <v/>
      </c>
    </row>
    <row r="537" ht="15.75" customHeight="1">
      <c r="A537" s="391"/>
      <c r="B537" s="386">
        <f t="array" ref="B537">IFERROR(INDEX(SC_OLD!A:A,MATCH($A537,SC_OLD!C:C,0)),"")</f>
        <v>0</v>
      </c>
      <c r="C537" s="387">
        <f>IF($A537="",0,IFERROR(SUMIFS(SC_OLD!D:D,SC_OLD!C:C,$A537,SC_OLD!J:J,"Entregue"),0))</f>
        <v>0</v>
      </c>
      <c r="D537" s="388">
        <f t="shared" si="1"/>
        <v>0</v>
      </c>
      <c r="E537" s="388">
        <f t="shared" si="2"/>
        <v>0</v>
      </c>
      <c r="F537" s="387">
        <f t="shared" si="3"/>
        <v>0</v>
      </c>
      <c r="G537" s="389" t="str">
        <f t="shared" si="4"/>
        <v/>
      </c>
      <c r="H537" s="386" t="str">
        <f t="shared" si="5"/>
        <v/>
      </c>
    </row>
    <row r="538" ht="15.75" customHeight="1">
      <c r="A538" s="391"/>
      <c r="B538" s="386">
        <f t="array" ref="B538">IFERROR(INDEX(SC_OLD!A:A,MATCH($A538,SC_OLD!C:C,0)),"")</f>
        <v>0</v>
      </c>
      <c r="C538" s="387">
        <f>IF($A538="",0,IFERROR(SUMIFS(SC_OLD!D:D,SC_OLD!C:C,$A538,SC_OLD!J:J,"Entregue"),0))</f>
        <v>0</v>
      </c>
      <c r="D538" s="388">
        <f t="shared" si="1"/>
        <v>0</v>
      </c>
      <c r="E538" s="388">
        <f t="shared" si="2"/>
        <v>0</v>
      </c>
      <c r="F538" s="387">
        <f t="shared" si="3"/>
        <v>0</v>
      </c>
      <c r="G538" s="389" t="str">
        <f t="shared" si="4"/>
        <v/>
      </c>
      <c r="H538" s="386" t="str">
        <f t="shared" si="5"/>
        <v/>
      </c>
    </row>
    <row r="539" ht="15.75" customHeight="1">
      <c r="A539" s="391"/>
      <c r="B539" s="386">
        <f t="array" ref="B539">IFERROR(INDEX(SC_OLD!A:A,MATCH($A539,SC_OLD!C:C,0)),"")</f>
        <v>0</v>
      </c>
      <c r="C539" s="387">
        <f>IF($A539="",0,IFERROR(SUMIFS(SC_OLD!D:D,SC_OLD!C:C,$A539,SC_OLD!J:J,"Entregue"),0))</f>
        <v>0</v>
      </c>
      <c r="D539" s="388">
        <f t="shared" si="1"/>
        <v>0</v>
      </c>
      <c r="E539" s="388">
        <f t="shared" si="2"/>
        <v>0</v>
      </c>
      <c r="F539" s="387">
        <f t="shared" si="3"/>
        <v>0</v>
      </c>
      <c r="G539" s="389" t="str">
        <f t="shared" si="4"/>
        <v/>
      </c>
      <c r="H539" s="386" t="str">
        <f t="shared" si="5"/>
        <v/>
      </c>
    </row>
    <row r="540" ht="15.75" customHeight="1">
      <c r="A540" s="391"/>
      <c r="B540" s="386">
        <f t="array" ref="B540">IFERROR(INDEX(SC_OLD!A:A,MATCH($A540,SC_OLD!C:C,0)),"")</f>
        <v>0</v>
      </c>
      <c r="C540" s="387">
        <f>IF($A540="",0,IFERROR(SUMIFS(SC_OLD!D:D,SC_OLD!C:C,$A540,SC_OLD!J:J,"Entregue"),0))</f>
        <v>0</v>
      </c>
      <c r="D540" s="388">
        <f t="shared" si="1"/>
        <v>0</v>
      </c>
      <c r="E540" s="388">
        <f t="shared" si="2"/>
        <v>0</v>
      </c>
      <c r="F540" s="387">
        <f t="shared" si="3"/>
        <v>0</v>
      </c>
      <c r="G540" s="389" t="str">
        <f t="shared" si="4"/>
        <v/>
      </c>
      <c r="H540" s="386" t="str">
        <f t="shared" si="5"/>
        <v/>
      </c>
    </row>
    <row r="541" ht="15.75" customHeight="1">
      <c r="A541" s="391"/>
      <c r="B541" s="386">
        <f t="array" ref="B541">IFERROR(INDEX(SC_OLD!A:A,MATCH($A541,SC_OLD!C:C,0)),"")</f>
        <v>0</v>
      </c>
      <c r="C541" s="387">
        <f>IF($A541="",0,IFERROR(SUMIFS(SC_OLD!D:D,SC_OLD!C:C,$A541,SC_OLD!J:J,"Entregue"),0))</f>
        <v>0</v>
      </c>
      <c r="D541" s="388">
        <f t="shared" si="1"/>
        <v>0</v>
      </c>
      <c r="E541" s="388">
        <f t="shared" si="2"/>
        <v>0</v>
      </c>
      <c r="F541" s="387">
        <f t="shared" si="3"/>
        <v>0</v>
      </c>
      <c r="G541" s="389" t="str">
        <f t="shared" si="4"/>
        <v/>
      </c>
      <c r="H541" s="386" t="str">
        <f t="shared" si="5"/>
        <v/>
      </c>
    </row>
    <row r="542" ht="15.75" customHeight="1">
      <c r="A542" s="391"/>
      <c r="B542" s="386">
        <f t="array" ref="B542">IFERROR(INDEX(SC_OLD!A:A,MATCH($A542,SC_OLD!C:C,0)),"")</f>
        <v>0</v>
      </c>
      <c r="C542" s="387">
        <f>IF($A542="",0,IFERROR(SUMIFS(SC_OLD!D:D,SC_OLD!C:C,$A542,SC_OLD!J:J,"Entregue"),0))</f>
        <v>0</v>
      </c>
      <c r="D542" s="388">
        <f t="shared" si="1"/>
        <v>0</v>
      </c>
      <c r="E542" s="388">
        <f t="shared" si="2"/>
        <v>0</v>
      </c>
      <c r="F542" s="387">
        <f t="shared" si="3"/>
        <v>0</v>
      </c>
      <c r="G542" s="389" t="str">
        <f t="shared" si="4"/>
        <v/>
      </c>
      <c r="H542" s="386" t="str">
        <f t="shared" si="5"/>
        <v/>
      </c>
    </row>
    <row r="543" ht="15.75" customHeight="1">
      <c r="A543" s="391"/>
      <c r="B543" s="386">
        <f t="array" ref="B543">IFERROR(INDEX(SC_OLD!A:A,MATCH($A543,SC_OLD!C:C,0)),"")</f>
        <v>0</v>
      </c>
      <c r="C543" s="387">
        <f>IF($A543="",0,IFERROR(SUMIFS(SC_OLD!D:D,SC_OLD!C:C,$A543,SC_OLD!J:J,"Entregue"),0))</f>
        <v>0</v>
      </c>
      <c r="D543" s="388">
        <f t="shared" si="1"/>
        <v>0</v>
      </c>
      <c r="E543" s="388">
        <f t="shared" si="2"/>
        <v>0</v>
      </c>
      <c r="F543" s="387">
        <f t="shared" si="3"/>
        <v>0</v>
      </c>
      <c r="G543" s="389" t="str">
        <f t="shared" si="4"/>
        <v/>
      </c>
      <c r="H543" s="386" t="str">
        <f t="shared" si="5"/>
        <v/>
      </c>
    </row>
    <row r="544" ht="15.75" customHeight="1">
      <c r="A544" s="391"/>
      <c r="B544" s="386">
        <f t="array" ref="B544">IFERROR(INDEX(SC_OLD!A:A,MATCH($A544,SC_OLD!C:C,0)),"")</f>
        <v>0</v>
      </c>
      <c r="C544" s="387">
        <f>IF($A544="",0,IFERROR(SUMIFS(SC_OLD!D:D,SC_OLD!C:C,$A544,SC_OLD!J:J,"Entregue"),0))</f>
        <v>0</v>
      </c>
      <c r="D544" s="388">
        <f t="shared" si="1"/>
        <v>0</v>
      </c>
      <c r="E544" s="388">
        <f t="shared" si="2"/>
        <v>0</v>
      </c>
      <c r="F544" s="387">
        <f t="shared" si="3"/>
        <v>0</v>
      </c>
      <c r="G544" s="389" t="str">
        <f t="shared" si="4"/>
        <v/>
      </c>
      <c r="H544" s="386" t="str">
        <f t="shared" si="5"/>
        <v/>
      </c>
    </row>
    <row r="545" ht="15.75" customHeight="1">
      <c r="A545" s="391"/>
      <c r="B545" s="386">
        <f t="array" ref="B545">IFERROR(INDEX(SC_OLD!A:A,MATCH($A545,SC_OLD!C:C,0)),"")</f>
        <v>0</v>
      </c>
      <c r="C545" s="387">
        <f>IF($A545="",0,IFERROR(SUMIFS(SC_OLD!D:D,SC_OLD!C:C,$A545,SC_OLD!J:J,"Entregue"),0))</f>
        <v>0</v>
      </c>
      <c r="D545" s="388">
        <f t="shared" si="1"/>
        <v>0</v>
      </c>
      <c r="E545" s="388">
        <f t="shared" si="2"/>
        <v>0</v>
      </c>
      <c r="F545" s="387">
        <f t="shared" si="3"/>
        <v>0</v>
      </c>
      <c r="G545" s="389" t="str">
        <f t="shared" si="4"/>
        <v/>
      </c>
      <c r="H545" s="386" t="str">
        <f t="shared" si="5"/>
        <v/>
      </c>
    </row>
    <row r="546" ht="15.75" customHeight="1">
      <c r="A546" s="391"/>
      <c r="B546" s="386">
        <f t="array" ref="B546">IFERROR(INDEX(SC_OLD!A:A,MATCH($A546,SC_OLD!C:C,0)),"")</f>
        <v>0</v>
      </c>
      <c r="C546" s="387">
        <f>IF($A546="",0,IFERROR(SUMIFS(SC_OLD!D:D,SC_OLD!C:C,$A546,SC_OLD!J:J,"Entregue"),0))</f>
        <v>0</v>
      </c>
      <c r="D546" s="388">
        <f t="shared" si="1"/>
        <v>0</v>
      </c>
      <c r="E546" s="388">
        <f t="shared" si="2"/>
        <v>0</v>
      </c>
      <c r="F546" s="387">
        <f t="shared" si="3"/>
        <v>0</v>
      </c>
      <c r="G546" s="389" t="str">
        <f t="shared" si="4"/>
        <v/>
      </c>
      <c r="H546" s="386" t="str">
        <f t="shared" si="5"/>
        <v/>
      </c>
    </row>
    <row r="547" ht="15.75" customHeight="1">
      <c r="A547" s="391"/>
      <c r="B547" s="386">
        <f t="array" ref="B547">IFERROR(INDEX(SC_OLD!A:A,MATCH($A547,SC_OLD!C:C,0)),"")</f>
        <v>0</v>
      </c>
      <c r="C547" s="387">
        <f>IF($A547="",0,IFERROR(SUMIFS(SC_OLD!D:D,SC_OLD!C:C,$A547,SC_OLD!J:J,"Entregue"),0))</f>
        <v>0</v>
      </c>
      <c r="D547" s="388">
        <f t="shared" si="1"/>
        <v>0</v>
      </c>
      <c r="E547" s="388">
        <f t="shared" si="2"/>
        <v>0</v>
      </c>
      <c r="F547" s="387">
        <f t="shared" si="3"/>
        <v>0</v>
      </c>
      <c r="G547" s="389" t="str">
        <f t="shared" si="4"/>
        <v/>
      </c>
      <c r="H547" s="386" t="str">
        <f t="shared" si="5"/>
        <v/>
      </c>
    </row>
    <row r="548" ht="15.75" customHeight="1">
      <c r="A548" s="391"/>
      <c r="B548" s="386">
        <f t="array" ref="B548">IFERROR(INDEX(SC_OLD!A:A,MATCH($A548,SC_OLD!C:C,0)),"")</f>
        <v>0</v>
      </c>
      <c r="C548" s="387">
        <f>IF($A548="",0,IFERROR(SUMIFS(SC_OLD!D:D,SC_OLD!C:C,$A548,SC_OLD!J:J,"Entregue"),0))</f>
        <v>0</v>
      </c>
      <c r="D548" s="388">
        <f t="shared" si="1"/>
        <v>0</v>
      </c>
      <c r="E548" s="388">
        <f t="shared" si="2"/>
        <v>0</v>
      </c>
      <c r="F548" s="387">
        <f t="shared" si="3"/>
        <v>0</v>
      </c>
      <c r="G548" s="389" t="str">
        <f t="shared" si="4"/>
        <v/>
      </c>
      <c r="H548" s="386" t="str">
        <f t="shared" si="5"/>
        <v/>
      </c>
    </row>
    <row r="549" ht="15.75" customHeight="1">
      <c r="A549" s="391"/>
      <c r="B549" s="386">
        <f t="array" ref="B549">IFERROR(INDEX(SC_OLD!A:A,MATCH($A549,SC_OLD!C:C,0)),"")</f>
        <v>0</v>
      </c>
      <c r="C549" s="387">
        <f>IF($A549="",0,IFERROR(SUMIFS(SC_OLD!D:D,SC_OLD!C:C,$A549,SC_OLD!J:J,"Entregue"),0))</f>
        <v>0</v>
      </c>
      <c r="D549" s="388">
        <f t="shared" si="1"/>
        <v>0</v>
      </c>
      <c r="E549" s="388">
        <f t="shared" si="2"/>
        <v>0</v>
      </c>
      <c r="F549" s="387">
        <f t="shared" si="3"/>
        <v>0</v>
      </c>
      <c r="G549" s="389" t="str">
        <f t="shared" si="4"/>
        <v/>
      </c>
      <c r="H549" s="386" t="str">
        <f t="shared" si="5"/>
        <v/>
      </c>
    </row>
    <row r="550" ht="15.75" customHeight="1">
      <c r="A550" s="391"/>
      <c r="B550" s="386">
        <f t="array" ref="B550">IFERROR(INDEX(SC_OLD!A:A,MATCH($A550,SC_OLD!C:C,0)),"")</f>
        <v>0</v>
      </c>
      <c r="C550" s="387">
        <f>IF($A550="",0,IFERROR(SUMIFS(SC_OLD!D:D,SC_OLD!C:C,$A550,SC_OLD!J:J,"Entregue"),0))</f>
        <v>0</v>
      </c>
      <c r="D550" s="388">
        <f t="shared" si="1"/>
        <v>0</v>
      </c>
      <c r="E550" s="388">
        <f t="shared" si="2"/>
        <v>0</v>
      </c>
      <c r="F550" s="387">
        <f t="shared" si="3"/>
        <v>0</v>
      </c>
      <c r="G550" s="389" t="str">
        <f t="shared" si="4"/>
        <v/>
      </c>
      <c r="H550" s="386" t="str">
        <f t="shared" si="5"/>
        <v/>
      </c>
    </row>
    <row r="551" ht="15.75" customHeight="1">
      <c r="A551" s="391"/>
      <c r="B551" s="386">
        <f t="array" ref="B551">IFERROR(INDEX(SC_OLD!A:A,MATCH($A551,SC_OLD!C:C,0)),"")</f>
        <v>0</v>
      </c>
      <c r="C551" s="387">
        <f>IF($A551="",0,IFERROR(SUMIFS(SC_OLD!D:D,SC_OLD!C:C,$A551,SC_OLD!J:J,"Entregue"),0))</f>
        <v>0</v>
      </c>
      <c r="D551" s="388">
        <f t="shared" si="1"/>
        <v>0</v>
      </c>
      <c r="E551" s="388">
        <f t="shared" si="2"/>
        <v>0</v>
      </c>
      <c r="F551" s="387">
        <f t="shared" si="3"/>
        <v>0</v>
      </c>
      <c r="G551" s="389" t="str">
        <f t="shared" si="4"/>
        <v/>
      </c>
      <c r="H551" s="386" t="str">
        <f t="shared" si="5"/>
        <v/>
      </c>
    </row>
    <row r="552" ht="15.75" customHeight="1">
      <c r="A552" s="391"/>
      <c r="B552" s="386">
        <f t="array" ref="B552">IFERROR(INDEX(SC_OLD!A:A,MATCH($A552,SC_OLD!C:C,0)),"")</f>
        <v>0</v>
      </c>
      <c r="C552" s="387">
        <f>IF($A552="",0,IFERROR(SUMIFS(SC_OLD!D:D,SC_OLD!C:C,$A552,SC_OLD!J:J,"Entregue"),0))</f>
        <v>0</v>
      </c>
      <c r="D552" s="388">
        <f t="shared" si="1"/>
        <v>0</v>
      </c>
      <c r="E552" s="388">
        <f t="shared" si="2"/>
        <v>0</v>
      </c>
      <c r="F552" s="387">
        <f t="shared" si="3"/>
        <v>0</v>
      </c>
      <c r="G552" s="389" t="str">
        <f t="shared" si="4"/>
        <v/>
      </c>
      <c r="H552" s="386" t="str">
        <f t="shared" si="5"/>
        <v/>
      </c>
    </row>
    <row r="553" ht="15.75" customHeight="1">
      <c r="A553" s="391"/>
      <c r="B553" s="386">
        <f t="array" ref="B553">IFERROR(INDEX(SC_OLD!A:A,MATCH($A553,SC_OLD!C:C,0)),"")</f>
        <v>0</v>
      </c>
      <c r="C553" s="387">
        <f>IF($A553="",0,IFERROR(SUMIFS(SC_OLD!D:D,SC_OLD!C:C,$A553,SC_OLD!J:J,"Entregue"),0))</f>
        <v>0</v>
      </c>
      <c r="D553" s="388">
        <f t="shared" si="1"/>
        <v>0</v>
      </c>
      <c r="E553" s="388">
        <f t="shared" si="2"/>
        <v>0</v>
      </c>
      <c r="F553" s="387">
        <f t="shared" si="3"/>
        <v>0</v>
      </c>
      <c r="G553" s="389" t="str">
        <f t="shared" si="4"/>
        <v/>
      </c>
      <c r="H553" s="386" t="str">
        <f t="shared" si="5"/>
        <v/>
      </c>
    </row>
    <row r="554" ht="15.75" customHeight="1">
      <c r="A554" s="391"/>
      <c r="B554" s="386">
        <f t="array" ref="B554">IFERROR(INDEX(SC_OLD!A:A,MATCH($A554,SC_OLD!C:C,0)),"")</f>
        <v>0</v>
      </c>
      <c r="C554" s="387">
        <f>IF($A554="",0,IFERROR(SUMIFS(SC_OLD!D:D,SC_OLD!C:C,$A554,SC_OLD!J:J,"Entregue"),0))</f>
        <v>0</v>
      </c>
      <c r="D554" s="388">
        <f t="shared" si="1"/>
        <v>0</v>
      </c>
      <c r="E554" s="388">
        <f t="shared" si="2"/>
        <v>0</v>
      </c>
      <c r="F554" s="387">
        <f t="shared" si="3"/>
        <v>0</v>
      </c>
      <c r="G554" s="389" t="str">
        <f t="shared" si="4"/>
        <v/>
      </c>
      <c r="H554" s="386" t="str">
        <f t="shared" si="5"/>
        <v/>
      </c>
    </row>
    <row r="555" ht="15.75" customHeight="1">
      <c r="A555" s="391"/>
      <c r="B555" s="386">
        <f t="array" ref="B555">IFERROR(INDEX(SC_OLD!A:A,MATCH($A555,SC_OLD!C:C,0)),"")</f>
        <v>0</v>
      </c>
      <c r="C555" s="387">
        <f>IF($A555="",0,IFERROR(SUMIFS(SC_OLD!D:D,SC_OLD!C:C,$A555,SC_OLD!J:J,"Entregue"),0))</f>
        <v>0</v>
      </c>
      <c r="D555" s="388">
        <f t="shared" si="1"/>
        <v>0</v>
      </c>
      <c r="E555" s="388">
        <f t="shared" si="2"/>
        <v>0</v>
      </c>
      <c r="F555" s="387">
        <f t="shared" si="3"/>
        <v>0</v>
      </c>
      <c r="G555" s="389" t="str">
        <f t="shared" si="4"/>
        <v/>
      </c>
      <c r="H555" s="386" t="str">
        <f t="shared" si="5"/>
        <v/>
      </c>
    </row>
    <row r="556" ht="15.75" customHeight="1">
      <c r="A556" s="391"/>
      <c r="B556" s="386">
        <f t="array" ref="B556">IFERROR(INDEX(SC_OLD!A:A,MATCH($A556,SC_OLD!C:C,0)),"")</f>
        <v>0</v>
      </c>
      <c r="C556" s="387">
        <f>IF($A556="",0,IFERROR(SUMIFS(SC_OLD!D:D,SC_OLD!C:C,$A556,SC_OLD!J:J,"Entregue"),0))</f>
        <v>0</v>
      </c>
      <c r="D556" s="388">
        <f t="shared" si="1"/>
        <v>0</v>
      </c>
      <c r="E556" s="388">
        <f t="shared" si="2"/>
        <v>0</v>
      </c>
      <c r="F556" s="387">
        <f t="shared" si="3"/>
        <v>0</v>
      </c>
      <c r="G556" s="389" t="str">
        <f t="shared" si="4"/>
        <v/>
      </c>
      <c r="H556" s="386" t="str">
        <f t="shared" si="5"/>
        <v/>
      </c>
    </row>
    <row r="557" ht="15.75" customHeight="1">
      <c r="A557" s="391"/>
      <c r="B557" s="386">
        <f t="array" ref="B557">IFERROR(INDEX(SC_OLD!A:A,MATCH($A557,SC_OLD!C:C,0)),"")</f>
        <v>0</v>
      </c>
      <c r="C557" s="387">
        <f>IF($A557="",0,IFERROR(SUMIFS(SC_OLD!D:D,SC_OLD!C:C,$A557,SC_OLD!J:J,"Entregue"),0))</f>
        <v>0</v>
      </c>
      <c r="D557" s="388">
        <f t="shared" si="1"/>
        <v>0</v>
      </c>
      <c r="E557" s="388">
        <f t="shared" si="2"/>
        <v>0</v>
      </c>
      <c r="F557" s="387">
        <f t="shared" si="3"/>
        <v>0</v>
      </c>
      <c r="G557" s="389" t="str">
        <f t="shared" si="4"/>
        <v/>
      </c>
      <c r="H557" s="386" t="str">
        <f t="shared" si="5"/>
        <v/>
      </c>
    </row>
    <row r="558" ht="15.75" customHeight="1">
      <c r="A558" s="391"/>
      <c r="B558" s="386">
        <f t="array" ref="B558">IFERROR(INDEX(SC_OLD!A:A,MATCH($A558,SC_OLD!C:C,0)),"")</f>
        <v>0</v>
      </c>
      <c r="C558" s="387">
        <f>IF($A558="",0,IFERROR(SUMIFS(SC_OLD!D:D,SC_OLD!C:C,$A558,SC_OLD!J:J,"Entregue"),0))</f>
        <v>0</v>
      </c>
      <c r="D558" s="388">
        <f t="shared" si="1"/>
        <v>0</v>
      </c>
      <c r="E558" s="388">
        <f t="shared" si="2"/>
        <v>0</v>
      </c>
      <c r="F558" s="387">
        <f t="shared" si="3"/>
        <v>0</v>
      </c>
      <c r="G558" s="389" t="str">
        <f t="shared" si="4"/>
        <v/>
      </c>
      <c r="H558" s="386" t="str">
        <f t="shared" si="5"/>
        <v/>
      </c>
    </row>
    <row r="559" ht="15.75" customHeight="1">
      <c r="A559" s="391"/>
      <c r="B559" s="386">
        <f t="array" ref="B559">IFERROR(INDEX(SC_OLD!A:A,MATCH($A559,SC_OLD!C:C,0)),"")</f>
        <v>0</v>
      </c>
      <c r="C559" s="387">
        <f>IF($A559="",0,IFERROR(SUMIFS(SC_OLD!D:D,SC_OLD!C:C,$A559,SC_OLD!J:J,"Entregue"),0))</f>
        <v>0</v>
      </c>
      <c r="D559" s="388">
        <f t="shared" si="1"/>
        <v>0</v>
      </c>
      <c r="E559" s="388">
        <f t="shared" si="2"/>
        <v>0</v>
      </c>
      <c r="F559" s="387">
        <f t="shared" si="3"/>
        <v>0</v>
      </c>
      <c r="G559" s="389" t="str">
        <f t="shared" si="4"/>
        <v/>
      </c>
      <c r="H559" s="386" t="str">
        <f t="shared" si="5"/>
        <v/>
      </c>
    </row>
    <row r="560" ht="15.75" customHeight="1">
      <c r="A560" s="391"/>
      <c r="B560" s="386">
        <f t="array" ref="B560">IFERROR(INDEX(SC_OLD!A:A,MATCH($A560,SC_OLD!C:C,0)),"")</f>
        <v>0</v>
      </c>
      <c r="C560" s="387">
        <f>IF($A560="",0,IFERROR(SUMIFS(SC_OLD!D:D,SC_OLD!C:C,$A560,SC_OLD!J:J,"Entregue"),0))</f>
        <v>0</v>
      </c>
      <c r="D560" s="388">
        <f t="shared" si="1"/>
        <v>0</v>
      </c>
      <c r="E560" s="388">
        <f t="shared" si="2"/>
        <v>0</v>
      </c>
      <c r="F560" s="387">
        <f t="shared" si="3"/>
        <v>0</v>
      </c>
      <c r="G560" s="389" t="str">
        <f t="shared" si="4"/>
        <v/>
      </c>
      <c r="H560" s="386" t="str">
        <f t="shared" si="5"/>
        <v/>
      </c>
    </row>
    <row r="561" ht="15.75" customHeight="1">
      <c r="A561" s="391"/>
      <c r="B561" s="386">
        <f t="array" ref="B561">IFERROR(INDEX(SC_OLD!A:A,MATCH($A561,SC_OLD!C:C,0)),"")</f>
        <v>0</v>
      </c>
      <c r="C561" s="387">
        <f>IF($A561="",0,IFERROR(SUMIFS(SC_OLD!D:D,SC_OLD!C:C,$A561,SC_OLD!J:J,"Entregue"),0))</f>
        <v>0</v>
      </c>
      <c r="D561" s="388">
        <f t="shared" si="1"/>
        <v>0</v>
      </c>
      <c r="E561" s="388">
        <f t="shared" si="2"/>
        <v>0</v>
      </c>
      <c r="F561" s="387">
        <f t="shared" si="3"/>
        <v>0</v>
      </c>
      <c r="G561" s="389" t="str">
        <f t="shared" si="4"/>
        <v/>
      </c>
      <c r="H561" s="386" t="str">
        <f t="shared" si="5"/>
        <v/>
      </c>
    </row>
    <row r="562" ht="15.75" customHeight="1">
      <c r="A562" s="391"/>
      <c r="B562" s="386">
        <f t="array" ref="B562">IFERROR(INDEX(SC_OLD!A:A,MATCH($A562,SC_OLD!C:C,0)),"")</f>
        <v>0</v>
      </c>
      <c r="C562" s="387">
        <f>IF($A562="",0,IFERROR(SUMIFS(SC_OLD!D:D,SC_OLD!C:C,$A562,SC_OLD!J:J,"Entregue"),0))</f>
        <v>0</v>
      </c>
      <c r="D562" s="388">
        <f t="shared" si="1"/>
        <v>0</v>
      </c>
      <c r="E562" s="388">
        <f t="shared" si="2"/>
        <v>0</v>
      </c>
      <c r="F562" s="387">
        <f t="shared" si="3"/>
        <v>0</v>
      </c>
      <c r="G562" s="389" t="str">
        <f t="shared" si="4"/>
        <v/>
      </c>
      <c r="H562" s="386" t="str">
        <f t="shared" si="5"/>
        <v/>
      </c>
    </row>
    <row r="563" ht="15.75" customHeight="1">
      <c r="A563" s="391"/>
      <c r="B563" s="386">
        <f t="array" ref="B563">IFERROR(INDEX(SC_OLD!A:A,MATCH($A563,SC_OLD!C:C,0)),"")</f>
        <v>0</v>
      </c>
      <c r="C563" s="387">
        <f>IF($A563="",0,IFERROR(SUMIFS(SC_OLD!D:D,SC_OLD!C:C,$A563,SC_OLD!J:J,"Entregue"),0))</f>
        <v>0</v>
      </c>
      <c r="D563" s="388">
        <f t="shared" si="1"/>
        <v>0</v>
      </c>
      <c r="E563" s="388">
        <f t="shared" si="2"/>
        <v>0</v>
      </c>
      <c r="F563" s="387">
        <f t="shared" si="3"/>
        <v>0</v>
      </c>
      <c r="G563" s="389" t="str">
        <f t="shared" si="4"/>
        <v/>
      </c>
      <c r="H563" s="386" t="str">
        <f t="shared" si="5"/>
        <v/>
      </c>
    </row>
    <row r="564" ht="15.75" customHeight="1">
      <c r="A564" s="391"/>
      <c r="B564" s="386">
        <f t="array" ref="B564">IFERROR(INDEX(SC_OLD!A:A,MATCH($A564,SC_OLD!C:C,0)),"")</f>
        <v>0</v>
      </c>
      <c r="C564" s="387">
        <f>IF($A564="",0,IFERROR(SUMIFS(SC_OLD!D:D,SC_OLD!C:C,$A564,SC_OLD!J:J,"Entregue"),0))</f>
        <v>0</v>
      </c>
      <c r="D564" s="388">
        <f t="shared" si="1"/>
        <v>0</v>
      </c>
      <c r="E564" s="388">
        <f t="shared" si="2"/>
        <v>0</v>
      </c>
      <c r="F564" s="387">
        <f t="shared" si="3"/>
        <v>0</v>
      </c>
      <c r="G564" s="389" t="str">
        <f t="shared" si="4"/>
        <v/>
      </c>
      <c r="H564" s="386" t="str">
        <f t="shared" si="5"/>
        <v/>
      </c>
    </row>
    <row r="565" ht="15.75" customHeight="1">
      <c r="A565" s="391"/>
      <c r="B565" s="386">
        <f t="array" ref="B565">IFERROR(INDEX(SC_OLD!A:A,MATCH($A565,SC_OLD!C:C,0)),"")</f>
        <v>0</v>
      </c>
      <c r="C565" s="387">
        <f>IF($A565="",0,IFERROR(SUMIFS(SC_OLD!D:D,SC_OLD!C:C,$A565,SC_OLD!J:J,"Entregue"),0))</f>
        <v>0</v>
      </c>
      <c r="D565" s="388">
        <f t="shared" si="1"/>
        <v>0</v>
      </c>
      <c r="E565" s="388">
        <f t="shared" si="2"/>
        <v>0</v>
      </c>
      <c r="F565" s="387">
        <f t="shared" si="3"/>
        <v>0</v>
      </c>
      <c r="G565" s="389" t="str">
        <f t="shared" si="4"/>
        <v/>
      </c>
      <c r="H565" s="386" t="str">
        <f t="shared" si="5"/>
        <v/>
      </c>
    </row>
    <row r="566" ht="15.75" customHeight="1">
      <c r="A566" s="391"/>
      <c r="B566" s="386">
        <f t="array" ref="B566">IFERROR(INDEX(SC_OLD!A:A,MATCH($A566,SC_OLD!C:C,0)),"")</f>
        <v>0</v>
      </c>
      <c r="C566" s="387">
        <f>IF($A566="",0,IFERROR(SUMIFS(SC_OLD!D:D,SC_OLD!C:C,$A566,SC_OLD!J:J,"Entregue"),0))</f>
        <v>0</v>
      </c>
      <c r="D566" s="388">
        <f t="shared" si="1"/>
        <v>0</v>
      </c>
      <c r="E566" s="388">
        <f t="shared" si="2"/>
        <v>0</v>
      </c>
      <c r="F566" s="387">
        <f t="shared" si="3"/>
        <v>0</v>
      </c>
      <c r="G566" s="389" t="str">
        <f t="shared" si="4"/>
        <v/>
      </c>
      <c r="H566" s="386" t="str">
        <f t="shared" si="5"/>
        <v/>
      </c>
    </row>
    <row r="567" ht="15.75" customHeight="1">
      <c r="A567" s="391"/>
      <c r="B567" s="386">
        <f t="array" ref="B567">IFERROR(INDEX(SC_OLD!A:A,MATCH($A567,SC_OLD!C:C,0)),"")</f>
        <v>0</v>
      </c>
      <c r="C567" s="387">
        <f>IF($A567="",0,IFERROR(SUMIFS(SC_OLD!D:D,SC_OLD!C:C,$A567,SC_OLD!J:J,"Entregue"),0))</f>
        <v>0</v>
      </c>
      <c r="D567" s="388">
        <f t="shared" si="1"/>
        <v>0</v>
      </c>
      <c r="E567" s="388">
        <f t="shared" si="2"/>
        <v>0</v>
      </c>
      <c r="F567" s="387">
        <f t="shared" si="3"/>
        <v>0</v>
      </c>
      <c r="G567" s="389" t="str">
        <f t="shared" si="4"/>
        <v/>
      </c>
      <c r="H567" s="386" t="str">
        <f t="shared" si="5"/>
        <v/>
      </c>
    </row>
    <row r="568" ht="15.75" customHeight="1">
      <c r="A568" s="391"/>
      <c r="B568" s="386">
        <f t="array" ref="B568">IFERROR(INDEX(SC_OLD!A:A,MATCH($A568,SC_OLD!C:C,0)),"")</f>
        <v>0</v>
      </c>
      <c r="C568" s="387">
        <f>IF($A568="",0,IFERROR(SUMIFS(SC_OLD!D:D,SC_OLD!C:C,$A568,SC_OLD!J:J,"Entregue"),0))</f>
        <v>0</v>
      </c>
      <c r="D568" s="388">
        <f t="shared" si="1"/>
        <v>0</v>
      </c>
      <c r="E568" s="388">
        <f t="shared" si="2"/>
        <v>0</v>
      </c>
      <c r="F568" s="387">
        <f t="shared" si="3"/>
        <v>0</v>
      </c>
      <c r="G568" s="389" t="str">
        <f t="shared" si="4"/>
        <v/>
      </c>
      <c r="H568" s="386" t="str">
        <f t="shared" si="5"/>
        <v/>
      </c>
    </row>
    <row r="569" ht="15.75" customHeight="1">
      <c r="A569" s="391"/>
      <c r="B569" s="386">
        <f t="array" ref="B569">IFERROR(INDEX(SC_OLD!A:A,MATCH($A569,SC_OLD!C:C,0)),"")</f>
        <v>0</v>
      </c>
      <c r="C569" s="387">
        <f>IF($A569="",0,IFERROR(SUMIFS(SC_OLD!D:D,SC_OLD!C:C,$A569,SC_OLD!J:J,"Entregue"),0))</f>
        <v>0</v>
      </c>
      <c r="D569" s="388">
        <f t="shared" si="1"/>
        <v>0</v>
      </c>
      <c r="E569" s="388">
        <f t="shared" si="2"/>
        <v>0</v>
      </c>
      <c r="F569" s="387">
        <f t="shared" si="3"/>
        <v>0</v>
      </c>
      <c r="G569" s="389" t="str">
        <f t="shared" si="4"/>
        <v/>
      </c>
      <c r="H569" s="386" t="str">
        <f t="shared" si="5"/>
        <v/>
      </c>
    </row>
    <row r="570" ht="15.75" customHeight="1">
      <c r="A570" s="391"/>
      <c r="B570" s="386">
        <f t="array" ref="B570">IFERROR(INDEX(SC_OLD!A:A,MATCH($A570,SC_OLD!C:C,0)),"")</f>
        <v>0</v>
      </c>
      <c r="C570" s="387">
        <f>IF($A570="",0,IFERROR(SUMIFS(SC_OLD!D:D,SC_OLD!C:C,$A570,SC_OLD!J:J,"Entregue"),0))</f>
        <v>0</v>
      </c>
      <c r="D570" s="388">
        <f t="shared" si="1"/>
        <v>0</v>
      </c>
      <c r="E570" s="388">
        <f t="shared" si="2"/>
        <v>0</v>
      </c>
      <c r="F570" s="387">
        <f t="shared" si="3"/>
        <v>0</v>
      </c>
      <c r="G570" s="389" t="str">
        <f t="shared" si="4"/>
        <v/>
      </c>
      <c r="H570" s="386" t="str">
        <f t="shared" si="5"/>
        <v/>
      </c>
    </row>
    <row r="571" ht="15.75" customHeight="1">
      <c r="A571" s="391"/>
      <c r="B571" s="386">
        <f t="array" ref="B571">IFERROR(INDEX(SC_OLD!A:A,MATCH($A571,SC_OLD!C:C,0)),"")</f>
        <v>0</v>
      </c>
      <c r="C571" s="387">
        <f>IF($A571="",0,IFERROR(SUMIFS(SC_OLD!D:D,SC_OLD!C:C,$A571,SC_OLD!J:J,"Entregue"),0))</f>
        <v>0</v>
      </c>
      <c r="D571" s="388">
        <f t="shared" si="1"/>
        <v>0</v>
      </c>
      <c r="E571" s="388">
        <f t="shared" si="2"/>
        <v>0</v>
      </c>
      <c r="F571" s="387">
        <f t="shared" si="3"/>
        <v>0</v>
      </c>
      <c r="G571" s="389" t="str">
        <f t="shared" si="4"/>
        <v/>
      </c>
      <c r="H571" s="386" t="str">
        <f t="shared" si="5"/>
        <v/>
      </c>
    </row>
    <row r="572" ht="15.75" customHeight="1">
      <c r="A572" s="391"/>
      <c r="B572" s="386">
        <f t="array" ref="B572">IFERROR(INDEX(SC_OLD!A:A,MATCH($A572,SC_OLD!C:C,0)),"")</f>
        <v>0</v>
      </c>
      <c r="C572" s="387">
        <f>IF($A572="",0,IFERROR(SUMIFS(SC_OLD!D:D,SC_OLD!C:C,$A572,SC_OLD!J:J,"Entregue"),0))</f>
        <v>0</v>
      </c>
      <c r="D572" s="388">
        <f t="shared" si="1"/>
        <v>0</v>
      </c>
      <c r="E572" s="388">
        <f t="shared" si="2"/>
        <v>0</v>
      </c>
      <c r="F572" s="387">
        <f t="shared" si="3"/>
        <v>0</v>
      </c>
      <c r="G572" s="389" t="str">
        <f t="shared" si="4"/>
        <v/>
      </c>
      <c r="H572" s="386" t="str">
        <f t="shared" si="5"/>
        <v/>
      </c>
    </row>
    <row r="573" ht="15.75" customHeight="1">
      <c r="A573" s="391"/>
      <c r="B573" s="386">
        <f t="array" ref="B573">IFERROR(INDEX(SC_OLD!A:A,MATCH($A573,SC_OLD!C:C,0)),"")</f>
        <v>0</v>
      </c>
      <c r="C573" s="387">
        <f>IF($A573="",0,IFERROR(SUMIFS(SC_OLD!D:D,SC_OLD!C:C,$A573,SC_OLD!J:J,"Entregue"),0))</f>
        <v>0</v>
      </c>
      <c r="D573" s="388">
        <f t="shared" si="1"/>
        <v>0</v>
      </c>
      <c r="E573" s="388">
        <f t="shared" si="2"/>
        <v>0</v>
      </c>
      <c r="F573" s="387">
        <f t="shared" si="3"/>
        <v>0</v>
      </c>
      <c r="G573" s="389" t="str">
        <f t="shared" si="4"/>
        <v/>
      </c>
      <c r="H573" s="386" t="str">
        <f t="shared" si="5"/>
        <v/>
      </c>
    </row>
    <row r="574" ht="15.75" customHeight="1">
      <c r="A574" s="391"/>
      <c r="B574" s="386">
        <f t="array" ref="B574">IFERROR(INDEX(SC_OLD!A:A,MATCH($A574,SC_OLD!C:C,0)),"")</f>
        <v>0</v>
      </c>
      <c r="C574" s="387">
        <f>IF($A574="",0,IFERROR(SUMIFS(SC_OLD!D:D,SC_OLD!C:C,$A574,SC_OLD!J:J,"Entregue"),0))</f>
        <v>0</v>
      </c>
      <c r="D574" s="388">
        <f t="shared" si="1"/>
        <v>0</v>
      </c>
      <c r="E574" s="388">
        <f t="shared" si="2"/>
        <v>0</v>
      </c>
      <c r="F574" s="387">
        <f t="shared" si="3"/>
        <v>0</v>
      </c>
      <c r="G574" s="389" t="str">
        <f t="shared" si="4"/>
        <v/>
      </c>
      <c r="H574" s="386" t="str">
        <f t="shared" si="5"/>
        <v/>
      </c>
    </row>
    <row r="575" ht="15.75" customHeight="1">
      <c r="A575" s="391"/>
      <c r="B575" s="386">
        <f t="array" ref="B575">IFERROR(INDEX(SC_OLD!A:A,MATCH($A575,SC_OLD!C:C,0)),"")</f>
        <v>0</v>
      </c>
      <c r="C575" s="387">
        <f>IF($A575="",0,IFERROR(SUMIFS(SC_OLD!D:D,SC_OLD!C:C,$A575,SC_OLD!J:J,"Entregue"),0))</f>
        <v>0</v>
      </c>
      <c r="D575" s="388">
        <f t="shared" si="1"/>
        <v>0</v>
      </c>
      <c r="E575" s="388">
        <f t="shared" si="2"/>
        <v>0</v>
      </c>
      <c r="F575" s="387">
        <f t="shared" si="3"/>
        <v>0</v>
      </c>
      <c r="G575" s="389" t="str">
        <f t="shared" si="4"/>
        <v/>
      </c>
      <c r="H575" s="386" t="str">
        <f t="shared" si="5"/>
        <v/>
      </c>
    </row>
    <row r="576" ht="15.75" customHeight="1">
      <c r="A576" s="391"/>
      <c r="B576" s="386">
        <f t="array" ref="B576">IFERROR(INDEX(SC_OLD!A:A,MATCH($A576,SC_OLD!C:C,0)),"")</f>
        <v>0</v>
      </c>
      <c r="C576" s="387">
        <f>IF($A576="",0,IFERROR(SUMIFS(SC_OLD!D:D,SC_OLD!C:C,$A576,SC_OLD!J:J,"Entregue"),0))</f>
        <v>0</v>
      </c>
      <c r="D576" s="388">
        <f t="shared" si="1"/>
        <v>0</v>
      </c>
      <c r="E576" s="388">
        <f t="shared" si="2"/>
        <v>0</v>
      </c>
      <c r="F576" s="387">
        <f t="shared" si="3"/>
        <v>0</v>
      </c>
      <c r="G576" s="389" t="str">
        <f t="shared" si="4"/>
        <v/>
      </c>
      <c r="H576" s="386" t="str">
        <f t="shared" si="5"/>
        <v/>
      </c>
    </row>
    <row r="577" ht="15.75" customHeight="1">
      <c r="A577" s="391"/>
      <c r="B577" s="386">
        <f t="array" ref="B577">IFERROR(INDEX(SC_OLD!A:A,MATCH($A577,SC_OLD!C:C,0)),"")</f>
        <v>0</v>
      </c>
      <c r="C577" s="387">
        <f>IF($A577="",0,IFERROR(SUMIFS(SC_OLD!D:D,SC_OLD!C:C,$A577,SC_OLD!J:J,"Entregue"),0))</f>
        <v>0</v>
      </c>
      <c r="D577" s="388">
        <f t="shared" si="1"/>
        <v>0</v>
      </c>
      <c r="E577" s="388">
        <f t="shared" si="2"/>
        <v>0</v>
      </c>
      <c r="F577" s="387">
        <f t="shared" si="3"/>
        <v>0</v>
      </c>
      <c r="G577" s="389" t="str">
        <f t="shared" si="4"/>
        <v/>
      </c>
      <c r="H577" s="386" t="str">
        <f t="shared" si="5"/>
        <v/>
      </c>
    </row>
    <row r="578" ht="15.75" customHeight="1">
      <c r="A578" s="391"/>
      <c r="B578" s="386">
        <f t="array" ref="B578">IFERROR(INDEX(SC_OLD!A:A,MATCH($A578,SC_OLD!C:C,0)),"")</f>
        <v>0</v>
      </c>
      <c r="C578" s="387">
        <f>IF($A578="",0,IFERROR(SUMIFS(SC_OLD!D:D,SC_OLD!C:C,$A578,SC_OLD!J:J,"Entregue"),0))</f>
        <v>0</v>
      </c>
      <c r="D578" s="388">
        <f t="shared" si="1"/>
        <v>0</v>
      </c>
      <c r="E578" s="388">
        <f t="shared" si="2"/>
        <v>0</v>
      </c>
      <c r="F578" s="387">
        <f t="shared" si="3"/>
        <v>0</v>
      </c>
      <c r="G578" s="389" t="str">
        <f t="shared" si="4"/>
        <v/>
      </c>
      <c r="H578" s="386" t="str">
        <f t="shared" si="5"/>
        <v/>
      </c>
    </row>
    <row r="579" ht="15.75" customHeight="1">
      <c r="A579" s="391"/>
      <c r="B579" s="386">
        <f t="array" ref="B579">IFERROR(INDEX(SC_OLD!A:A,MATCH($A579,SC_OLD!C:C,0)),"")</f>
        <v>0</v>
      </c>
      <c r="C579" s="387">
        <f>IF($A579="",0,IFERROR(SUMIFS(SC_OLD!D:D,SC_OLD!C:C,$A579,SC_OLD!J:J,"Entregue"),0))</f>
        <v>0</v>
      </c>
      <c r="D579" s="388">
        <f t="shared" si="1"/>
        <v>0</v>
      </c>
      <c r="E579" s="388">
        <f t="shared" si="2"/>
        <v>0</v>
      </c>
      <c r="F579" s="387">
        <f t="shared" si="3"/>
        <v>0</v>
      </c>
      <c r="G579" s="389" t="str">
        <f t="shared" si="4"/>
        <v/>
      </c>
      <c r="H579" s="386" t="str">
        <f t="shared" si="5"/>
        <v/>
      </c>
    </row>
    <row r="580" ht="15.75" customHeight="1">
      <c r="A580" s="391"/>
      <c r="B580" s="386">
        <f t="array" ref="B580">IFERROR(INDEX(SC_OLD!A:A,MATCH($A580,SC_OLD!C:C,0)),"")</f>
        <v>0</v>
      </c>
      <c r="C580" s="387">
        <f>IF($A580="",0,IFERROR(SUMIFS(SC_OLD!D:D,SC_OLD!C:C,$A580,SC_OLD!J:J,"Entregue"),0))</f>
        <v>0</v>
      </c>
      <c r="D580" s="388">
        <f t="shared" si="1"/>
        <v>0</v>
      </c>
      <c r="E580" s="388">
        <f t="shared" si="2"/>
        <v>0</v>
      </c>
      <c r="F580" s="387">
        <f t="shared" si="3"/>
        <v>0</v>
      </c>
      <c r="G580" s="389" t="str">
        <f t="shared" si="4"/>
        <v/>
      </c>
      <c r="H580" s="386" t="str">
        <f t="shared" si="5"/>
        <v/>
      </c>
    </row>
    <row r="581" ht="15.75" customHeight="1">
      <c r="A581" s="391"/>
      <c r="B581" s="386">
        <f t="array" ref="B581">IFERROR(INDEX(SC_OLD!A:A,MATCH($A581,SC_OLD!C:C,0)),"")</f>
        <v>0</v>
      </c>
      <c r="C581" s="387">
        <f>IF($A581="",0,IFERROR(SUMIFS(SC_OLD!D:D,SC_OLD!C:C,$A581,SC_OLD!J:J,"Entregue"),0))</f>
        <v>0</v>
      </c>
      <c r="D581" s="388">
        <f t="shared" si="1"/>
        <v>0</v>
      </c>
      <c r="E581" s="388">
        <f t="shared" si="2"/>
        <v>0</v>
      </c>
      <c r="F581" s="387">
        <f t="shared" si="3"/>
        <v>0</v>
      </c>
      <c r="G581" s="389" t="str">
        <f t="shared" si="4"/>
        <v/>
      </c>
      <c r="H581" s="386" t="str">
        <f t="shared" si="5"/>
        <v/>
      </c>
    </row>
    <row r="582" ht="15.75" customHeight="1">
      <c r="A582" s="391"/>
      <c r="B582" s="386">
        <f t="array" ref="B582">IFERROR(INDEX(SC_OLD!A:A,MATCH($A582,SC_OLD!C:C,0)),"")</f>
        <v>0</v>
      </c>
      <c r="C582" s="387">
        <f>IF($A582="",0,IFERROR(SUMIFS(SC_OLD!D:D,SC_OLD!C:C,$A582,SC_OLD!J:J,"Entregue"),0))</f>
        <v>0</v>
      </c>
      <c r="D582" s="388">
        <f t="shared" si="1"/>
        <v>0</v>
      </c>
      <c r="E582" s="388">
        <f t="shared" si="2"/>
        <v>0</v>
      </c>
      <c r="F582" s="387">
        <f t="shared" si="3"/>
        <v>0</v>
      </c>
      <c r="G582" s="389" t="str">
        <f t="shared" si="4"/>
        <v/>
      </c>
      <c r="H582" s="386" t="str">
        <f t="shared" si="5"/>
        <v/>
      </c>
    </row>
    <row r="583" ht="15.75" customHeight="1">
      <c r="A583" s="391"/>
      <c r="B583" s="386">
        <f t="array" ref="B583">IFERROR(INDEX(SC_OLD!A:A,MATCH($A583,SC_OLD!C:C,0)),"")</f>
        <v>0</v>
      </c>
      <c r="C583" s="387">
        <f>IF($A583="",0,IFERROR(SUMIFS(SC_OLD!D:D,SC_OLD!C:C,$A583,SC_OLD!J:J,"Entregue"),0))</f>
        <v>0</v>
      </c>
      <c r="D583" s="388">
        <f t="shared" si="1"/>
        <v>0</v>
      </c>
      <c r="E583" s="388">
        <f t="shared" si="2"/>
        <v>0</v>
      </c>
      <c r="F583" s="387">
        <f t="shared" si="3"/>
        <v>0</v>
      </c>
      <c r="G583" s="389" t="str">
        <f t="shared" si="4"/>
        <v/>
      </c>
      <c r="H583" s="386" t="str">
        <f t="shared" si="5"/>
        <v/>
      </c>
    </row>
    <row r="584" ht="15.75" customHeight="1">
      <c r="A584" s="391"/>
      <c r="B584" s="386">
        <f t="array" ref="B584">IFERROR(INDEX(SC_OLD!A:A,MATCH($A584,SC_OLD!C:C,0)),"")</f>
        <v>0</v>
      </c>
      <c r="C584" s="387">
        <f>IF($A584="",0,IFERROR(SUMIFS(SC_OLD!D:D,SC_OLD!C:C,$A584,SC_OLD!J:J,"Entregue"),0))</f>
        <v>0</v>
      </c>
      <c r="D584" s="388">
        <f t="shared" si="1"/>
        <v>0</v>
      </c>
      <c r="E584" s="388">
        <f t="shared" si="2"/>
        <v>0</v>
      </c>
      <c r="F584" s="387">
        <f t="shared" si="3"/>
        <v>0</v>
      </c>
      <c r="G584" s="389" t="str">
        <f t="shared" si="4"/>
        <v/>
      </c>
      <c r="H584" s="386" t="str">
        <f t="shared" si="5"/>
        <v/>
      </c>
    </row>
    <row r="585" ht="15.75" customHeight="1">
      <c r="A585" s="391"/>
      <c r="B585" s="386">
        <f t="array" ref="B585">IFERROR(INDEX(SC_OLD!A:A,MATCH($A585,SC_OLD!C:C,0)),"")</f>
        <v>0</v>
      </c>
      <c r="C585" s="387">
        <f>IF($A585="",0,IFERROR(SUMIFS(SC_OLD!D:D,SC_OLD!C:C,$A585,SC_OLD!J:J,"Entregue"),0))</f>
        <v>0</v>
      </c>
      <c r="D585" s="388">
        <f t="shared" si="1"/>
        <v>0</v>
      </c>
      <c r="E585" s="388">
        <f t="shared" si="2"/>
        <v>0</v>
      </c>
      <c r="F585" s="387">
        <f t="shared" si="3"/>
        <v>0</v>
      </c>
      <c r="G585" s="389" t="str">
        <f t="shared" si="4"/>
        <v/>
      </c>
      <c r="H585" s="386" t="str">
        <f t="shared" si="5"/>
        <v/>
      </c>
    </row>
    <row r="586" ht="15.75" customHeight="1">
      <c r="A586" s="391"/>
      <c r="B586" s="386">
        <f t="array" ref="B586">IFERROR(INDEX(SC_OLD!A:A,MATCH($A586,SC_OLD!C:C,0)),"")</f>
        <v>0</v>
      </c>
      <c r="C586" s="387">
        <f>IF($A586="",0,IFERROR(SUMIFS(SC_OLD!D:D,SC_OLD!C:C,$A586,SC_OLD!J:J,"Entregue"),0))</f>
        <v>0</v>
      </c>
      <c r="D586" s="388">
        <f t="shared" si="1"/>
        <v>0</v>
      </c>
      <c r="E586" s="388">
        <f t="shared" si="2"/>
        <v>0</v>
      </c>
      <c r="F586" s="387">
        <f t="shared" si="3"/>
        <v>0</v>
      </c>
      <c r="G586" s="389" t="str">
        <f t="shared" si="4"/>
        <v/>
      </c>
      <c r="H586" s="386" t="str">
        <f t="shared" si="5"/>
        <v/>
      </c>
    </row>
    <row r="587" ht="15.75" customHeight="1">
      <c r="A587" s="391"/>
      <c r="B587" s="386">
        <f t="array" ref="B587">IFERROR(INDEX(SC_OLD!A:A,MATCH($A587,SC_OLD!C:C,0)),"")</f>
        <v>0</v>
      </c>
      <c r="C587" s="387">
        <f>IF($A587="",0,IFERROR(SUMIFS(SC_OLD!D:D,SC_OLD!C:C,$A587,SC_OLD!J:J,"Entregue"),0))</f>
        <v>0</v>
      </c>
      <c r="D587" s="388">
        <f t="shared" si="1"/>
        <v>0</v>
      </c>
      <c r="E587" s="388">
        <f t="shared" si="2"/>
        <v>0</v>
      </c>
      <c r="F587" s="387">
        <f t="shared" si="3"/>
        <v>0</v>
      </c>
      <c r="G587" s="389" t="str">
        <f t="shared" si="4"/>
        <v/>
      </c>
      <c r="H587" s="386" t="str">
        <f t="shared" si="5"/>
        <v/>
      </c>
    </row>
    <row r="588" ht="15.75" customHeight="1">
      <c r="A588" s="391"/>
      <c r="B588" s="386">
        <f t="array" ref="B588">IFERROR(INDEX(SC_OLD!A:A,MATCH($A588,SC_OLD!C:C,0)),"")</f>
        <v>0</v>
      </c>
      <c r="C588" s="387">
        <f>IF($A588="",0,IFERROR(SUMIFS(SC_OLD!D:D,SC_OLD!C:C,$A588,SC_OLD!J:J,"Entregue"),0))</f>
        <v>0</v>
      </c>
      <c r="D588" s="388">
        <f t="shared" si="1"/>
        <v>0</v>
      </c>
      <c r="E588" s="388">
        <f t="shared" si="2"/>
        <v>0</v>
      </c>
      <c r="F588" s="387">
        <f t="shared" si="3"/>
        <v>0</v>
      </c>
      <c r="G588" s="389" t="str">
        <f t="shared" si="4"/>
        <v/>
      </c>
      <c r="H588" s="386" t="str">
        <f t="shared" si="5"/>
        <v/>
      </c>
    </row>
    <row r="589" ht="15.75" customHeight="1">
      <c r="A589" s="391"/>
      <c r="B589" s="386">
        <f t="array" ref="B589">IFERROR(INDEX(SC_OLD!A:A,MATCH($A589,SC_OLD!C:C,0)),"")</f>
        <v>0</v>
      </c>
      <c r="C589" s="387">
        <f>IF($A589="",0,IFERROR(SUMIFS(SC_OLD!D:D,SC_OLD!C:C,$A589,SC_OLD!J:J,"Entregue"),0))</f>
        <v>0</v>
      </c>
      <c r="D589" s="388">
        <f t="shared" si="1"/>
        <v>0</v>
      </c>
      <c r="E589" s="388">
        <f t="shared" si="2"/>
        <v>0</v>
      </c>
      <c r="F589" s="387">
        <f t="shared" si="3"/>
        <v>0</v>
      </c>
      <c r="G589" s="389" t="str">
        <f t="shared" si="4"/>
        <v/>
      </c>
      <c r="H589" s="386" t="str">
        <f t="shared" si="5"/>
        <v/>
      </c>
    </row>
    <row r="590" ht="15.75" customHeight="1">
      <c r="A590" s="391"/>
      <c r="B590" s="386">
        <f t="array" ref="B590">IFERROR(INDEX(SC_OLD!A:A,MATCH($A590,SC_OLD!C:C,0)),"")</f>
        <v>0</v>
      </c>
      <c r="C590" s="387">
        <f>IF($A590="",0,IFERROR(SUMIFS(SC_OLD!D:D,SC_OLD!C:C,$A590,SC_OLD!J:J,"Entregue"),0))</f>
        <v>0</v>
      </c>
      <c r="D590" s="388">
        <f t="shared" si="1"/>
        <v>0</v>
      </c>
      <c r="E590" s="388">
        <f t="shared" si="2"/>
        <v>0</v>
      </c>
      <c r="F590" s="387">
        <f t="shared" si="3"/>
        <v>0</v>
      </c>
      <c r="G590" s="389" t="str">
        <f t="shared" si="4"/>
        <v/>
      </c>
      <c r="H590" s="386" t="str">
        <f t="shared" si="5"/>
        <v/>
      </c>
    </row>
    <row r="591" ht="15.75" customHeight="1">
      <c r="A591" s="391"/>
      <c r="B591" s="386">
        <f t="array" ref="B591">IFERROR(INDEX(SC_OLD!A:A,MATCH($A591,SC_OLD!C:C,0)),"")</f>
        <v>0</v>
      </c>
      <c r="C591" s="387">
        <f>IF($A591="",0,IFERROR(SUMIFS(SC_OLD!D:D,SC_OLD!C:C,$A591,SC_OLD!J:J,"Entregue"),0))</f>
        <v>0</v>
      </c>
      <c r="D591" s="388">
        <f t="shared" si="1"/>
        <v>0</v>
      </c>
      <c r="E591" s="388">
        <f t="shared" si="2"/>
        <v>0</v>
      </c>
      <c r="F591" s="387">
        <f t="shared" si="3"/>
        <v>0</v>
      </c>
      <c r="G591" s="389" t="str">
        <f t="shared" si="4"/>
        <v/>
      </c>
      <c r="H591" s="386" t="str">
        <f t="shared" si="5"/>
        <v/>
      </c>
    </row>
    <row r="592" ht="15.75" customHeight="1">
      <c r="A592" s="391"/>
      <c r="B592" s="386">
        <f t="array" ref="B592">IFERROR(INDEX(SC_OLD!A:A,MATCH($A592,SC_OLD!C:C,0)),"")</f>
        <v>0</v>
      </c>
      <c r="C592" s="387">
        <f>IF($A592="",0,IFERROR(SUMIFS(SC_OLD!D:D,SC_OLD!C:C,$A592,SC_OLD!J:J,"Entregue"),0))</f>
        <v>0</v>
      </c>
      <c r="D592" s="388">
        <f t="shared" si="1"/>
        <v>0</v>
      </c>
      <c r="E592" s="388">
        <f t="shared" si="2"/>
        <v>0</v>
      </c>
      <c r="F592" s="387">
        <f t="shared" si="3"/>
        <v>0</v>
      </c>
      <c r="G592" s="389" t="str">
        <f t="shared" si="4"/>
        <v/>
      </c>
      <c r="H592" s="386" t="str">
        <f t="shared" si="5"/>
        <v/>
      </c>
    </row>
    <row r="593" ht="15.75" customHeight="1">
      <c r="A593" s="391"/>
      <c r="B593" s="386">
        <f t="array" ref="B593">IFERROR(INDEX(SC_OLD!A:A,MATCH($A593,SC_OLD!C:C,0)),"")</f>
        <v>0</v>
      </c>
      <c r="C593" s="387">
        <f>IF($A593="",0,IFERROR(SUMIFS(SC_OLD!D:D,SC_OLD!C:C,$A593,SC_OLD!J:J,"Entregue"),0))</f>
        <v>0</v>
      </c>
      <c r="D593" s="388">
        <f t="shared" si="1"/>
        <v>0</v>
      </c>
      <c r="E593" s="388">
        <f t="shared" si="2"/>
        <v>0</v>
      </c>
      <c r="F593" s="387">
        <f t="shared" si="3"/>
        <v>0</v>
      </c>
      <c r="G593" s="389" t="str">
        <f t="shared" si="4"/>
        <v/>
      </c>
      <c r="H593" s="386" t="str">
        <f t="shared" si="5"/>
        <v/>
      </c>
    </row>
    <row r="594" ht="15.75" customHeight="1">
      <c r="A594" s="391"/>
      <c r="B594" s="386">
        <f t="array" ref="B594">IFERROR(INDEX(SC_OLD!A:A,MATCH($A594,SC_OLD!C:C,0)),"")</f>
        <v>0</v>
      </c>
      <c r="C594" s="387">
        <f>IF($A594="",0,IFERROR(SUMIFS(SC_OLD!D:D,SC_OLD!C:C,$A594,SC_OLD!J:J,"Entregue"),0))</f>
        <v>0</v>
      </c>
      <c r="D594" s="388">
        <f t="shared" si="1"/>
        <v>0</v>
      </c>
      <c r="E594" s="388">
        <f t="shared" si="2"/>
        <v>0</v>
      </c>
      <c r="F594" s="387">
        <f t="shared" si="3"/>
        <v>0</v>
      </c>
      <c r="G594" s="389" t="str">
        <f t="shared" si="4"/>
        <v/>
      </c>
      <c r="H594" s="386" t="str">
        <f t="shared" si="5"/>
        <v/>
      </c>
    </row>
    <row r="595" ht="15.75" customHeight="1">
      <c r="A595" s="391"/>
      <c r="B595" s="386">
        <f t="array" ref="B595">IFERROR(INDEX(SC_OLD!A:A,MATCH($A595,SC_OLD!C:C,0)),"")</f>
        <v>0</v>
      </c>
      <c r="C595" s="387">
        <f>IF($A595="",0,IFERROR(SUMIFS(SC_OLD!D:D,SC_OLD!C:C,$A595,SC_OLD!J:J,"Entregue"),0))</f>
        <v>0</v>
      </c>
      <c r="D595" s="388">
        <f t="shared" si="1"/>
        <v>0</v>
      </c>
      <c r="E595" s="388">
        <f t="shared" si="2"/>
        <v>0</v>
      </c>
      <c r="F595" s="387">
        <f t="shared" si="3"/>
        <v>0</v>
      </c>
      <c r="G595" s="389" t="str">
        <f t="shared" si="4"/>
        <v/>
      </c>
      <c r="H595" s="386" t="str">
        <f t="shared" si="5"/>
        <v/>
      </c>
    </row>
    <row r="596" ht="15.75" customHeight="1">
      <c r="A596" s="391"/>
      <c r="B596" s="386">
        <f t="array" ref="B596">IFERROR(INDEX(SC_OLD!A:A,MATCH($A596,SC_OLD!C:C,0)),"")</f>
        <v>0</v>
      </c>
      <c r="C596" s="387">
        <f>IF($A596="",0,IFERROR(SUMIFS(SC_OLD!D:D,SC_OLD!C:C,$A596,SC_OLD!J:J,"Entregue"),0))</f>
        <v>0</v>
      </c>
      <c r="D596" s="388">
        <f t="shared" si="1"/>
        <v>0</v>
      </c>
      <c r="E596" s="388">
        <f t="shared" si="2"/>
        <v>0</v>
      </c>
      <c r="F596" s="387">
        <f t="shared" si="3"/>
        <v>0</v>
      </c>
      <c r="G596" s="389" t="str">
        <f t="shared" si="4"/>
        <v/>
      </c>
      <c r="H596" s="386" t="str">
        <f t="shared" si="5"/>
        <v/>
      </c>
    </row>
    <row r="597" ht="15.75" customHeight="1">
      <c r="A597" s="391"/>
      <c r="B597" s="386">
        <f t="array" ref="B597">IFERROR(INDEX(SC_OLD!A:A,MATCH($A597,SC_OLD!C:C,0)),"")</f>
        <v>0</v>
      </c>
      <c r="C597" s="387">
        <f>IF($A597="",0,IFERROR(SUMIFS(SC_OLD!D:D,SC_OLD!C:C,$A597,SC_OLD!J:J,"Entregue"),0))</f>
        <v>0</v>
      </c>
      <c r="D597" s="388">
        <f t="shared" si="1"/>
        <v>0</v>
      </c>
      <c r="E597" s="388">
        <f t="shared" si="2"/>
        <v>0</v>
      </c>
      <c r="F597" s="387">
        <f t="shared" si="3"/>
        <v>0</v>
      </c>
      <c r="G597" s="389" t="str">
        <f t="shared" si="4"/>
        <v/>
      </c>
      <c r="H597" s="386" t="str">
        <f t="shared" si="5"/>
        <v/>
      </c>
    </row>
    <row r="598" ht="15.75" customHeight="1">
      <c r="A598" s="391"/>
      <c r="B598" s="386">
        <f t="array" ref="B598">IFERROR(INDEX(SC_OLD!A:A,MATCH($A598,SC_OLD!C:C,0)),"")</f>
        <v>0</v>
      </c>
      <c r="C598" s="387">
        <f>IF($A598="",0,IFERROR(SUMIFS(SC_OLD!D:D,SC_OLD!C:C,$A598,SC_OLD!J:J,"Entregue"),0))</f>
        <v>0</v>
      </c>
      <c r="D598" s="388">
        <f t="shared" si="1"/>
        <v>0</v>
      </c>
      <c r="E598" s="388">
        <f t="shared" si="2"/>
        <v>0</v>
      </c>
      <c r="F598" s="387">
        <f t="shared" si="3"/>
        <v>0</v>
      </c>
      <c r="G598" s="389" t="str">
        <f t="shared" si="4"/>
        <v/>
      </c>
      <c r="H598" s="386" t="str">
        <f t="shared" si="5"/>
        <v/>
      </c>
    </row>
    <row r="599" ht="15.75" customHeight="1">
      <c r="A599" s="391"/>
      <c r="B599" s="386">
        <f t="array" ref="B599">IFERROR(INDEX(SC_OLD!A:A,MATCH($A599,SC_OLD!C:C,0)),"")</f>
        <v>0</v>
      </c>
      <c r="C599" s="387">
        <f>IF($A599="",0,IFERROR(SUMIFS(SC_OLD!D:D,SC_OLD!C:C,$A599,SC_OLD!J:J,"Entregue"),0))</f>
        <v>0</v>
      </c>
      <c r="D599" s="388">
        <f t="shared" si="1"/>
        <v>0</v>
      </c>
      <c r="E599" s="388">
        <f t="shared" si="2"/>
        <v>0</v>
      </c>
      <c r="F599" s="387">
        <f t="shared" si="3"/>
        <v>0</v>
      </c>
      <c r="G599" s="389" t="str">
        <f t="shared" si="4"/>
        <v/>
      </c>
      <c r="H599" s="386" t="str">
        <f t="shared" si="5"/>
        <v/>
      </c>
    </row>
    <row r="600" ht="15.75" customHeight="1">
      <c r="A600" s="391"/>
      <c r="B600" s="386">
        <f t="array" ref="B600">IFERROR(INDEX(SC_OLD!A:A,MATCH($A600,SC_OLD!C:C,0)),"")</f>
        <v>0</v>
      </c>
      <c r="C600" s="387">
        <f>IF($A600="",0,IFERROR(SUMIFS(SC_OLD!D:D,SC_OLD!C:C,$A600,SC_OLD!J:J,"Entregue"),0))</f>
        <v>0</v>
      </c>
      <c r="D600" s="388">
        <f t="shared" si="1"/>
        <v>0</v>
      </c>
      <c r="E600" s="388">
        <f t="shared" si="2"/>
        <v>0</v>
      </c>
      <c r="F600" s="387">
        <f t="shared" si="3"/>
        <v>0</v>
      </c>
      <c r="G600" s="389" t="str">
        <f t="shared" si="4"/>
        <v/>
      </c>
      <c r="H600" s="386" t="str">
        <f t="shared" si="5"/>
        <v/>
      </c>
    </row>
    <row r="601" ht="15.75" customHeight="1">
      <c r="B601" s="44">
        <f t="array" ref="B601">IFERROR(INDEX(SC_OLD!A:A,MATCH($A601,SC_OLD!C:C,0)),"")</f>
        <v>0</v>
      </c>
      <c r="C601" s="44">
        <f>IF($A601="",0,IFERROR(SUMIFS(SC_OLD!D:D,SC_OLD!C:C,$A601,SC_OLD!J:J,"Entregue"),0))</f>
        <v>0</v>
      </c>
      <c r="D601" s="44">
        <f t="shared" si="1"/>
        <v>0</v>
      </c>
      <c r="E601" s="44">
        <f t="shared" si="2"/>
        <v>0</v>
      </c>
      <c r="F601" s="44">
        <f t="shared" si="3"/>
        <v>0</v>
      </c>
    </row>
    <row r="602" ht="15.75" customHeight="1">
      <c r="B602" s="44">
        <f t="array" ref="B602">IFERROR(INDEX(SC_OLD!A:A,MATCH($A602,SC_OLD!C:C,0)),"")</f>
        <v>0</v>
      </c>
      <c r="C602" s="44">
        <f>IF($A602="",0,IFERROR(SUMIFS(SC_OLD!D:D,SC_OLD!C:C,$A602,SC_OLD!J:J,"Entregue"),0))</f>
        <v>0</v>
      </c>
      <c r="D602" s="44">
        <f t="shared" si="1"/>
        <v>0</v>
      </c>
      <c r="E602" s="44">
        <f t="shared" si="2"/>
        <v>0</v>
      </c>
      <c r="F602" s="44">
        <f t="shared" si="3"/>
        <v>0</v>
      </c>
    </row>
    <row r="603" ht="15.75" customHeight="1">
      <c r="B603" s="44">
        <f t="array" ref="B603">IFERROR(INDEX(SC_OLD!A:A,MATCH($A603,SC_OLD!C:C,0)),"")</f>
        <v>0</v>
      </c>
      <c r="C603" s="44">
        <f>IF($A603="",0,IFERROR(SUMIFS(SC_OLD!D:D,SC_OLD!C:C,$A603,SC_OLD!J:J,"Entregue"),0))</f>
        <v>0</v>
      </c>
      <c r="D603" s="44">
        <f t="shared" si="1"/>
        <v>0</v>
      </c>
      <c r="E603" s="44">
        <f t="shared" si="2"/>
        <v>0</v>
      </c>
      <c r="F603" s="44">
        <f t="shared" si="3"/>
        <v>0</v>
      </c>
    </row>
    <row r="604" ht="15.75" customHeight="1">
      <c r="B604" s="44">
        <f t="array" ref="B604">IFERROR(INDEX(SC_OLD!A:A,MATCH($A604,SC_OLD!C:C,0)),"")</f>
        <v>0</v>
      </c>
      <c r="C604" s="44">
        <f>IF($A604="",0,IFERROR(SUMIFS(SC_OLD!D:D,SC_OLD!C:C,$A604,SC_OLD!J:J,"Entregue"),0))</f>
        <v>0</v>
      </c>
      <c r="D604" s="44">
        <f t="shared" si="1"/>
        <v>0</v>
      </c>
      <c r="E604" s="44">
        <f t="shared" si="2"/>
        <v>0</v>
      </c>
      <c r="F604" s="44">
        <f t="shared" si="3"/>
        <v>0</v>
      </c>
    </row>
    <row r="605" ht="15.75" customHeight="1">
      <c r="B605" s="44">
        <f t="array" ref="B605">IFERROR(INDEX(SC_OLD!A:A,MATCH($A605,SC_OLD!C:C,0)),"")</f>
        <v>0</v>
      </c>
      <c r="C605" s="44">
        <f>IF($A605="",0,IFERROR(SUMIFS(SC_OLD!D:D,SC_OLD!C:C,$A605,SC_OLD!J:J,"Entregue"),0))</f>
        <v>0</v>
      </c>
      <c r="D605" s="44">
        <f t="shared" si="1"/>
        <v>0</v>
      </c>
      <c r="E605" s="44">
        <f t="shared" si="2"/>
        <v>0</v>
      </c>
      <c r="F605" s="44">
        <f t="shared" si="3"/>
        <v>0</v>
      </c>
    </row>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H$605"/>
  <mergeCells count="3">
    <mergeCell ref="A1:C2"/>
    <mergeCell ref="D1:H1"/>
    <mergeCell ref="D2:H2"/>
  </mergeCells>
  <conditionalFormatting sqref="B6:B600">
    <cfRule type="cellIs" dxfId="14" priority="1" operator="equal">
      <formula>"Material"</formula>
    </cfRule>
  </conditionalFormatting>
  <conditionalFormatting sqref="B6:B600">
    <cfRule type="cellIs" dxfId="15" priority="2" operator="equal">
      <formula>"Ferramenta"</formula>
    </cfRule>
  </conditionalFormatting>
  <conditionalFormatting sqref="B6:B600">
    <cfRule type="cellIs" dxfId="16" priority="3" operator="equal">
      <formula>"Equipamento"</formula>
    </cfRule>
  </conditionalFormatting>
  <conditionalFormatting sqref="B6:B600">
    <cfRule type="cellIs" dxfId="17" priority="4" operator="equal">
      <formula>"EPI"</formula>
    </cfRule>
  </conditionalFormatting>
  <conditionalFormatting sqref="B6:B600">
    <cfRule type="cellIs" dxfId="18" priority="5" operator="equal">
      <formula>"EPC"</formula>
    </cfRule>
  </conditionalFormatting>
  <conditionalFormatting sqref="F6:F600">
    <cfRule type="expression" dxfId="19" priority="6">
      <formula>AND($C6&gt;0,$F6/$C6&lt;=0.1)</formula>
    </cfRule>
  </conditionalFormatting>
  <conditionalFormatting sqref="F6:F600">
    <cfRule type="expression" dxfId="20" priority="7">
      <formula>AND($C6&gt;0,$F6/$C6&lt;=0.3)</formula>
    </cfRule>
  </conditionalFormatting>
  <conditionalFormatting sqref="F6:F600">
    <cfRule type="expression" dxfId="21" priority="8">
      <formula>AND($C6&gt;0,$F6/$C6&gt;0.3)</formula>
    </cfRule>
  </conditionalFormatting>
  <conditionalFormatting sqref="H6:H600">
    <cfRule type="expression" dxfId="19" priority="9">
      <formula>LEFT($H6,7)="COMPRAR"</formula>
    </cfRule>
  </conditionalFormatting>
  <conditionalFormatting sqref="H6:H600">
    <cfRule type="expression" dxfId="20" priority="10">
      <formula>LEFT($H6,7)="Comprar"</formula>
    </cfRule>
  </conditionalFormatting>
  <conditionalFormatting sqref="H6:H600">
    <cfRule type="expression" dxfId="21" priority="11">
      <formula>LEFT($H6,2)="OK"</formula>
    </cfRule>
  </conditionalFormatting>
  <conditionalFormatting sqref="A8:H600">
    <cfRule type="expression" dxfId="22" priority="12">
      <formula>ISEVEN(ROW())</formula>
    </cfRule>
  </conditionalFormatting>
  <printOptions/>
  <pageMargins bottom="1.0" footer="0.0" header="0.0" left="0.75" right="0.75" top="1.0"/>
  <pageSetup orientation="landscape"/>
  <drawing r:id="rId1"/>
</worksheet>
</file>